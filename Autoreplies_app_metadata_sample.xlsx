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<sst xmlns="http://schemas.openxmlformats.org/spreadsheetml/2006/main" count="18211" uniqueCount="4522">
  <si>
    <t>key_word</t>
  </si>
  <si>
    <t>report</t>
  </si>
  <si>
    <t>area_name</t>
  </si>
  <si>
    <t>building_name</t>
  </si>
  <si>
    <t>building_id</t>
  </si>
  <si>
    <t>bedroom_type</t>
  </si>
  <si>
    <t>structural_type</t>
  </si>
  <si>
    <t>data_type</t>
  </si>
  <si>
    <t>Gross_roi</t>
  </si>
  <si>
    <t>Median_rent</t>
  </si>
  <si>
    <t>1006376, *SALES*</t>
  </si>
  <si>
    <r>
      <rPr/>
      <t xml:space="preserve">*SALES*
*TRANSACTIONS (RESALE)**
*25 HOURS HEIMAT*
_Area: Downtown_
_Type: 1 bedroom apartment_
```Date   Price  BUA Type P/sf```
```------------2025-----------```
```29Dec 2.569M  930 XX06 2762```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</si>
  <si>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Downtown</t>
  </si>
  <si>
    <t>25 Hours Heimat</t>
  </si>
  <si>
    <t>sales</t>
  </si>
  <si>
    <t>null</t>
  </si>
  <si>
    <t>1006377, *MARKET</t>
  </si>
  <si>
    <r>
      <rPr/>
      <t xml:space="preserve">*MARKET*
*SNAPSHOT*
*25 HOURS HEIMAT*
_Area: Downtown_
_Type: 1 bedroom apartment_
*Price dynamics, Dirham/sq.ft.*
_(M - median value)_
```2762|                     *```
```2762|----------------------```
```    |                     *```
```2762|---------------------M```
```    |                     *```
```2762|---------------------M```
```    |                     *```
```2762|---------------------M```
```    |                     *```
```2762|---------------------M```
```    |                     *```
```____|______________________```
```    |Dec2025        Dec2025```
_Source: see table below_
*Latest sales transactions*
```Date   Price  BUA Type P/sf```
```------------2025-----------```
```29Dec 2.569M  930 XX06 2762```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</t>
    </r>
    <r>
      <rPr>
        <color rgb="FF1155CC"/>
        <u/>
      </rPr>
      <t>www.trydatabot.com</t>
    </r>
  </si>
  <si>
    <t>Sales_price_chart</t>
  </si>
  <si>
    <t>1006379, *RESELL</t>
  </si>
  <si>
    <t>*RESELL*
*VS PRIMARY*
*25 HOURS HEIMAT*
_Area: Downtown_
_Type: 1 bedroom apartment_
*Price dynamics, Dirham/sq.ft.*
_(x - primary; * - resell)_
```4206|       x              ```
```    |                      ```
```    |                      ```
```    |                      ```
```3338|        x             ```
```    | x x x    x           ```
```    |      x               ```
```    |x        x           *```
```    |  x                   ```
```2032|    x                 ```
```____|______________________```
```    |Dec1899        Dec2025```
_Source: see a table below_
*Latest resell transactions*
```Date   Price  BUA Type P/sf```
```------------2025-----------```
```29Dec 2.569M  930 XX06 2762```
*Latest primary transactions*
```------------2025-----------```
```15May 3.489M 1104 XX01 3160```
```15May 2.475M  958 XXXX 2584```
```14May  4.09M 1195 XX01 3422```
```14May 4.189M  996 XX01 4206```
```09May 2.564M  869 XX03 2951```
```09May 2.475M  778 XX03 3181```
```30Apr 2.066M 1017 XXXX 2032```
```23Apr 2.399M  767 XX06 3128```
```22Apr 2.495M 1088 XX03 2293```
```21Apr  2.48M  779 XX04 3184```
```21Apr 2.671M  969 XX03 2757```
```21Apr 2.595M  779 XX04 3331```
```18Apr 2.981M 1098 XX03 2715```
```10Apr 2.077M  769 XXXX 2700```
```08Apr 2.485M  767 XX06 3240```
_Source: DLD, Databot_
_BUA - built-up area, sq.ft._
_P/sf - price per sq.ft._
_B - bedrooms; O - office_
_M - million, K- thousand_
_S - studio, R - shop_
www.trydatabot.com</t>
  </si>
  <si>
    <t>Price_appreciation</t>
  </si>
  <si>
    <t>1006384, *SALES*</t>
  </si>
  <si>
    <t>*SALES*
*TRANSACTIONS (RESALE)**
*25 HOURS HEIMAT*
_Area: Downtown_
_Type: 3 bedroom apartment_
```Date   Price  BUA Type P/sf```
```------------2026-----------```
```07Jan   6.5M 1864 XX02 3487```
_Source: DLD, Databot_
_BUA - built-up area, sq.ft._
_P/sf - price per sq.ft._
_B - bedrooms; O - office_
_M - million, K- thousand_
_S - studio, R - shop_
_*Max 30 latest transactions_
www.trydatabot.com</t>
  </si>
  <si>
    <t>1006385, *MARKET</t>
  </si>
  <si>
    <t>*MARKET*
*SNAPSHOT*
*25 HOURS HEIMAT*
_Area: Downtown_
_Type: 3 bedroom apartment_
*Price dynamics, Dirham/sq.ft.*
_(M - median value)_
```3487|                     *```
```3487|----------------------```
```    |                     *```
```3487|---------------------M```
```    |                     *```
```3487|---------------------M```
```    |                     *```
```3487|---------------------M```
```    |                     *```
```3487|---------------------M```
```    |                     *```
```____|______________________```
```    |Jan2026        Jan2026```
_Source: see table below_
*Latest sales transactions*
```Date   Price  BUA Type P/sf```
```------------2026-----------```
```07Jan   6.5M 1864 XX02 3487```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</si>
  <si>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1006387, *RESELL</t>
  </si>
  <si>
    <r>
      <rPr/>
      <t xml:space="preserve">*RESELL*
*VS PRIMARY*
*25 HOURS HEIMAT*
_Area: Downtown_
_Type: 3 bedroom apartment_
*Price dynamics, Dirham/sq.ft.*
_(x - primary; * - resell)_
```4772|    xx xx             ```
```    |                      ```
```    |                      ```
```    |                      ```
```3520|                     *```
```    |  xx     x            ```
```    |      x   x           ```
```    |                      ```
```    |                      ```
```1638|xx                    ```
```____|______________________```
```    |Dec1899        Jan2026```
_Source: see a table below_
*Latest resell transactions*
```Date   Price  BUA Type P/sf```
```------------2026-----------```
```07Jan   6.5M 1864 XX02 3487```
*Latest primary transactions*
```------------2025-----------```
```22May   5.4M 1846 XX02 2925```
```20May  5.65M 1718 XX02 3289```
```14May 15.25M 3245 XX02 4700```
```14May 15.25M 3243 XX01 4702```
```12May 5.761M 1908 XX02 3019```
```08Apr 14.85M 3112 XXXX 4772```
```08Apr 15.09M 3245 XX02 4649```
```07Apr 5.684M 1861 XX02 3054```
```22Jan   5.4M 1718 XX02 3143```
```14Jan 3.076M 1864 XX02 1650```
```13Jan 5.097M 3112 XXXX 1638```
```------------2024-----------```
```10Dec 6.457M 1720 XX02 3754```
```20Nov  3.15M 1908 XX02 1651```
```06Nov 6.277M 1718 XX02 3654```
_Source: DLD, Databot_
_BUA - built-up area, sq.ft._
_P/sf - price per sq.ft._
_B - bedrooms; O - office_
_M - million, K- thousand_
_S - studio, R - shop_
</t>
    </r>
    <r>
      <rPr>
        <color rgb="FF1155CC"/>
        <u/>
      </rPr>
      <t>www.trydatabot.com</t>
    </r>
  </si>
  <si>
    <t>1006421, *SALES*</t>
  </si>
  <si>
    <r>
      <rPr/>
      <t xml:space="preserve">*SALES*
*TRANSACTIONS (RESALE)**
*25 HOURS HEIMAT*
_Area: Downtown_
_All types/bedrooms_
```Date    Price   BUA  Type B```
```------------2026-----------```
```07Jan    6.5M  1864  XX02 3```
```------------2025-----------```
```29Dec  2.569M   930  XX06 1```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</si>
  <si>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all</t>
  </si>
  <si>
    <t>1006422, 25, 25hours, 25H, *BUILDI</t>
  </si>
  <si>
    <t xml:space="preserve">*BUILDING*
*PROFILE*
*25 HOURS HEIMAT*
_Area: Downtown_
_Tap&amp;hold to copy a reply_
```-------------------------```
```Report              Reply```
```-------------------------```
*Studio*
```Primary sales     1006423```
*1 B/R*
```Resell, ROI       1006376```
```Primary sales     1006424```
```Price chart       1006377```
```Rentals               n/a```
```Appreciation      1006379```
*2 B/R*
```Primary sales     1006425```
*3 B/R*
```Resell, ROI       1006384```
```Primary sales     1006426```
```Price chart       1006385```
```Rentals               n/a```
```Appreciation      1006387```
*All types/bedrooms*
```Resell, ROI       1006421```
```Primary sales     1006435```
```Rentals               n/a```
</t>
  </si>
  <si>
    <t>menu</t>
  </si>
  <si>
    <t>1006423, *SALES*</t>
  </si>
  <si>
    <r>
      <rPr/>
      <t xml:space="preserve">*SALES*
*TRANSACTIONS (PRIMARY)**
*25 HOURS HEIMAT*
_Area: Downtown_
_Type: studio apartment_
```Date   Price  BUA Type P/sf```
```------------2025-----------```
```20Jan 1.383M  567 XX02 2439```
```------------2024-----------```
```10Dec 1.315M  566 XX02 2324```
```10Dec 1.427M  538 XX03 2652```
```04Nov  1.53M  602 XX02 2542```
```08Oct 1.315M  574 XX03 2291```
```06Sep 1.397M  602 XX02 2320```
```03Sep 1.585M  602 XX02 2632```
```22Aug 1.394M  574 XX03 2428```
```20Aug 1.374M  538 XXXX 2554```
```20Aug 1.389M  574 XX03 2419```
```19Aug 1.358M  545 XX03 2492```
```19Aug  1.32M  538 XX03 2453```
```19Aug 1.397M  566 XX02 2469```
```19Aug 1.352M  567 XX02 2385```
_Source: DLD, Databot_
_BUA - built-up area, sq.ft._
_P/sf - price per sq.ft._
_B - bedrooms; O - office_
_M - million, K- thousand_
_S - studio, R - shop_
_*Max 20 latest transactions_
</t>
    </r>
    <r>
      <rPr>
        <color rgb="FF1155CC"/>
        <u/>
      </rPr>
      <t>www.trydatabot.com</t>
    </r>
  </si>
  <si>
    <t>Studio</t>
  </si>
  <si>
    <t>Launch_price</t>
  </si>
  <si>
    <t>1006424, *SALES*</t>
  </si>
  <si>
    <t>*SALES*
*TRANSACTIONS (PRIMARY)**
*25 HOURS HEIMAT*
_Area: Downtown_
_Type: 1 bedroom apartment_
```Date   Price  BUA Type P/sf```
```------------2025-----------```
```15May 3.489M 1104 XX01 3160```
```15May 2.475M  958 XXXX 2584```
```14May  4.09M 1195 XX01 3422```
```14May 4.189M  996 XX01 4206```
```09May 2.564M  869 XX03 2951```
```09May 2.475M  778 XX03 3181```
```30Apr 2.066M 1017 XXXX 2032```
```23Apr 2.399M  767 XX06 3128```
```22Apr 2.495M 1088 XX03 2293```
```21Apr  2.48M  779 XX04 3184```
```21Apr 2.671M  969 XX03 2757```
```21Apr 2.595M  779 XX04 3331```
```18Apr 2.981M 1098 XX03 2715```
```10Apr 2.077M  769 XXXX 2700```
```08Apr 2.485M  767 XX06 3240```
```08Apr 2.272M 1018 XX05 2232```
```08Apr 2.461M  779 XX04 3159```
```07Apr  2.37M  723 XX01 3278```
```07Apr 2.615M  958 XXXX 2729```
```04Apr 2.439M  930 XX06 2623```
_Source: DLD, Databot_
_BUA - built-up area, sq.ft._
_P/sf - price per sq.ft._
_B - bedrooms; O - office_
_M - million, K- thousand_
_S - studio, R - shop_
_*Max 20 latest transactions_
www.trydatabot.com</t>
  </si>
  <si>
    <t>1006425, *SALES*</t>
  </si>
  <si>
    <t>*SALES*
*TRANSACTIONS (PRIMARY)**
*25 HOURS HEIMAT*
_Area: Downtown_
_Type: 2 bedroom apartment_
```Date   Price  BUA Type P/sf```
```------------2025-----------```
```27Aug 4.254M 1572 XX01 2706```
```13Aug  3.65M 1394 XX02 2618```
```11Aug 4.154M 1390 XX01 2988```
```22May 2.294M 1390 XX01 1651```
```09May 4.226M 1393 XX02 3034```
```18Apr  3.85M 1656 XX05 2325```
```09Apr 4.132M 1520 XX02 2718```
```08Apr 4.182M 1572 XX01 2660```
```04Apr 4.338M 1557 XX05 2786```
```04Apr  3.93M 1390 XX01 2827```
```04Apr 4.025M 1390 XX01 2896```
```07Mar 4.162M 1390 XX01 2994```
```11Feb 4.578M 1620 XX05 2826```
```06Feb 4.158M 1579 XX01 2633```
```23Jan 4.384M 1432 XX03 3062```
```23Jan 4.397M 1429 XXXX 3077```
```20Jan 3.881M 1608 XXXX 2414```
```14Jan 4.149M 1544 XX01 2687```
```14Jan 4.077M 1517 XX01 2688```
```14Jan  3.88M 1429 XXXX 2715```
_Source: DLD, Databot_
_BUA - built-up area, sq.ft._
_P/sf - price per sq.ft._
_B - bedrooms; O - office_
_M - million, K- thousand_
_S - studio, R - shop_
_*Max 20 latest transactions_
www.trydatabot.com</t>
  </si>
  <si>
    <t>1006426, *SALES*</t>
  </si>
  <si>
    <t>*SALES*
*TRANSACTIONS (PRIMARY)**
*25 HOURS HEIMAT*
_Area: Downtown_
_Type: 3 bedroom apartment_
```Date   Price  BUA Type P/sf```
```------------2025-----------```
```22May   5.4M 1846 XX02 2925```
```20May  5.65M 1718 XX02 3289```
```14May 15.25M 3245 XX02 4700```
```14May 15.25M 3243 XX01 4702```
```12May 5.761M 1908 XX02 3019```
```08Apr 14.85M 3112 XXXX 4772```
```08Apr 15.09M 3245 XX02 4649```
```07Apr 5.684M 1861 XX02 3054```
```22Jan   5.4M 1718 XX02 3143```
```14Jan 3.076M 1864 XX02 1650```
```13Jan 5.097M 3112 XXXX 1638```
```------------2024-----------```
```10Dec 6.457M 1720 XX02 3754```
```20Nov  3.15M 1908 XX02 1651```
```06Nov 6.277M 1718 XX02 3654```
```06Nov  5.53M 1718 XX02 3219```
```06Nov 5.509M 1918 XX02 2872```
```04Nov   5.4M 1861 XX02 2902```
```04Nov 15.25M 3245 XX02 4700```
```04Nov 15.25M 3243 XX01 4702```
```29Oct 3.045M 1846 XX02 1650```
_Source: DLD, Databot_
_BUA - built-up area, sq.ft._
_P/sf - price per sq.ft._
_B - bedrooms; O - office_
_M - million, K- thousand_
_S - studio, R - shop_
_*Max 20 latest transactions_
www.trydatabot.com</t>
  </si>
  <si>
    <t>1006435, *SALES*</t>
  </si>
  <si>
    <t>*SALES*
*TRANSACTIONS (PRIMARY)**
*25 HOURS HEIMAT*
_Area: Downtown_
_All types/bedrooms_
```Date    Price   BUA  Type B```
```------------2025-----------```
```27Aug  4.254M  1572  XX01 2```
```13Aug   3.65M  1394  XX02 2```
```11Aug  4.154M  1390  XX01 2```
```22May    5.4M  1846  XX02 3```
```22May  2.294M  1390  XX01 2```
```20May   5.65M  1718  XX02 3```
```15May  3.489M  1104  XX01 1```
```15May  2.475M   958  XXXX 1```
```14May  15.25M  3245  XX02 3```
```14May   4.09M  1195  XX01 1```
```14May  4.189M   996  XX01 1```
```14May  15.25M  3243  XX01 3```
```12May  5.761M  1908  XX02 3```
```09May  4.226M  1393  XX02 2```
```09May  2.564M   869  XX03 1```
```09May  2.475M   778  XX03 1```
```30Apr  2.066M  1017  XXXX 1```
```23Apr  2.399M   767  XX06 1```
```22Apr  2.495M  1088  XX03 1```
```21Apr   2.48M   779  XX04 1```
_Source: DLD, Databot_
_BUA - built-up area, sq.ft._
_P/sf - price per sq.ft._
_B - bedrooms; O - office_
_M - million, K- thousand_
_S - studio, R - shop_
_*Max 20 latest transactions_
www.trydatabot.com</t>
  </si>
  <si>
    <t>1006436, *SALES*</t>
  </si>
  <si>
    <r>
      <rPr/>
      <t xml:space="preserve">*SALES*
*TRANSACTIONS**
*29 BOULEVARD T1*
_Area: Downtown_
_Type: studio apartment_
_Gross ROI=7.66% (confidence: low)_
_Median annual rent=80K_
```Date   Price  BUA Type P/sf```
```------------2025-----------```
```21Jul 1.115M  469 XX03 2377```
```11Apr 974.9K  469 XX03 2079```
```------------2024-----------```
```25Nov  1.25M  465 XX03 2688```
```09Oct  1.28M  469 XX03 2729```
```05Feb  1.05M  469 XX03 2239```
```------------2023-----------```
```22Nov  1.05M  469 XX03 2239```
```30Oct  1.03M  469 XX03 2196```
```07Jul     1M  468 XX03 2137```
```23Jun  1.15M  469 XX03 2452```
```08May   900K  469 XX03 1919```
```31Mar 1.094M  469 XX03 2332```
```------------2022-----------```
```07Feb   760K  468 XX03 1624```
```02Feb   850K  469 XX03 1812```
```------------2021-----------```
```03May   710K  469 XX03 1514```
```------------2020-----------```
```02Jul   575K  469 XX03 1226```
```26Feb   750K  469 XX03 1599```
```------------2019-----------```
```02May   950K  469 XX03 2026```
```02Apr   900K  469 XX03 1919```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</si>
  <si>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29 Boulevard T1</t>
  </si>
  <si>
    <t>1006437, *MARKET</t>
  </si>
  <si>
    <t>*MARKET*
*SNAPSHOT*
*29 BOULEVARD T1*
_Area: Downtown_
_Type: studio apartment_
*Price dynamics, Dirham/sq.ft.*
_(M - median value)_
```2729|                  **  ```
```    |                      ```
```    |             *       *```
```    |           *    **    ```
```2108|---------------------M```
```    |              **    * ```
```    |    **      *         ```
```    |         *            ```
```    |          *           ```
```    |      * *             ```
```1226|       *              ```
```____|______________________```
```    |Apr2019        Jul2025```
_Source: see table below_
*Latest sales transactions*
```Date   Price  BUA Type P/sf```
```------------2025-----------```
```21Jul 1.115M  469 XX03 2377```
```11Apr 974.9K  469 XX03 2079```
```------------2024-----------```
```25Nov  1.25M  465 XX03 2688```
```09Oct  1.28M  469 XX03 2729```
```05Feb  1.05M  469 XX03 2239```
```------------2023-----------```
```22Nov  1.05M  469 XX03 2239```
```30Oct  1.03M  469 XX03 2196```
```07Jul     1M  468 XX03 2137```
```23Jun  1.15M  469 XX03 2452```
```08May   900K  469 XX03 1919```
```31Mar 1.094M  469 XX03 2332```
```------------2022-----------```
```07Feb   760K  468 XX03 1624```
```02Feb   850K  469 XX03 1812```
```------------2021-----------```
```03May   710K  469 XX03 1514```
```------------2020-----------```
```02Jul   575K  469 XX03 1226```
```26Feb   750K  469 XX03 1599```
```------------2019-----------```
```02May   950K  469 XX03 2026```
```02Apr   900K  469 XX03 1919```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</si>
  <si>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1006438, *NEW RE</t>
  </si>
  <si>
    <t>*NEW RENT*
*CONTRACTS**
_(renewals are not included)_
*29 BOULEVARD T1+T2+P*
_Area: Downtown_
_Type: studio apartment_
```Date  Price   BUA  Type D/s```
```------------2026-----------```
```15Jan   84K   495  XXXX 170```
```06Jan   79K   495  XXXX 160```
```06Jan   90K   463  XXXX 194```
```02Jan   90K   474  XXXX 190```
```------------2025-----------```
```16Dec   75K   495  XXXX 152```
```15Dec   90K   570  XXXX 158```
```07Dec   80K   409  XXXX 196```
```18Nov   90K   452  XXXX 199```
```11Nov   80K   495  XXXX 162```
```08Nov 63.5K   495  XXXX 128```
```17Oct   83K   538  XXXX 154```
```01Oct 66.2K   474  XXXX 140```
```16Sep   78K   495  XXXX 158```
```15Sep   80K   495  XXXX 162```
```08Aug   75K   474  XXXX 158```
```01Aug   82K   495  XXXX 166```
```21Jun   70K   474  XXXX 148```
```14Jun   70K   474  XXXX 148```
```02Jun   75K   495  XXXX 152```
```01Jun   80K   495  XXXX 162```
_Source: DLD, Databot_
_BUA - built-up area, sq.ft._
_P/sf - price per sq.ft._
_B - bedrooms; O - office_
_M - million, K- thousand_
_S - studio, R - shop_
_*20 latest contracts_
www.trydatabot.com</t>
  </si>
  <si>
    <t>rentals</t>
  </si>
  <si>
    <t>1006440, *SALES*</t>
  </si>
  <si>
    <r>
      <rPr/>
      <t xml:space="preserve">*SALES*
*TRANSACTIONS**
*29 BOULEVARD T1*
_Area: Downtown_
_Type: 1 bedroom apartment_
_Gross ROI=5.86%_
_Median annual rent=120K_
```Date   Price  BUA Type P/sf```
```------------2025-----------```
```10Dec  1.85M  838 XXXX 2208```
```05Dec  1.95M  801 XX04 2434```
```14Nov  1.75M  794 XX02 2204```
```11Nov   1.9M  838 XXXX 2267```
```29Oct  2.36M 1087 XXXX 2171```
```29Oct 1.925M  836 XX01 2303```
```27Oct  2.05M  836 XX01 2452```
```10Oct  2.05M  838 XXXX 2446```
```22Jul 2.048M  836 XX01 2450```
```15Jul   1.8M  794 XX02 2267```
```07Jul  2.55M  861 XX08 2962```
```12Jun   2.1M  794 XX02 2645```
```12May     2M  799 XX04 2503```
```07May 2.235M  802 XX06 2787```
```02May   1.9M  838 XXXX 2267```
```29Apr  2.25M  770 XX03 2922```
```10Mar   1.9M  770 XX03 2468```
```05Mar 2.021M  799 XX04 2529```
```17Feb   2.1M  836 XX01 2512```
```03Feb 1.635M  838 XXXX 1951```
```------------2024-----------```
```25Dec  1.78M  802 XX06 2219```
```20Dec 1.875M  801 XX04 2341```
```13Dec 1.675M  801 XX04 2091```
```12Nov 1.925M  802 XX06 2400```
```02Oct   1.5M  802 XX06 1870```
```06Sep  1.95M  770 XX03 2532```
```26Aug   1.8M  799 XX04 2253```
```06Aug   2.3M 1700 XX02 1353```
```02Aug   1.5M  799 XX04 1877```
```01Aug   2.4M 1671 XX02 1436```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</si>
  <si>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1006441, *MARKET</t>
  </si>
  <si>
    <t>*MARKET*
*SNAPSHOT*
*29 BOULEVARD T1*
_Area: Downtown_
_Type: 1 bedroom apartment_
*Price dynamics, Dirham/sq.ft.*
_(M - median value)_
```2962|      *    *          ```
```    |                      ```
```    |        *             ```
```    |          *           ```
```    |   **                 ```
```2440|---------------------M```
```    |     *   *   ***    * ```
```    |*                     ```
```    | *     *    *   * *  *```
```    |                 * *  ```
```1951|  *                   ```
```____|______________________```
```    |Dec2024        Dec2025```
_Source: see table below_
*Latest sales transactions*
```Date   Price  BUA Type P/sf```
```------------2025-----------```
```10Dec  1.85M  838 XXXX 2208```
```05Dec  1.95M  801 XX04 2434```
```14Nov  1.75M  794 XX02 2204```
```11Nov   1.9M  838 XXXX 2267```
```29Oct  2.36M 1087 XXXX 2171```
```29Oct 1.925M  836 XX01 2303```
```27Oct  2.05M  836 XX01 2452```
```10Oct  2.05M  838 XXXX 2446```
```22Jul 2.048M  836 XX01 2450```
```15Jul   1.8M  794 XX02 2267```
```07Jul  2.55M  861 XX08 2962```
```12Jun   2.1M  794 XX02 2645```
```12May     2M  799 XX04 2503```
```07May 2.235M  802 XX06 2787```
```02May   1.9M  838 XXXX 2267```
```29Apr  2.25M  770 XX03 2922```
```10Mar   1.9M  770 XX03 2468```
```05Mar 2.021M  799 XX04 2529```
```17Feb   2.1M  836 XX01 2512```
```03Feb 1.635M  838 XXXX 1951```
```------------2024-----------```
```25Dec  1.78M  802 XX06 2219```
```20Dec 1.875M  801 XX04 2341```
```13Dec 1.675M  801 XX04 2091```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</si>
  <si>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1006442, *NEW RE</t>
  </si>
  <si>
    <t>*NEW RENT*
*CONTRACTS**
_(renewals are not included)_
*29 BOULEVARD T1+T2+P*
_Area: Downtown_
_Type: 1 bedroom apartment_
```Date  Price   BUA  Type D/s```
```------------2026-----------```
```01Feb  120K   840  XXXX 143```
```01Feb  120K  1044  XXXX 115```
```16Jan  130K   883  XXXX 147```
```10Jan  120K   797  XXXX 151```
```------------2025-----------```
```20Dec  102K   840  XXXX 121```
```02Dec  125K  1044  XXXX 120```
```27Nov  135K  1076  XXXX 125```
```27Nov  130K  1044  XXXX 125```
```26Nov  120K   850  XXXX 141```
```22Nov  120K  1044  XXXX 115```
```15Nov  120K   883  XXXX 136```
```15Nov  120K   840  XXXX 143```
```15Nov  115K   797  XXXX 144```
```10Nov  135K   883  XXXX 153```
```07Nov  104K   840  XXXX 124```
```07Nov  175K  1055  XXXX 166```
```06Nov  110K   797  XXXX 138```
```05Nov  175K  1055  XXXX 166```
```04Nov  138K  1109  XXXX 125```
```04Nov  120K   829  XXXX 145```
_Source: DLD, Databot_
_BUA - built-up area, sq.ft._
_P/sf - price per sq.ft._
_B - bedrooms; O - office_
_M - million, K- thousand_
_S - studio, R - shop_
_*20 latest contracts_
www.trydatabot.com</t>
  </si>
  <si>
    <t>1006444, *SALES*</t>
  </si>
  <si>
    <r>
      <rPr/>
      <t xml:space="preserve">*SALES*
*TRANSACTIONS**
*29 BOULEVARD T1*
_Area: Downtown_
_Type: 2 bedroom apartment_
_Gross ROI=6.26%_
_Median annual rent=179K_
```Date   Price  BUA Type P/sf```
```------------2025-----------```
```22Dec   2.9M 1174 XXXX 2470```
```18Dec  3.25M 1087 XXXX 2990```
```06Nov   2.8M 1155 XXXX 2424```
```05Nov  2.86M 1155 XXXX 2476```
```24Oct  3.24M 1077 XX05 3008```
```13Oct   2.5M 1174 XXXX 2129```
```13Oct   2.9M 1155 XXXX 2511```
```09Oct 2.725M 1231 XXXX 2214```
```11Sep  2.94M 1090 XX08 2697```
```28Aug   2.9M 1401 XXXX 2070```
```04Aug   2.5M 1080 XX03 2315```
```29Jul  2.85M 1174 XXXX 2428```
```09Jul     3M 1090 XX08 2752```
```25Apr 2.365M 1401 XXXX 1688```
```22Apr  3.37M 1087 XXXX 3100```
```08Apr   3.6M 1401 XXXX 2570```
```13Mar   3.2M 1077 XX05 2971```
```20Feb  2.75M 1174 XXXX 2342```
```14Feb     4M 1401 XXXX 2855```
```03Feb  2.85M 1174 XXXX 2428```
```09Jan  2.87M 1401 XXXX 2049```
```06Jan 2.775M 1155 XXXX 2403```
```------------2024-----------```
```09Dec 2.875M 1401 XXXX 2052```
```07Nov 3.293M 2181 XX01 1510```
```29Aug   2.8M 1401 XXXX 1999```
```22Aug 2.875M 1401 XXXX 2052```
```16Aug     3M 1077 XX05 2786```
```11Jul   2.6M 1174 XXXX 2215```
```03Apr 2.575M 1401 XXXX 1838```
```18Mar     3M 1077 XX05 2786```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</si>
  <si>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1006445, *MARKET</t>
  </si>
  <si>
    <t>*MARKET*
*SNAPSHOT*
*29 BOULEVARD T1*
_Area: Downtown_
_Type: 2 bedroom apartment_
*Price dynamics, Dirham/sq.ft.*
_(M - median value)_
```3100|       *              ```
```    |     *           *  * ```
```    |   *     *            ```
```    |             *        ```
```    |      *        *  *  *```
```2449|---------------------M```
```    |* * *     *        *  ```
```    |           *  *       ```
```    | *          *   *     ```
```    |                      ```
```1688|        *             ```
```____|______________________```
```    |Jan2025        Dec2025```
_Source: see table below_
*Latest sales transactions*
```Date   Price  BUA Type P/sf```
```------------2025-----------```
```22Dec   2.9M 1174 XXXX 2470```
```18Dec  3.25M 1087 XXXX 2990```
```06Nov   2.8M 1155 XXXX 2424```
```05Nov  2.86M 1155 XXXX 2476```
```24Oct  3.24M 1077 XX05 3008```
```13Oct   2.5M 1174 XXXX 2129```
```13Oct   2.9M 1155 XXXX 2511```
```09Oct 2.725M 1231 XXXX 2214```
```11Sep  2.94M 1090 XX08 2697```
```28Aug   2.9M 1401 XXXX 2070```
```04Aug   2.5M 1080 XX03 2315```
```29Jul  2.85M 1174 XXXX 2428```
```09Jul     3M 1090 XX08 2752```
```25Apr 2.365M 1401 XXXX 1688```
```22Apr  3.37M 1087 XXXX 3100```
```08Apr   3.6M 1401 XXXX 2570```
```13Mar   3.2M 1077 XX05 2971```
```20Feb  2.75M 1174 XXXX 2342```
```14Feb     4M 1401 XXXX 2855```
```03Feb  2.85M 1174 XXXX 2428```
```09Jan  2.87M 1401 XXXX 2049```
```06Jan 2.775M 1155 XXXX 2403```
```------------2024-----------```
```09Dec 2.875M 1401 XXXX 2052```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</si>
  <si>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1006446, *NEW RE</t>
  </si>
  <si>
    <t>*NEW RENT*
*CONTRACTS**
_(renewals are not included)_
*29 BOULEVARD T1+T2+P*
_Area: Downtown_
_Type: 2 bedroom apartment_
```Date  Price   BUA  Type D/s```
```------------2026-----------```
```02Jan  190K  1195  XXXX 159```
```01Jan  180K  1173  XXXX 153```
```------------2025-----------```
```01Dec  150K  1173  XXXX 128```
```27Nov  190K  1152  XXXX 165```
```26Nov  210K  1173  XXXX 179```
```25Nov  168K  1399  XXXX 120```
```17Nov  170K  1033  XXXX 165```
```12Nov  180K  1087  XXXX 166```
```10Nov  180K  1173  XXXX 153```
```05Nov  178K  1173  XXXX 152```
```01Nov  200K  1399  XXXX 143```
```01Nov  180K  1227  XXXX 147```
```27Oct  200K  1442  XXXX 139```
```10Oct  200K  1442  XXXX 139```
```01Oct  160K  1033  XXXX 155```
```27Sep  155K  1399  XXXX 111```
```23Sep  160K  1399  XXXX 114```
```15Sep  117K  1227  XXXX  95```
```15Sep  150K  1033  XXXX 145```
```15Sep  150K  1475  XXXX 102```
_Source: DLD, Databot_
_BUA - built-up area, sq.ft._
_P/sf - price per sq.ft._
_B - bedrooms; O - office_
_M - million, K- thousand_
_S - studio, R - shop_
_*20 latest contracts_
www.trydatabot.com</t>
  </si>
  <si>
    <t>1006450, *NEW RE</t>
  </si>
  <si>
    <r>
      <rPr/>
      <t xml:space="preserve">*NEW RENT*
*CONTRACTS**
_(renewals are not included)_
*29 BOULEVARD T1+T2+P*
_Area: Downtown_
_Type: _
```Date  Price   BUA  Type D/s```
```------------2025-----------```
```24Jun  245K  2120  XXXX 116```
```------------2024-----------```
```01May  170K  1744  XXXX  97```
```01Apr  230K  2120  XXXX 108```
```10Jan  280K  1539  XXXX 182```
```------------2023-----------```
```22Aug  178K  1690  XXXX 105```
```------------2021-----------```
```15Dec  180K  2120  XXXX  85```
```08Sep  158K  1755  XXXX  90```
```23Aug  129K  1690  XXXX  76```
```------------2020-----------```
```01Sep  105K  1744  XXXX  60```
```23Aug  105K  1755  XXXX  60```
```12Jun  127K  1539  XXXX  83```
```------------2018-----------```
```01Aug  165K  1539  XXXX 107```
```15May   95K  1755  XXXX  54```
```22Apr  200K  1744  XXXX 115```
```------------2017-----------```
```26Nov  150K  1755  XXXX  85```
```07Jul  182K  1690  XXXX 108```
```25Jun  163K  1442  XXXX 113```
```------------2016-----------```
```15Mar  225K  1539  XXXX 146```
```01Mar  185K  1744  XXXX 106```
```------------2015-----------```
```14Jan  180K  1744  XXXX 103```
_Source: DLD, Databot_
_BUA - built-up area, sq.ft._
_P/sf - price per sq.ft._
_B - bedrooms; O - office_
_M - million, K- thousand_
_S - studio, R - shop_
_*20 latest contracts_
</t>
    </r>
    <r>
      <rPr>
        <color rgb="FF1155CC"/>
        <u/>
      </rPr>
      <t>www.trydatabot.com</t>
    </r>
  </si>
  <si>
    <t>1006470, *NEW RE</t>
  </si>
  <si>
    <t>*NEW RENT*
*CONTRACTS**
_(renewals are not included)_
*29 BOULEVARD T1+T2+P*
_Area: Downtown_
_Type: _
```Date  Price   BUA  Type D/s```
```------------2025-----------```
```06Jun  308K  2056  XXXX 150```
```03Mar  428K  3057  XXXX 140```
```13Feb  284K  2056  XXXX 138```
```------------2024-----------```
```06Jun  148K  1830  XXXX  81```
```06Jun  148K  1830  XXXX  81```
```------------2023-----------```
```23Nov  182K  1270  XXXX 144```
```28Aug  260K  2056  XXXX 127```
```------------2019-----------```
```01Sep  324K  3057  XXXX 106```
```30Jan  812K  3358  XXXX 242```
```------------2018-----------```
```19Apr 1.34M  8482  XXXX 158```
```------------2016-----------```
```30Dec  373K  1270  XXXX 294```
```30Jan  721K  3358  XXXX 215```
```30Jan  721K  3358  XXXX 215```
```------------2014-----------```
```20Mar  489K  3057  XXXX 160```
```------------2013-----------```
```31Jul  523K  3057  XXXX 171```
```24May  453K  3358  XXXX 135```
```19Apr 1.18M  8482  XXXX 139```
```20Mar  391K  2056  XXXX 190```
```01Mar  345K  1270  XXXX 272```
```01Mar  239K  1830  XXXX 130```
_Source: DLD, Databot_
_BUA - built-up area, sq.ft._
_P/sf - price per sq.ft._
_B - bedrooms; O - office_
_M - million, K- thousand_
_S - studio, R - shop_
_*20 latest contracts_
www.trydatabot.com</t>
  </si>
  <si>
    <t>1006484, *NEW RE</t>
  </si>
  <si>
    <t>*NEW RENT*
*CONTRACTS**
_(renewals are not included)_
*29 BOULEVARD T1+T2+P*
_Area: Downtown_
_All types/bedrooms_
```Date    Price   BUA Type  B```
```------------2026-----------```
```01Feb    120K   840 XXXX  1```
```01Feb    120K  1044 XXXX  1```
```16Jan    130K   883 XXXX  1```
```15Jan     84K   495 XXXX  S```
```10Jan    120K   797 XXXX  1```
```06Jan     79K   495 XXXX  S```
```06Jan     90K   463 XXXX  S```
```02Jan    190K  1195 XXXX  2```
```02Jan     90K   474 XXXX  S```
```01Jan    180K  1173 XXXX  2```
```------------2025-----------```
```20Dec  101.6K   840 XXXX  1```
```16Dec     75K   495 XXXX  S```
```15Dec     90K   570 XXXX  S```
```07Dec     80K   409 XXXX  S```
```02Dec    125K  1044 XXXX  1```
```01Dec    150K  1173 XXXX  2```
```27Nov  134.6K  1076 XXXX  1```
```27Nov    130K  1044 XXXX  1```
```27Nov    190K  1152 XXXX  2```
```26Nov    210K  1173 XXXX  2```
_Source: DLD, Databot_
_BUA - built-up area, sq.ft._
_P/sf - price per sq.ft._
_B - bedrooms; O - office_
_M - million, K- thousand_
_S - studio, R - shop_
_*20 latest contracts_
www.trydatabot.com</t>
  </si>
  <si>
    <t>1006485, *SALES*</t>
  </si>
  <si>
    <r>
      <rPr/>
      <t xml:space="preserve">*SALES*
*TRANSACTIONS**
*29 BOULEVARD T1*
_Area: Downtown_
_All types/bedrooms_
```Date    Price   BUA  Type B```
```------------2025-----------```
```22Dec    2.9M  1174  XXXX 2```
```18Dec   3.25M  1087  XXXX 2```
```10Dec   1.85M   838  XXXX 1```
```05Dec   1.95M   801  XX04 1```
```14Nov   1.75M   794  XX02 1```
```11Nov    1.9M   838  XXXX 1```
```06Nov    2.8M  1155  XXXX 2```
```05Nov   2.86M  1155  XXXX 2```
```29Oct   2.36M  1087  XXXX 1```
```29Oct  1.925M   836  XX01 1```
```27Oct   2.05M   836  XX01 1```
```24Oct   3.24M  1077  XX05 2```
```13Oct    2.5M  1174  XXXX 2```
```13Oct    2.9M  1155  XXXX 2```
```10Oct   2.05M   838  XXXX 1```
```09Oct  2.725M  1231  XXXX 2```
```11Sep   2.94M  1090  XX08 2```
```28Aug    2.9M  1401  XXXX 2```
```04Aug    2.5M  1080  XX03 2```
```29Jul   2.85M  1174  XXXX 2```
```22Jul  2.048M   836  XX01 1```
```21Jul  1.115M   469  XX03 S```
```15Jul    1.8M   794  XX02 1```
```09Jul      3M  1090  XX08 2```
```07Jul   2.55M   861  XX08 1```
```12Jun    2.1M   794  XX02 1```
```12May      2M   799  XX04 1```
```07May  2.235M   802  XX06 1```
```02May    1.9M   838  XXXX 1```
```29Apr   2.25M   770  XX03 1```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</si>
  <si>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1006486, by code, *BUILDI</t>
  </si>
  <si>
    <t xml:space="preserve">*BUILDING*
*PROFILE*
*29 BOULEVARD T1*
_Area: Downtown_
_Tap&amp;hold to copy a reply_
```-------------------------```
```Report              Reply```
```-------------------------```
*Studio*
```Sales, ROI        1006436```
```Price chart       1006437```
```Rentals           1006438```
*1 B/R*
```Sales, ROI        1006440```
```Price chart       1006441```
```Rentals           1006442```
*2 B/R*
```Sales, ROI        1006444```
```Price chart       1006445```
```Rentals           1006446```
*All types/bedrooms*
```Sales, ROI        1006485```
```Rentals           1006484```
</t>
  </si>
  <si>
    <t>1006500, *SALES*</t>
  </si>
  <si>
    <t>*SALES*
*TRANSACTIONS**
*29 BOULEVARD T2*
_Area: Downtown_
_Type: studio apartment_
```Date   Price  BUA Type P/sf```
```------------2026-----------```
```15Jan   700K  495 XX03 1414```
```------------2024-----------```
```28Nov   1.2M  495 XX03 2424```
```06Nov   1.2M  493 XX03 2434```
```08Oct   1.2M  493 XX03 2434```
```02Aug   1.2M  495 XX03 2424```
```05Feb     1M  495 XX03 2020```
```02Feb     1M  495 XX03 2020```
```------------2023-----------```
```22Nov     1M  495 XX03 2020```
```22Nov     1M  495 XX03 2020```
```10May     1M  495 XX03 2020```
```09May   920K  495 XX03 1859```
```15Mar   850K  495 XX03 1717```
```------------2022-----------```
```11Aug     1M  495 XX03 2020```
```------------2020-----------```
```17Sep   880K  495 XX03 1778```
```10Aug   740K  495 XX03 1495```
```12Mar   600K  495 XX03 1212```
_Source: DLD, Databot_
_BUA - built-up area, sq.ft._
_P/sf - price per sq.ft._
_B - bedrooms; O - office_
_M - million, K- thousand_
_S - studio, R - shop_
_*Max 30 latest transactions_
www.trydatabot.com</t>
  </si>
  <si>
    <t>29 Boulevard T2</t>
  </si>
  <si>
    <t>1006501, *MARKET</t>
  </si>
  <si>
    <t>*MARKET*
*SNAPSHOT*
*29 BOULEVARD T2*
_Area: Downtown_
_Type: studio apartment_
*Price dynamics, Dirham/sq.ft.*
_(M - median value)_
```2434|                 **** ```
```    |                      ```
```    |                      ```
```2020|---------------------M```
```    |         *  *****     ```
```    |                      ```
```    |        *  *          ```
```    |          *           ```
```    |                      ```
```    |       *             *```
```1212|      *               ```
```____|______________________```
```    |Mar2020        Jan2026```
_Source: see table below_
*Latest sales transactions*
```Date   Price  BUA Type P/sf```
```------------2026-----------```
```15Jan   700K  495 XX03 1414```
```------------2024-----------```
```28Nov   1.2M  495 XX03 2424```
```06Nov   1.2M  493 XX03 2434```
```08Oct   1.2M  493 XX03 2434```
```02Aug   1.2M  495 XX03 2424```
```05Feb     1M  495 XX03 2020```
```02Feb     1M  495 XX03 2020```
```------------2023-----------```
```22Nov     1M  495 XX03 2020```
```22Nov     1M  495 XX03 2020```
```10May     1M  495 XX03 2020```
```09May   920K  495 XX03 1859```
```15Mar   850K  495 XX03 1717```
```------------2022-----------```
```11Aug     1M  495 XX03 2020```
```------------2020-----------```
```17Sep   880K  495 XX03 1778```
```10Aug   740K  495 XX03 1495```
```12Mar   600K  495 XX03 1212```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</si>
  <si>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1006502, *NEW RE</t>
  </si>
  <si>
    <t>1006504, *SALES*</t>
  </si>
  <si>
    <t>*SALES*
*TRANSACTIONS**
*29 BOULEVARD T2*
_Area: Downtown_
_Type: 1 bedroom apartment_
_Gross ROI=5.92%_
_Median annual rent=120K_
```Date   Price  BUA Type P/sf```
```------------2025-----------```
```22Dec  2.24M  879 XX06 2548```
```03Dec  2.35M 1853 XX10 1268```
```24Nov  2.65M 1149 XX08 2306```
```10Nov     2M  902 XX06 2217```
```07Nov     2M  854 XX01 2342```
```02Sep  2.15M  828 XX10 2597```
```27Aug  2.25M  850 XX05 2647```
```14Aug   975K  828 XX10 1178```
```04Aug   2.3M  850 XX05 2706```
```28Jul  1.85M  800 XX02 2313```
```11Jul 2.375M 1054 XX02 2253```
```09Jul 2.072M 1044 XX11 1985```
```08Jul  1.92M  853 XX01 2251```
```14May 2.025M  850 XX05 2382```
```29Apr 2.001M  799 XX04 2504```
```23Apr  2.55M  990 XX08 2576```
```09Apr  2.15M  903 XX06 2381```
```25Mar   2.1M  849 XX05 2473```
```07Mar  2.03M  854 XX01 2377```
```05Mar 2.225M  902 XX06 2467```
```24Feb   1.9M  800 XX02 2375```
```18Feb  2.05M  799 XX04 2566```
```13Feb   2.4M 1107 XX01 2168```
```13Feb  1.78M  799 XXXX 2228```
```30Jan   1.7M  800 XX02 2125```
```------------2024-----------```
```09Dec  1.95M  828 XX10 2355```
```18Nov 1.606M  828 XX10 1940```
```12Nov   2.5M 1129 XX08 2214```
```18Oct   2.1M  800 XX02 2625```
```01Oct 1.733M  840 XX05 2063```
_Source: DLD, Databot_
_BUA - built-up area, sq.ft._
_P/sf - price per sq.ft._
_B - bedrooms; O - office_
_M - million, K- thousand_
_S - studio, R - shop_
_*Max 30 latest transactions_
www.trydatabot.com</t>
  </si>
  <si>
    <t>1006505, *MARKET</t>
  </si>
  <si>
    <t>*MARKET*
*SNAPSHOT*
*29 BOULEVARD T2*
_Area: Downtown_
_Type: 1 bedroom apartment_
*Price dynamics, Dirham/sq.ft.*
_(M - median value)_
```2706|             * *      ```
```    |*     **        *    *```
```2379|---------------------M```
```    | *****  *        *    ```
```    |         * **     **  ```
```    |                      ```
```    |          *           ```
```    |                      ```
```    |                      ```
```    |                      ```
```1178|              *     * ```
```____|______________________```
```    |Feb2025        Dec2025```
_Source: see table below_
*Latest sales transactions*
```Date   Price  BUA Type P/sf```
```------------2025-----------```
```22Dec  2.24M  879 XX06 2548```
```03Dec  2.35M 1853 XX10 1268```
```24Nov  2.65M 1149 XX08 2306```
```10Nov     2M  902 XX06 2217```
```07Nov     2M  854 XX01 2342```
```02Sep  2.15M  828 XX10 2597```
```27Aug  2.25M  850 XX05 2647```
```14Aug   975K  828 XX10 1178```
```04Aug   2.3M  850 XX05 2706```
```28Jul  1.85M  800 XX02 2313```
```11Jul 2.375M 1054 XX02 2253```
```09Jul 2.072M 1044 XX11 1985```
```08Jul  1.92M  853 XX01 2251```
```14May 2.025M  850 XX05 2382```
```29Apr 2.001M  799 XX04 2504```
```23Apr  2.55M  990 XX08 2576```
```09Apr  2.15M  903 XX06 2381```
```25Mar   2.1M  849 XX05 2473```
```07Mar  2.03M  854 XX01 2377```
```05Mar 2.225M  902 XX06 2467```
```24Feb   1.9M  800 XX02 2375```
```18Feb  2.05M  799 XX04 2566```
```13Feb   2.4M 1107 XX01 2168```
```13Feb  1.78M  799 XXXX 2228```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</si>
  <si>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1006506, *NEW RE</t>
  </si>
  <si>
    <t>1006508, *SALES*</t>
  </si>
  <si>
    <t>*SALES*
*TRANSACTIONS**
*29 BOULEVARD T2*
_Area: Downtown_
_Type: 2 bedroom apartment_
_Gross ROI=5.67%_
_Median annual rent=179K_
```Date   Price  BUA Type P/sf```
```------------2026-----------```
```19Jan   2.2M 1112 XX02 1978```
```------------2025-----------```
```17Dec   3.3M 1008 XX07 3274```
```14Nov  2.75M 1286 XX05 2138```
```13Oct   3.3M 1280 XX08 2578```
```22Sep   3.3M 1189 XX08 2775```
```08Sep 2.817M 1008 XX07 2794```
```28Jul  3.35M 1440 XX09 2326```
```03Mar  3.25M 1189 XX08 2733```
```29Jan 3.235M 1405 XX09 2302```
```06Jan   3.2M 1030 XX07 3107```
```------------2024-----------```
```23Dec  3.31M 1440 XX09 2299```
```19Dec  2.98M 1440 XX09 2069```
```09Jul     3M 1440 XX09 2083```
```30May   2.1M 1340 XX09 1567```
```02Apr   2.7M 1031 XX07 2619```
```29Feb  3.05M 1440 XX09 2118```
```------------2023-----------```
```27Nov     3M 1440 XX09 2083```
```23Nov   2.8M 1297 XX07 2159```
```31Oct   2.1M 1030 XX07 2039```
```27Oct   3.4M 1706 XX05 1993```
```06Oct  3.05M 1440 XX09 2118```
```30Aug 3.025M 1440 XX09 2101```
```02Aug   3.4M 1704 XX04 1995```
```06Jun   3.2M 1189 XX08 2691```
```03May   3.1M 1440 XX09 2153```
```02May  2.65M 1440 XX09 1840```
```27Feb   2.4M 3401 XX02  706```
```27Jan  2.25M 1030 XX07 2184```
```------------2022-----------```
```16Nov   2.8M 1405 XX09 1993```
```21Oct   2.9M 1440 XX09 2014```
_Source: DLD, Databot_
_BUA - built-up area, sq.ft._
_P/sf - price per sq.ft._
_B - bedrooms; O - office_
_M - million, K- thousand_
_S - studio, R - shop_
_*Max 30 latest transactions_
www.trydatabot.com</t>
  </si>
  <si>
    <t>1006509, *MARKET</t>
  </si>
  <si>
    <t>*MARKET*
*SNAPSHOT*
*29 BOULEVARD T2*
_Area: Downtown_
_Type: 2 bedroom apartment_
*Price dynamics, Dirham/sq.ft.*
_(M - median value)_
```3274|                    * ```
```    |            *         ```
```    |                      ```
```    |              * **    ```
```    |       *          *   ```
```    |                      ```
```    |           * * *      ```
```2149|---------------------M```
```    |*******  **        *  ```
```    |                     *```
```1567|        *             ```
```____|______________________```
```    |Aug2023        Jan2026```
_Source: see table below_
*Latest sales transactions*
```Date   Price  BUA Type P/sf```
```------------2026-----------```
```19Jan   2.2M 1112 XX02 1978```
```------------2025-----------```
```17Dec   3.3M 1008 XX07 3274```
```14Nov  2.75M 1286 XX05 2138```
```13Oct   3.3M 1280 XX08 2578```
```22Sep   3.3M 1189 XX08 2775```
```08Sep 2.817M 1008 XX07 2794```
```28Jul  3.35M 1440 XX09 2326```
```03Mar  3.25M 1189 XX08 2733```
```29Jan 3.235M 1405 XX09 2302```
```06Jan   3.2M 1030 XX07 3107```
```------------2024-----------```
```23Dec  3.31M 1440 XX09 2299```
```19Dec  2.98M 1440 XX09 2069```
```09Jul     3M 1440 XX09 2083```
```30May   2.1M 1340 XX09 1567```
```02Apr   2.7M 1031 XX07 2619```
```29Feb  3.05M 1440 XX09 2118```
```------------2023-----------```
```27Nov     3M 1440 XX09 2083```
```23Nov   2.8M 1297 XX07 2159```
```31Oct   2.1M 1030 XX07 2039```
```27Oct   3.4M 1706 XX05 1993```
```06Oct  3.05M 1440 XX09 2118```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</si>
  <si>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1006510, *NEW RE</t>
  </si>
  <si>
    <t>1006512, *SALES*</t>
  </si>
  <si>
    <t>*SALES*
*TRANSACTIONS**
*29 BOULEVARD T2*
_Area: Downtown_
_Type: 3 bedroom apartment_
```Date   Price  BUA Type P/sf```
```------------2025-----------```
```12May   4.3M 1535 XX08 2801```
```13Jan  4.52M 1694 XX01 2668```
```------------2024-----------```
```12Nov   3.7M 1694 XX01 2184```
_Source: DLD, Databot_
_BUA - built-up area, sq.ft._
_P/sf - price per sq.ft._
_B - bedrooms; O - office_
_M - million, K- thousand_
_S - studio, R - shop_
_*Max 30 latest transactions_
www.trydatabot.com</t>
  </si>
  <si>
    <t>1006513, *MARKET</t>
  </si>
  <si>
    <t>*MARKET*
*SNAPSHOT*
*29 BOULEVARD T2*
_Area: Downtown_
_Type: 3 bedroom apartment_
*Price dynamics, Dirham/sq.ft.*
_(M - median value)_
```2801|                     *```
```    |                      ```
```2668|---------------------M```
```    |                    * ```
```    |                      ```
```    |                      ```
```    |                      ```
```    |                      ```
```    |                      ```
```    |                      ```
```2184|                   *  ```
```____|______________________```
```    |Nov2024        May2025```
_Source: see table below_
*Latest sales transactions*
```Date   Price  BUA Type P/sf```
```------------2025-----------```
```12May   4.3M 1535 XX08 2801```
```13Jan  4.52M 1694 XX01 2668```
```------------2024-----------```
```12Nov   3.7M 1694 XX01 2184```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</si>
  <si>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1006514, *NEW RE</t>
  </si>
  <si>
    <t>*NEW RENT*
*CONTRACTS**
_(renewals are not included)_
*29 BOULEVARD T1+T2+P*
_Area: Downtown_
_Type: 3 bedroom apartment_
```Date  Price   BUA  Type D/s```
```------------2025-----------```
```24Jun  245K  2120  XXXX 116```
```------------2024-----------```
```01May  170K  1744  XXXX  97```
```01Apr  230K  2120  XXXX 108```
```10Jan  280K  1539  XXXX 182```
```------------2023-----------```
```22Aug  178K  1690  XXXX 105```
```------------2021-----------```
```15Dec  180K  2120  XXXX  85```
```08Sep  158K  1755  XXXX  90```
```23Aug  129K  1690  XXXX  76```
```------------2020-----------```
```01Sep  105K  1744  XXXX  60```
```23Aug  105K  1755  XXXX  60```
```12Jun  127K  1539  XXXX  83```
```------------2018-----------```
```01Aug  165K  1539  XXXX 107```
```15May   95K  1755  XXXX  54```
```22Apr  200K  1744  XXXX 115```
```------------2017-----------```
```26Nov  150K  1755  XXXX  85```
```07Jul  182K  1690  XXXX 108```
```25Jun  163K  1442  XXXX 113```
```------------2016-----------```
```15Mar  225K  1539  XXXX 146```
```01Mar  185K  1744  XXXX 106```
```------------2015-----------```
```14Jan  180K  1744  XXXX 103```
_Source: DLD, Databot_
_BUA - built-up area, sq.ft._
_P/sf - price per sq.ft._
_B - bedrooms; O - office_
_M - million, K- thousand_
_S - studio, R - shop_
_*20 latest contracts_
www.trydatabot.com</t>
  </si>
  <si>
    <t>1006534, *NEW RE</t>
  </si>
  <si>
    <t>1006548, *NEW RE</t>
  </si>
  <si>
    <t>1006549, *SALES*</t>
  </si>
  <si>
    <t>*SALES*
*TRANSACTIONS**
*29 BOULEVARD T2*
_Area: Downtown_
_All types/bedrooms_
```Date    Price   BUA  Type B```
```------------2026-----------```
```19Jan    2.2M  1112  XX02 2```
```15Jan    700K   495  XX03 S```
```------------2025-----------```
```22Dec   2.24M   879  XX06 1```
```17Dec    3.3M  1008  XX07 2```
```03Dec   2.35M  1853  XX10 1```
```24Nov   2.65M  1149  XX08 1```
```14Nov   2.75M  1286  XX05 2```
```10Nov      2M   902  XX06 1```
```07Nov      2M   854  XX01 1```
```13Oct    3.3M  1280  XX08 2```
```22Sep    3.3M  1189  XX08 2```
```08Sep  2.817M  1008  XX07 2```
```02Sep   2.15M   828  XX10 1```
```27Aug   2.25M   850  XX05 1```
```14Aug    975K   828  XX10 1```
```04Aug    2.3M   850  XX05 1```
```28Jul   3.35M  1440  XX09 2```
```28Jul   1.85M   800  XX02 1```
```11Jul  2.375M  1054  XX02 1```
```09Jul  2.072M  1044  XX11 1```
```08Jul   1.92M   853  XX01 1```
```14May  2.025M   850  XX05 1```
```12May    4.3M  1535  XX08 3```
```29Apr  2.001M   799  XX04 1```
```23Apr   2.55M   990  XX08 1```
```09Apr   2.15M   903  XX06 1```
```25Mar    2.1M   849  XX05 1```
```07Mar   2.03M   854  XX01 1```
```05Mar  2.225M   902  XX06 1```
```03Mar   3.25M  1189  XX08 2```
_Source: DLD, Databot_
_BUA - built-up area, sq.ft._
_P/sf - price per sq.ft._
_B - bedrooms; O - office_
_M - million, K- thousand_
_S - studio, R - shop_
_*Max 30 latest transactions_
www.trydatabot.com</t>
  </si>
  <si>
    <t>1006550, by code, *BUILDI</t>
  </si>
  <si>
    <t xml:space="preserve">*BUILDING*
*PROFILE*
*29 BOULEVARD T2*
_Area: Downtown_
_Tap&amp;hold to copy a reply_
```-------------------------```
```Report              Reply```
```-------------------------```
*Studio*
```Sales, ROI        1006500```
```Price chart       1006501```
```Rentals           1006502```
*1 B/R*
```Sales, ROI        1006504```
```Price chart       1006505```
```Rentals           1006506```
*2 B/R*
```Sales, ROI        1006508```
```Price chart       1006509```
```Rentals           1006510```
*3 B/R*
```Sales, ROI        1006512```
```Price chart       1006513```
```Rentals           1006514```
*All types/bedrooms*
```Sales, ROI        1006549```
```Rentals           1006548```
</t>
  </si>
  <si>
    <t>1006564, *SALES*</t>
  </si>
  <si>
    <t>*SALES*
*TRANSACTIONS (RESALE)**
*29 BOULEVARD PODIUM*
_Area: Downtown_
_Type: studio apartment_
_Gross ROI=6.96%_
_Median annual rent=80K_
```Date   Price  BUA Type P/sf```
```------------2025-----------```
```18Nov  1.11M  504 XX05 2202```
```27Oct  1.11M  461 XX11 2408```
```06Oct  1.15M  454 XX13 2533```
```04Aug   1.1M  432 XX02 2546```
```04Jun 1.235M  569 XX14 2170```
```22May  1.07M  408 XX04 2623```
```12Mar  1.15M  456 XX07 2522```
```10Mar  1.15M  480 XX09 2396```
```06Mar  1.15M  462 XX12 2489```
```05Mar  1.13M  402 XX03 2811```
```------------2024-----------```
```19Nov 1.131M  407 XX14 2779```
```------------2023-----------```
```10Nov 1.025M  569 XX14 1801```
```------------2022-----------```
```26Jul   845K  454 XX13 1861```
```03Mar   830K  456 XX07 1820```
```22Feb 321.6K  454 XX13  708```
```------------2021-----------```
```22Aug 748.5K  589 XX13 1271```
```------------2019-----------```
```24Feb   865K  663 XX05 1305```
```------------2018-----------```
```13Nov   850K  572 XX03 1486```
_Source: DLD, Databot_
_BUA - built-up area, sq.ft._
_P/sf - price per sq.ft._
_B - bedrooms; O - office_
_M - million, K- thousand_
_S - studio, R - shop_
_*Max 30 latest transactions_
www.trydatabot.com</t>
  </si>
  <si>
    <t>29 Boulevard Podium</t>
  </si>
  <si>
    <t>1006565, *MARKET</t>
  </si>
  <si>
    <t>*MARKET*
*SNAPSHOT*
*29 BOULEVARD PODIUM*
_Area: Downtown_
_Type: studio apartment_
*Price dynamics, Dirham/sq.ft.*
_(M - median value)_
```2811|           **         ```
```    |               ** **  ```
```2299|---------------------M```
```    |             **     * ```
```    |                 *   *```
```    |                      ```
```    |        ***           ```
```    |    *                 ```
```    |     **               ```
```    |                      ```
```708 |       *              ```
```____|______________________```
```    |Nov2018        Nov2025```
_Source: see table below_
*Latest sales transactions*
```Date   Price  BUA Type P/sf```
```------------2025-----------```
```18Nov  1.11M  504 XX05 2202```
```27Oct  1.11M  461 XX11 2408```
```06Oct  1.15M  454 XX13 2533```
```04Aug   1.1M  432 XX02 2546```
```04Jun 1.235M  569 XX14 2170```
```22May  1.07M  408 XX04 2623```
```12Mar  1.15M  456 XX07 2522```
```10Mar  1.15M  480 XX09 2396```
```06Mar  1.15M  462 XX12 2489```
```05Mar  1.13M  402 XX03 2811```
```------------2024-----------```
```19Nov 1.131M  407 XX14 2779```
```------------2023-----------```
```10Nov 1.025M  569 XX14 1801```
```------------2022-----------```
```26Jul   845K  454 XX13 1861```
```03Mar   830K  456 XX07 1820```
```22Feb 321.6K  454 XX13  708```
```------------2021-----------```
```22Aug 748.5K  589 XX13 1271```
```------------2019-----------```
```24Feb   865K  663 XX05 1305```
```------------2018-----------```
```13Nov   850K  572 XX03 1486```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</si>
  <si>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1006566, *NEW RE</t>
  </si>
  <si>
    <t>1006567, *RESELL</t>
  </si>
  <si>
    <t>*RESELL*
*VS PRIMARY*
*29 BOULEVARD PODIUM*
_Area: Downtown_
_Type: studio apartment_
*Price dynamics, Dirham/sq.ft.*
_(x - primary; * - resell)_
```3639|          x           ```
```    |                      ```
```    |                      ```
```    |                      ```
```3051|                      ```
```    |                      ```
```    |           **         ```
```    |                * *   ```
```    |             ***   ** ```
```2170|                 *   *```
```____|______________________```
```    |Dec1899        Nov2025```
_Source: see a table below_
*Latest resell transactions*
```Date   Price  BUA Type P/sf```
```------------2025-----------```
```18Nov  1.11M  504 XX05 2202```
```27Oct  1.11M  461 XX11 2408```
```06Oct  1.15M  454 XX13 2533```
```04Aug   1.1M  432 XX02 2546```
```04Jun 1.235M  569 XX14 2170```
```22May  1.07M  408 XX04 2623```
```12Mar  1.15M  456 XX07 2522```
```10Mar  1.15M  480 XX09 2396```
```06Mar  1.15M  462 XX12 2489```
```05Mar  1.13M  402 XX03 2811```
```------------2024-----------```
```19Nov 1.131M  407 XX14 2779```
```------------2023-----------```
```10Nov 1.025M  569 XX14 1801```
```------------2022-----------```
```26Jul   845K  454 XX13 1861```
```03Mar   830K  456 XX07 1820```
```22Feb 321.6K  454 XX13  708```
*Latest primary transactions*
```------------2025-----------```
```28Feb 1.747M  480 XX09 3639```</t>
  </si>
  <si>
    <t>1006568, *SALES*</t>
  </si>
  <si>
    <t>*SALES*
*TRANSACTIONS**
*29 BOULEVARD PODIUM*
_Area: Downtown_
_Type: 1 bedroom apartment_
```Date   Price  BUA Type P/sf```
```------------2024-----------```
```01Jul  1.68M  766 XX01 2193```
```------------2023-----------```
```15Nov   1.5M  749 XX01 2003```
```22Jun   1.2M  809 XX04 1483```
```15Feb 1.126M  766 XX01 1470```
```------------2022-----------```
```21Nov  1.38M 1079 XX01 1279```
```------------2021-----------```
```09Aug   1.2M  809 XX04 1483```
_Source: DLD, Databot_
_BUA - built-up area, sq.ft._
_P/sf - price per sq.ft._
_B - bedrooms; O - office_
_M - million, K- thousand_
_S - studio, R - shop_
_*Max 30 latest transactions_
www.trydatabot.com</t>
  </si>
  <si>
    <t>1006569, *MARKET</t>
  </si>
  <si>
    <t>*MARKET*
*SNAPSHOT*
*29 BOULEVARD PODIUM*
_Area: Downtown_
_Type: 1 bedroom apartment_
*Price dynamics, Dirham/sq.ft.*
_(M - median value)_
```2193|                     *```
```    |                      ```
```    |                    * ```
```    |                      ```
```    |                      ```
```    |                      ```
```    |                      ```
```    |                      ```
```1483|---------------------M```
```    |                * **  ```
```1279|                 *    ```
```____|______________________```
```    |Aug2021        Jul2024```
_Source: see table below_
*Latest sales transactions*
```Date   Price  BUA Type P/sf```
```------------2024-----------```
```01Jul  1.68M  766 XX01 2193```
```------------2023-----------```
```15Nov   1.5M  749 XX01 2003```
```22Jun   1.2M  809 XX04 1483```
```15Feb 1.126M  766 XX01 1470```
```------------2022-----------```
```21Nov  1.38M 1079 XX01 1279```
```------------2021-----------```
```09Aug   1.2M  809 XX04 1483```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</si>
  <si>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1006570, *NEW RE</t>
  </si>
  <si>
    <t>1006572, *SALES*</t>
  </si>
  <si>
    <t>*SALES*
*TRANSACTIONS**
*29 BOULEVARD PODIUM*
_Area: Downtown_
_Type: 2 bedroom apartment_
_Gross ROI=6.05% (confidence: low)_
_Median annual rent=179K_
```Date   Price  BUA Type P/sf```
```------------2025-----------```
```19Dec  2.92M 1559 XX06 1873```
```14Apr  3.36M 2252 XX17 1492```
```11Mar 2.514M 1559 XX06 1613```
```06Mar  3.24M 2690 XX18 1204```
```------------2024-----------```
```26Aug  2.55M 2252 XX17 1132```
```08Aug   2.4M 1226 XX15 1958```
```15Jul  2.45M 1219 XX15 2010```
```28Feb   3.2M 2690 XX18 1190```
```------------2023-----------```
```19Sep   2.6M 1426 XX18 1823```
```24Aug  2.08M 1426 XX18 1459```
```08Jun 3.523M 2690 XX18 1310```
```26Apr 2.225M 1353 XX11 1644```
```13Apr   2.1M 1426 XX18 1473```
```------------2021-----------```
```25Feb   1.4M 1426 XX18  982```
```------------2019-----------```
```17Oct 1.535M 1471 XX09 1044```
_Source: DLD, Databot_
_BUA - built-up area, sq.ft._
_P/sf - price per sq.ft._
_B - bedrooms; O - office_
_M - million, K- thousand_
_S - studio, R - shop_
_*Max 30 latest transactions_
www.trydatabot.com</t>
  </si>
  <si>
    <t>1006573, *MARKET</t>
  </si>
  <si>
    <t>*MARKET*
*SNAPSHOT*
*29 BOULEVARD PODIUM*
_Area: Downtown_
_Type: 2 bedroom apartment_
*Price dynamics, Dirham/sq.ft.*
_(M - median value)_
```2010|               *      ```
```    |                *    *```
```    |             *        ```
```    |                      ```
```    |          *        *  ```
```1473|---------------------M```
```    |         *  *       * ```
```    |                      ```
```    |           *          ```
```    |              *  **   ```
```982 |       **             ```
```____|______________________```
```    |Oct2019        Dec2025```
_Source: see table below_
*Latest sales transactions*
```Date   Price  BUA Type P/sf```
```------------2025-----------```
```19Dec  2.92M 1559 XX06 1873```
```14Apr  3.36M 2252 XX17 1492```
```11Mar 2.514M 1559 XX06 1613```
```06Mar  3.24M 2690 XX18 1204```
```------------2024-----------```
```26Aug  2.55M 2252 XX17 1132```
```08Aug   2.4M 1226 XX15 1958```
```15Jul  2.45M 1219 XX15 2010```
```28Feb   3.2M 2690 XX18 1190```
```------------2023-----------```
```19Sep   2.6M 1426 XX18 1823```
```24Aug  2.08M 1426 XX18 1459```
```08Jun 3.523M 2690 XX18 1310```
```26Apr 2.225M 1353 XX11 1644```
```13Apr   2.1M 1426 XX18 1473```
```------------2021-----------```
```25Feb   1.4M 1426 XX18  982```
```------------2019-----------```
```17Oct 1.535M 1471 XX09 1044```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</si>
  <si>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1006574, *NEW RE</t>
  </si>
  <si>
    <t>1006576, *SALES*</t>
  </si>
  <si>
    <t>*SALES*
*TRANSACTIONS**
*29 BOULEVARD PODIUM*
_Area: Downtown_
_Type: 3 bedroom apartment_
```Date   Price  BUA Type P/sf```
```------------2025-----------```
```11Nov     4M 1687 XX14 2371```
```10Jun  3.75M 1774 XX02 2114```
```------------2024-----------```
```04Oct  3.65M 1687 XX14 2164```
```10Sep   3.8M 1752 XX16 2169```
```06Feb     3M 1752 XX16 1712```
```------------2023-----------```
```09Nov     3M 1687 XX14 1778```
```14Aug   3.2M 1774 XX02 1804```
```13Jul  3.25M 1740 XX05 1868```
```09Jun   2.7M 1740 XX05 1552```
```18Apr  2.75M 1774 XX02 1550```
```18Apr   2.6M 1687 XX14 1541```
```------------2019-----------```
```13May 1.815M 1752 XX16 1036```
_Source: DLD, Databot_
_BUA - built-up area, sq.ft._
_P/sf - price per sq.ft._
_B - bedrooms; O - office_
_M - million, K- thousand_
_S - studio, R - shop_
_*Max 30 latest transactions_
www.trydatabot.com</t>
  </si>
  <si>
    <t>1006577, *MARKET</t>
  </si>
  <si>
    <t>*MARKET*
*SNAPSHOT*
*29 BOULEVARD PODIUM*
_Area: Downtown_
_Type: 3 bedroom apartment_
*Price dynamics, Dirham/sq.ft.*
_(M - median value)_
```2371|                     *```
```    |                      ```
```    |                  *** ```
```    |                      ```
```1791|---------------------M```
```    |              ***     ```
```    |                 *    ```
```    |           ***        ```
```    |                      ```
```    |                      ```
```1036|          *           ```
```____|______________________```
```    |May2019        Nov2025```
_Source: see table below_
*Latest sales transactions*
```Date   Price  BUA Type P/sf```
```------------2025-----------```
```11Nov     4M 1687 XX14 2371```
```10Jun  3.75M 1774 XX02 2114```
```------------2024-----------```
```04Oct  3.65M 1687 XX14 2164```
```10Sep   3.8M 1752 XX16 2169```
```06Feb     3M 1752 XX16 1712```
```------------2023-----------```
```09Nov     3M 1687 XX14 1778```
```14Aug   3.2M 1774 XX02 1804```
```13Jul  3.25M 1740 XX05 1868```
```09Jun   2.7M 1740 XX05 1552```
```18Apr  2.75M 1774 XX02 1550```
```18Apr   2.6M 1687 XX14 1541```
```------------2019-----------```
```13May 1.815M 1752 XX16 1036```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</si>
  <si>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1006578, *NEW RE</t>
  </si>
  <si>
    <t>1006598, *NEW RE</t>
  </si>
  <si>
    <t>1006612, *NEW RE</t>
  </si>
  <si>
    <t>1006613, *SALES*</t>
  </si>
  <si>
    <t>*SALES*
*TRANSACTIONS (RESALE)**
*29 BOULEVARD PODIUM*
_Area: Downtown_
_All types/bedrooms_
```Date    Price   BUA  Type B```
```------------2025-----------```
```19Dec   2.92M  1559  XX06 2```
```18Nov   1.11M   504  XX05 S```
```11Nov      4M  1687  XX14 3```
```27Oct   1.11M   461  XX11 S```
```06Oct   1.15M   454  XX13 S```
```04Aug    1.1M   432  XX02 S```
```10Jun   3.75M  1774  XX02 3```
```04Jun  1.235M   569  XX14 S```
```22May   1.07M   408  XX04 S```
```14Apr   3.36M  2252  XX17 2```
```12Mar   1.15M   456  XX07 S```
```11Mar  2.514M  1559  XX06 2```
```10Mar   1.15M   480  XX09 S```
```06Mar   3.24M  2690  XX18 2```
```06Mar   1.15M   462  XX12 S```
```05Mar   1.13M   402  XX03 S```
```------------2024-----------```
```19Nov  1.131M   407  XX14 S```
```04Oct   3.65M  1687  XX14 3```
```10Sep    3.8M  1752  XX16 3```
```26Aug   2.55M  2252  XX17 2```
```08Aug    2.4M  1226  XX15 2```
```15Jul   2.45M  1219  XX15 2```
```01Jul   1.68M   766  XX01 1```
```28Feb    3.2M  2690  XX18 2```
```06Feb      3M  1752  XX16 3```
```------------2023-----------```
```15Nov    1.5M   749  XX01 1```
```10Nov  1.025M   569  XX14 S```
```09Nov      3M  1687  XX14 3```
```19Sep    2.6M  1426  XX18 2```
```24Aug   2.08M  1426  XX18 2```
_Source: DLD, Databot_
_BUA - built-up area, sq.ft._
_P/sf - price per sq.ft._
_B - bedrooms; O - office_
_M - million, K- thousand_
_S - studio, R - shop_
_*Max 30 latest transactions_
www.trydatabot.com</t>
  </si>
  <si>
    <t>1006614, by code, *BUILDI</t>
  </si>
  <si>
    <t xml:space="preserve">*BUILDING*
*PROFILE*
*29 BOULEVARD PODIUM*
_Area: Downtown_
_Tap&amp;hold to copy a reply_
```-------------------------```
```Report              Reply```
```-------------------------```
*Studio*
```Resell, ROI       1006564```
```Primary sales     1006615```
```Price chart       1006565```
```Rentals           1006566```
```Appreciation      1006567```
*1 B/R*
```Sales, ROI        1006568```
```Price chart       1006569```
```Rentals           1006570```
*2 B/R*
```Sales, ROI        1006572```
```Price chart       1006573```
```Rentals           1006574```
*3 B/R*
```Sales, ROI        1006576```
```Price chart       1006577```
```Rentals           1006578```
*All types/bedrooms*
```Resell, ROI       1006613```
```Primary sales     1006627```
```Rentals           1006612```
</t>
  </si>
  <si>
    <t>1006615, *SALES*</t>
  </si>
  <si>
    <t>*SALES*
*TRANSACTIONS (PRIMARY)**
*29 BOULEVARD PODIUM*
_Area: Downtown_
_Type: studio apartment_
```Date   Price  BUA Type P/sf```
```------------2025-----------```
```28Feb 1.747M  480 XX09 3639```
_Source: DLD, Databot_
_BUA - built-up area, sq.ft._
_P/sf - price per sq.ft._
_B - bedrooms; O - office_
_M - million, K- thousand_
_S - studio, R - shop_
_*Max 20 latest transactions_
www.trydatabot.com</t>
  </si>
  <si>
    <t>1006627, *SALES*</t>
  </si>
  <si>
    <t>*SALES*
*TRANSACTIONS (PRIMARY)**
*29 BOULEVARD PODIUM*
_Area: Downtown_
_All types/bedrooms_
```Date    Price   BUA  Type B```
```------------2025-----------```
```28Feb  1.747M   480  XX09 S```
_Source: DLD, Databot_
_BUA - built-up area, sq.ft._
_P/sf - price per sq.ft._
_B - bedrooms; O - office_
_M - million, K- thousand_
_S - studio, R - shop_
_*Max 20 latest transactions_
www.trydatabot.com</t>
  </si>
  <si>
    <t>1006628, *SALES*</t>
  </si>
  <si>
    <t>*SALES*
*TRANSACTIONS (RESALE)**
*29 BOULEVARD T1+T2+P*
_Area: Downtown_
_Type: studio apartment_
_Gross ROI=7.19%_
_Median annual rent=80K_
```Date   Price  BUA Type P/sf```
```------------2026-----------```
```15Jan   700K  495 XX03 1414```
```------------2025-----------```
```18Nov  1.11M  504 XX05 2202```
```27Oct  1.11M  461 XX11 2408```
```06Oct  1.15M  454 XX13 2533```
```04Aug   1.1M  432 XX02 2546```
```21Jul 1.115M  469 XX03 2377```
```04Jun 1.235M  569 XX14 2170```
```22May  1.07M  408 XX04 2623```
```11Apr 974.9K  469 XX03 2079```
```12Mar  1.15M  456 XX07 2522```
```10Mar  1.15M  480 XX09 2396```
```06Mar  1.15M  462 XX12 2489```
```05Mar  1.13M  402 XX03 2811```
```------------2024-----------```
```28Nov   1.2M  495 XX03 2424```
```25Nov  1.25M  465 XX03 2688```
```19Nov 1.131M  407 XX14 2779```
```06Nov   1.2M  493 XX03 2434```
```09Oct  1.28M  469 XX03 2729```
```08Oct   1.2M  493 XX03 2434```
```02Aug   1.2M  495 XX03 2424```
```05Feb  1.05M  469 XX03 2239```
```05Feb     1M  495 XX03 2020```
```02Feb     1M  495 XX03 2020```
```------------2023-----------```
```22Nov  1.05M  469 XX03 2239```
```22Nov     1M  495 XX03 2020```
```22Nov     1M  495 XX03 2020```
```10Nov 1.025M  569 XX14 1801```
```30Oct  1.03M  469 XX03 2196```
```07Jul     1M  468 XX03 2137```
```23Jun  1.15M  469 XX03 2452```
_Source: DLD, Databot_
_BUA - built-up area, sq.ft._
_P/sf - price per sq.ft._
_B - bedrooms; O - office_
_M - million, K- thousand_
_S - studio, R - shop_
_*Max 30 latest transactions_
www.trydatabot.com</t>
  </si>
  <si>
    <t>29 Boulevard T1+T2+P</t>
  </si>
  <si>
    <t>1006629, *MARKET</t>
  </si>
  <si>
    <t>*MARKET*
*SNAPSHOT*
*29 BOULEVARD T1+T2+P*
_Area: Downtown_
_Type: studio apartment_
*Price dynamics, Dirham/sq.ft.*
_(M - median value)_
```2811|      *  *            ```
```    |    *  *      *       ```
```    |          * *    **   ```
```2429|---------------------M```
```    |  ** *  *  *    *  *  ```
```    | *                  * ```
```    |             * *      ```
```    |*                     ```
```    |                      ```
```    |                      ```
```1414|                     *```
```____|______________________```
```    |Feb2024        Jan2026```
_Source: see table below_
*Latest sales transactions*
```Date   Price  BUA Type P/sf```
```------------2026-----------```
```15Jan   700K  495 XX03 1414```
```------------2025-----------```
```18Nov  1.11M  504 XX05 2202```
```27Oct  1.11M  461 XX11 2408```
```06Oct  1.15M  454 XX13 2533```
```04Aug   1.1M  432 XX02 2546```
```21Jul 1.115M  469 XX03 2377```
```04Jun 1.235M  569 XX14 2170```
```22May  1.07M  408 XX04 2623```
```11Apr 974.9K  469 XX03 2079```
```12Mar  1.15M  456 XX07 2522```
```10Mar  1.15M  480 XX09 2396```
```06Mar  1.15M  462 XX12 2489```
```05Mar  1.13M  402 XX03 2811```
```------------2024-----------```
```28Nov   1.2M  495 XX03 2424```
```25Nov  1.25M  465 XX03 2688```
```19Nov 1.131M  407 XX14 2779```
```06Nov   1.2M  493 XX03 2434```
```09Oct  1.28M  469 XX03 2729```
```08Oct   1.2M  493 XX03 2434```
```02Aug   1.2M  495 XX03 2424```
```05Feb  1.05M  469 XX03 2239```
```05Feb     1M  495 XX03 2020```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</si>
  <si>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1006630, *NEW RE</t>
  </si>
  <si>
    <t>1006631, *RESELL</t>
  </si>
  <si>
    <t>*RESELL*
*VS PRIMARY*
*29 BOULEVARD T1+T2+P*
_Area: Downtown_
_Type: studio apartment_
*Price dynamics, Dirham/sq.ft.*
_(x - primary; * - resell)_
```3639|          x           ```
```    |                      ```
```    |                      ```
```    |                      ```
```2747|                      ```
```    |            * *  **   ```
```    |           *    *  ** ```
```    |             * *      ```
```    |                      ```
```1414|                     *```
```____|______________________```
```    |Dec1899        Jan2026```
_Source: see a table below_
*Latest resell transactions*
```Date   Price  BUA Type P/sf```
```------------2026-----------```
```15Jan   700K  495 XX03 1414```
```------------2025-----------```
```18Nov  1.11M  504 XX05 2202```
```27Oct  1.11M  461 XX11 2408```
```06Oct  1.15M  454 XX13 2533```
```04Aug   1.1M  432 XX02 2546```
```21Jul 1.115M  469 XX03 2377```
```04Jun 1.235M  569 XX14 2170```
```22May  1.07M  408 XX04 2623```
```11Apr 974.9K  469 XX03 2079```
```12Mar  1.15M  456 XX07 2522```
```10Mar  1.15M  480 XX09 2396```
```06Mar  1.15M  462 XX12 2489```
```05Mar  1.13M  402 XX03 2811```
```------------2024-----------```
```28Nov   1.2M  495 XX03 2424```
```25Nov  1.25M  465 XX03 2688```
```19Nov 1.131M  407 XX14 2779```
*Latest primary transactions*
```------------2025-----------```
```28Feb 1.747M  480 XX09 3639```</t>
  </si>
  <si>
    <t>1006632, *SALES*</t>
  </si>
  <si>
    <t>*SALES*
*TRANSACTIONS**
*29 BOULEVARD T1+T2+P*
_Area: Downtown_
_Type: 1 bedroom apartment_
_Gross ROI=6.15%_
_Median annual rent=120K_
```Date   Price  BUA Type P/sf```
```------------2025-----------```
```22Dec  2.24M  879 XX06 2548```
```10Dec  1.85M  838 XXXX 2208```
```05Dec  1.95M  801 XX04 2434```
```03Dec  2.35M 1853 XX10 1268```
```24Nov  2.65M 1149 XX08 2306```
```14Nov  1.75M  794 XX02 2204```
```11Nov   1.9M  838 XXXX 2267```
```10Nov     2M  902 XX06 2217```
```07Nov     2M  854 XX01 2342```
```29Oct  2.36M 1087 XXXX 2171```
```29Oct 1.925M  836 XX01 2303```
```27Oct  2.05M  836 XX01 2452```
```10Oct  2.05M  838 XXXX 2446```
```02Sep  2.15M  828 XX10 2597```
```27Aug  2.25M  850 XX05 2647```
```14Aug   975K  828 XX10 1178```
```04Aug   2.3M  850 XX05 2706```
```28Jul  1.85M  800 XX02 2313```
```22Jul 2.048M  836 XX01 2450```
```15Jul   1.8M  794 XX02 2267```
```11Jul 2.375M 1054 XX02 2253```
```09Jul 2.072M 1044 XX11 1985```
```08Jul  1.92M  853 XX01 2251```
```07Jul  2.55M  861 XX08 2962```
```12Jun   2.1M  794 XX02 2645```
```14May 2.025M  850 XX05 2382```
```12May     2M  799 XX04 2503```
```07May 2.235M  802 XX06 2787```
```02May   1.9M  838 XXXX 2267```
```29Apr  2.25M  770 XX03 2922```
_Source: DLD, Databot_
_BUA - built-up area, sq.ft._
_P/sf - price per sq.ft._
_B - bedrooms; O - office_
_M - million, K- thousand_
_S - studio, R - shop_
_*Max 30 latest transactions_
www.trydatabot.com</t>
  </si>
  <si>
    <t>1006633, *MARKET</t>
  </si>
  <si>
    <t>*MARKET*
*SNAPSHOT*
*29 BOULEVARD T1+T2+P*
_Area: Downtown_
_Type: 1 bedroom apartment_
*Price dynamics, Dirham/sq.ft.*
_(M - median value)_
```2706|     * *              ```
```    |        *            *```
```    |   *     **  *     *  ```
```2305|---------------------M```
```    | ** *      ** ****  * ```
```    |                      ```
```    |*                     ```
```    |                      ```
```    |                      ```
```    |                      ```
```1178|      *           *   ```
```____|______________________```
```    |Jul2025        Dec2025```
_Source: see table below_
*Latest sales transactions*
```Date   Price  BUA Type P/sf```
```------------2025-----------```
```22Dec  2.24M  879 XX06 2548```
```10Dec  1.85M  838 XXXX 2208```
```05Dec  1.95M  801 XX04 2434```
```03Dec  2.35M 1853 XX10 1268```
```24Nov  2.65M 1149 XX08 2306```
```14Nov  1.75M  794 XX02 2204```
```11Nov   1.9M  838 XXXX 2267```
```10Nov     2M  902 XX06 2217```
```07Nov     2M  854 XX01 2342```
```29Oct  2.36M 1087 XXXX 2171```
```29Oct 1.925M  836 XX01 2303```
```27Oct  2.05M  836 XX01 2452```
```10Oct  2.05M  838 XXXX 2446```
```02Sep  2.15M  828 XX10 2597```
```27Aug  2.25M  850 XX05 2647```
```14Aug   975K  828 XX10 1178```
```04Aug   2.3M  850 XX05 2706```
```28Jul  1.85M  800 XX02 2313```
```22Jul 2.048M  836 XX01 2450```
```15Jul   1.8M  794 XX02 2267```
```11Jul 2.375M 1054 XX02 2253```
```09Jul 2.072M 1044 XX11 1985```
```08Jul  1.92M  853 XX01 2251```
```07Jul  2.55M  861 XX08 2962```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</si>
  <si>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1006634, *NEW RE</t>
  </si>
  <si>
    <t>1006636, *SALES*</t>
  </si>
  <si>
    <t>*SALES*
*TRANSACTIONS**
*29 BOULEVARD T1+T2+P*
_Area: Downtown_
_Type: 2 bedroom apartment_
_Gross ROI=6.23%_
_Median annual rent=179K_
```Date   Price  BUA Type P/sf```
```------------2026-----------```
```19Jan   2.2M 1112 XX02 1978```
```------------2025-----------```
```22Dec   2.9M 1174 XXXX 2470```
```19Dec  2.92M 1559 XX06 1873```
```18Dec  3.25M 1087 XXXX 2990```
```17Dec   3.3M 1008 XX07 3274```
```14Nov  2.75M 1286 XX05 2138```
```06Nov   2.8M 1155 XXXX 2424```
```05Nov  2.86M 1155 XXXX 2476```
```24Oct  3.24M 1077 XX05 3008```
```13Oct   2.5M 1174 XXXX 2129```
```13Oct   2.9M 1155 XXXX 2511```
```13Oct   3.3M 1280 XX08 2578```
```09Oct 2.725M 1231 XXXX 2214```
```22Sep   3.3M 1189 XX08 2775```
```11Sep  2.94M 1090 XX08 2697```
```08Sep 2.817M 1008 XX07 2794```
```28Aug   2.9M 1401 XXXX 2070```
```04Aug   2.5M 1080 XX03 2315```
```29Jul  2.85M 1174 XXXX 2428```
```28Jul  3.35M 1440 XX09 2326```
```09Jul     3M 1090 XX08 2752```
```25Apr 2.365M 1401 XXXX 1688```
```22Apr  3.37M 1087 XXXX 3100```
```14Apr  3.36M 2252 XX17 1492```
```08Apr   3.6M 1401 XXXX 2570```
```13Mar   3.2M 1077 XX05 2971```
```11Mar 2.514M 1559 XX06 1613```
```06Mar  3.24M 2690 XX18 1204```
```03Mar  3.25M 1189 XX08 2733```
```20Feb  2.75M 1174 XXXX 2342```
_Source: DLD, Databot_
_BUA - built-up area, sq.ft._
_P/sf - price per sq.ft._
_B - bedrooms; O - office_
_M - million, K- thousand_
_S - studio, R - shop_
_*Max 30 latest transactions_
www.trydatabot.com</t>
  </si>
  <si>
    <t>1006637, *MARKET</t>
  </si>
  <si>
    <t>*MARKET*
*SNAPSHOT*
*29 BOULEVARD T1+T2+P*
_Area: Downtown_
_Type: 2 bedroom apartment_
*Price dynamics, Dirham/sq.ft.*
_(M - median value)_
```3274|                 *    ```
```    |                      ```
```    |             *    *   ```
```    | *    * *             ```
```    |       *  *           ```
```2449|---------------------M```
```    |   *       *  **    * ```
```    |  * *                 ```
```    |         *  *   *     ```
```    |     *             * *```
```1688|*                     ```
```____|______________________```
```    |Apr2025        Jan2026```
_Source: see table below_
*Latest sales transactions*
```Date   Price  BUA Type P/sf```
```------------2026-----------```
```19Jan   2.2M 1112 XX02 1978```
```------------2025-----------```
```22Dec   2.9M 1174 XXXX 2470```
```19Dec  2.92M 1559 XX06 1873```
```18Dec  3.25M 1087 XXXX 2990```
```17Dec   3.3M 1008 XX07 3274```
```14Nov  2.75M 1286 XX05 2138```
```06Nov   2.8M 1155 XXXX 2424```
```05Nov  2.86M 1155 XXXX 2476```
```24Oct  3.24M 1077 XX05 3008```
```13Oct   2.5M 1174 XXXX 2129```
```13Oct   2.9M 1155 XXXX 2511```
```13Oct   3.3M 1280 XX08 2578```
```09Oct 2.725M 1231 XXXX 2214```
```22Sep   3.3M 1189 XX08 2775```
```11Sep  2.94M 1090 XX08 2697```
```08Sep 2.817M 1008 XX07 2794```
```28Aug   2.9M 1401 XXXX 2070```
```04Aug   2.5M 1080 XX03 2315```
```29Jul  2.85M 1174 XXXX 2428```
```28Jul  3.35M 1440 XX09 2326```
```09Jul     3M 1090 XX08 2752```
```25Apr 2.365M 1401 XXXX 1688```
```22Apr  3.37M 1087 XXXX 3100```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</si>
  <si>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1006638, *NEW RE</t>
  </si>
  <si>
    <t>1006640, *SALES*</t>
  </si>
  <si>
    <t>*SALES*
*TRANSACTIONS**
*29 BOULEVARD T1+T2+P*
_Area: Downtown_
_Type: 3 bedroom apartment_
```Date   Price  BUA Type P/sf```
```------------2025-----------```
```11Nov     4M 1687 XX14 2371```
```10Jun  3.75M 1774 XX02 2114```
```12May   4.3M 1535 XX08 2801```
```13Jan  4.52M 1694 XX01 2668```
```------------2024-----------```
```12Nov   3.7M 1694 XX01 2184```
```04Oct  3.65M 1687 XX14 2164```
```10Sep   3.8M 1752 XX16 2169```
```06Feb     3M 1752 XX16 1712```
```------------2023-----------```
```09Nov     3M 1687 XX14 1778```
```14Aug   3.2M 1774 XX02 1804```
```13Jul  3.25M 1740 XX05 1868```
```09Jun   2.7M 1740 XX05 1552```
```18Apr  2.75M 1774 XX02 1550```
```18Apr   2.6M 1687 XX14 1541```
```------------2019-----------```
```13May 1.815M 1752 XX16 1036```
_Source: DLD, Databot_
_BUA - built-up area, sq.ft._
_P/sf - price per sq.ft._
_B - bedrooms; O - office_
_M - million, K- thousand_
_S - studio, R - shop_
_*Max 30 latest transactions_
www.trydatabot.com</t>
  </si>
  <si>
    <t>1006641, *MARKET</t>
  </si>
  <si>
    <t>*MARKET*
*SNAPSHOT*
*29 BOULEVARD T1+T2+P*
_Area: Downtown_
_Type: 3 bedroom apartment_
*Price dynamics, Dirham/sq.ft.*
_(M - median value)_
```2801|                   *  ```
```    |                  *   ```
```    |                     *```
```    |                 *    ```
```    |               **   * ```
```1868|---------------------M```
```    |           *          ```
```    |            ***       ```
```    |        ***           ```
```    |                      ```
```1036|       *              ```
```____|______________________```
```    |May2019        Nov2025```
_Source: see table below_
*Latest sales transactions*
```Date   Price  BUA Type P/sf```
```------------2025-----------```
```11Nov     4M 1687 XX14 2371```
```10Jun  3.75M 1774 XX02 2114```
```12May   4.3M 1535 XX08 2801```
```13Jan  4.52M 1694 XX01 2668```
```------------2024-----------```
```12Nov   3.7M 1694 XX01 2184```
```04Oct  3.65M 1687 XX14 2164```
```10Sep   3.8M 1752 XX16 2169```
```06Feb     3M 1752 XX16 1712```
```------------2023-----------```
```09Nov     3M 1687 XX14 1778```
```14Aug   3.2M 1774 XX02 1804```
```13Jul  3.25M 1740 XX05 1868```
```09Jun   2.7M 1740 XX05 1552```
```18Apr  2.75M 1774 XX02 1550```
```18Apr   2.6M 1687 XX14 1541```
```------------2019-----------```
```13May 1.815M 1752 XX16 1036```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</si>
  <si>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1006642, *NEW RE</t>
  </si>
  <si>
    <t>1006662, *NEW RE</t>
  </si>
  <si>
    <t>1006676, *NEW RE</t>
  </si>
  <si>
    <t>1006677, *SALES*</t>
  </si>
  <si>
    <t>*SALES*
*TRANSACTIONS (RESALE)**
*29 BOULEVARD T1+T2+P*
_Area: Downtown_
_All types/bedrooms_
```Date    Price   BUA  Type B```
```------------2026-----------```
```19Jan    2.2M  1112  XX02 2```
```15Jan    700K   495  XX03 S```
```------------2025-----------```
```22Dec    2.9M  1174  XXXX 2```
```22Dec   2.24M   879  XX06 1```
```19Dec   2.92M  1559  XX06 2```
```18Dec   3.25M  1087  XXXX 2```
```17Dec    3.3M  1008  XX07 2```
```10Dec   1.85M   838  XXXX 1```
```05Dec   1.95M   801  XX04 1```
```03Dec   2.35M  1853  XX10 1```
```24Nov   2.65M  1149  XX08 1```
```18Nov   1.11M   504  XX05 S```
```14Nov   2.75M  1286  XX05 2```
```14Nov   1.75M   794  XX02 1```
```11Nov    1.9M   838  XXXX 1```
```11Nov      4M  1687  XX14 3```
```10Nov      2M   902  XX06 1```
```07Nov      2M   854  XX01 1```
```06Nov    2.8M  1155  XXXX 2```
```05Nov   2.86M  1155  XXXX 2```
```29Oct   2.36M  1087  XXXX 1```
```29Oct  1.925M   836  XX01 1```
```27Oct   2.05M   836  XX01 1```
```27Oct   1.11M   461  XX11 S```
```24Oct   3.24M  1077  XX05 2```
```13Oct    2.5M  1174  XXXX 2```
```13Oct    2.9M  1155  XXXX 2```
```13Oct    3.3M  1280  XX08 2```
```10Oct   2.05M   838  XXXX 1```
```09Oct  2.725M  1231  XXXX 2```
_Source: DLD, Databot_
_BUA - built-up area, sq.ft._
_P/sf - price per sq.ft._
_B - bedrooms; O - office_
_M - million, K- thousand_
_S - studio, R - shop_
_*Max 30 latest transactions_
www.trydatabot.com</t>
  </si>
  <si>
    <t>1006678, by code, *BUILDI</t>
  </si>
  <si>
    <t xml:space="preserve">*BUILDING*
*PROFILE*
*29 BOULEVARD T1+T2+P*
_Area: Downtown_
_Tap&amp;hold to copy a reply_
```-------------------------```
```Report              Reply```
```-------------------------```
*Studio*
```Resell, ROI       1006628```
```Primary sales     1006679```
```Price chart       1006629```
```Rentals           1006630```
```Appreciation      1006631```
*1 B/R*
```Sales, ROI        1006632```
```Price chart       1006633```
```Rentals           1006634```
*2 B/R*
```Sales, ROI        1006636```
```Price chart       1006637```
```Rentals           1006638```
*3 B/R*
```Sales, ROI        1006640```
```Price chart       1006641```
```Rentals           1006642```
*All types/bedrooms*
```Resell, ROI       1006677```
```Primary sales     1006691```
```Rentals           1006676```
</t>
  </si>
  <si>
    <t>1006679, *SALES*</t>
  </si>
  <si>
    <t>*SALES*
*TRANSACTIONS (PRIMARY)**
*29 BOULEVARD T1+T2+P*
_Area: Downtown_
_Type: studio apartment_
```Date   Price  BUA Type P/sf```
```------------2025-----------```
```28Feb 1.747M  480 XX09 3639```
_Source: DLD, Databot_
_BUA - built-up area, sq.ft._
_P/sf - price per sq.ft._
_B - bedrooms; O - office_
_M - million, K- thousand_
_S - studio, R - shop_
_*Max 20 latest transactions_
www.trydatabot.com</t>
  </si>
  <si>
    <t>1006691, *SALES*</t>
  </si>
  <si>
    <t>*SALES*
*TRANSACTIONS (PRIMARY)**
*29 BOULEVARD T1+T2+P*
_Area: Downtown_
_All types/bedrooms_
```Date    Price   BUA  Type B```
```------------2025-----------```
```28Feb  1.747M   480  XX09 S```
_Source: DLD, Databot_
_BUA - built-up area, sq.ft._
_P/sf - price per sq.ft._
_B - bedrooms; O - office_
_M - million, K- thousand_
_S - studio, R - shop_
_*Max 20 latest transactions_
www.trydatabot.com</t>
  </si>
  <si>
    <t>1006692, *SALES*</t>
  </si>
  <si>
    <r>
      <rPr/>
      <t xml:space="preserve">*SALES*
*TRANSACTIONS**
*8 BOULEVARD WALK*
_Area: Downtown_
_Type: studio apartment_
```Date   Price  BUA Type P/sf```
```------------2026-----------```
```06Jan  1.09M  543 XX03 2007```
```------------2025-----------```
```28Jul  1.25M  543 XXXX 2302```
```15Jul  1.27M  543 XX03 2339```
```25Apr  1.05M  543 XX03 1934```
```27Feb 1.175M  543 XX03 2164```
```22Jan  1.05M  543 XX03 1934```
```------------2024-----------```
```04Dec  1.09M  543 XX03 2007```
```07Oct  1.05M  543 XX03 1934```
```17Jul   975K  543 XX03 1796```
```26Apr   990K  543 XXXX 1823```
```04Apr   950K  543 XXXX 1750```
```12Mar   940K  543 XXXX 1731```
```20Feb  1.07M  543 XXXX 1971```
```06Feb   970K  543 XXXX 1786```
```09Jan 930.6K  543 XXXX 1714```
```------------2023-----------```
```07Dec   945K  543 XXXX 1740```
```16Oct   945K  543 XXXX 1740```
```05Oct   900K  543 XXXX 1657```
```31Jul   900K  543 XXXX 1657```
```18Jul   925K  543 XXXX 1703```
```13Jun   855K  543 XXXX 1575```
```10May   920K  543 XXXX 1694```
```01May   800K  543 XXXX 1473```
```12Apr     1M  543 XXXX 1842```
```06Apr   850K  543 XXXX 1565```
```20Mar   800K  543 XXXX 1473```
```06Mar   850K  543 XXXX 1565```
```------------2022-----------```
```18Aug   780K  543 XX09 1436```
```14Jun   850K  543 XX08 1565```
```03Jun   600K  543 XX09 1105```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</si>
  <si>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8 Boulevard Walk</t>
  </si>
  <si>
    <t>1006693, *MARKET</t>
  </si>
  <si>
    <t>*MARKET*
*SNAPSHOT*
*8 BOULEVARD WALK*
_Area: Downtown_
_Type: studio apartment_
*Price dynamics, Dirham/sq.ft.*
_(M - median value)_
```2339|                   ** ```
```    |                      ```
```    |                 *    ```
```    |                      ```
```    |               *     *```
```    |         *    * * *   ```
```    |                      ```
```1791|---------------------M```
```    |        *   **        ```
```    |* ******  **          ```
```1575| *                    ```
```____|______________________```
```    |May2023        Jan2026```
_Source: see table below_
*Latest sales transactions*
```Date   Price  BUA Type P/sf```
```------------2026-----------```
```06Jan  1.09M  543 XX03 2007```
```------------2025-----------```
```28Jul  1.25M  543 XXXX 2302```
```15Jul  1.27M  543 XX03 2339```
```25Apr  1.05M  543 XX03 1934```
```27Feb 1.175M  543 XX03 2164```
```22Jan  1.05M  543 XX03 1934```
```------------2024-----------```
```04Dec  1.09M  543 XX03 2007```
```07Oct  1.05M  543 XX03 1934```
```17Jul   975K  543 XX03 1796```
```26Apr   990K  543 XXXX 1823```
```04Apr   950K  543 XXXX 1750```
```12Mar   940K  543 XXXX 1731```
```20Feb  1.07M  543 XXXX 1971```
```06Feb   970K  543 XXXX 1786```
```09Jan 930.6K  543 XXXX 1714```
```------------2023-----------```
```07Dec   945K  543 XXXX 1740```
```16Oct   945K  543 XXXX 1740```
```05Oct   900K  543 XXXX 1657```
```31Jul   900K  543 XXXX 1657```
```18Jul   925K  543 XXXX 1703```
```13Jun   855K  543 XXXX 1575```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</si>
  <si>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1006696, *SALES*</t>
  </si>
  <si>
    <t>*SALES*
*TRANSACTIONS**
*8 BOULEVARD WALK*
_Area: Downtown_
_Type: 1 bedroom apartment_
```Date   Price  BUA Type P/sf```
```------------2025-----------```
```26Dec  1.78M 1297 XXXX 1372```
```04Dec  1.62M  887 XXXX 1826```
```04Dec   1.6M  887 XXXX 1804```
```13Nov   1.7M  865 XXXX 1965```
```07Nov   1.6M  887 XXXX 1804```
```22Oct  1.51M  936 XXXX 1613```
```17Oct  1.85M 1297 XXXX 1426```
```14Oct  1.72M  887 XXXX 1939```
```08Sep  1.75M  887 XXXX 1973```
```26Aug   1.5M  865 XXXX 1734```
```14Jul  2.25M 1297 XXXX 1735```
```23Jun  1.75M  887 XXXX 1973```
```23Apr 1.775M 1297 XXXX 1369```
```16Apr  1.72M  936 XX09 1838```
```24Mar  1.58M  936 XX09 1688```
```12Mar  1.52M  887 XXXX 1714```
```10Mar  1.54M  865 XXXX 1780```
```03Mar 1.575M  936 XX09 1683```
```06Feb 1.425M  887 XXXX 1607```
```06Feb     2M  887 XXXX 2255```
```------------2024-----------```
```27Dec   1.4M  865 XXXX 1618```
```24Dec  1.55M 1297 XXXX 1195```
```19Dec 1.675M  865 XXXX 1936```
```17Dec   1.8M 1089 XXXX 1653```
```10Dec 1.675M 1063 XXXX 1576```
```04Dec  1.45M  887 XXXX 1635```
```20Nov   1.7M 1297 XXXX 1311```
```15Nov  1.55M  936 XX09 1656```
```05Nov  1.72M  936 XX09 1838```
```18Oct   1.7M  887 XXXX 1917```
_Source: DLD, Databot_
_BUA - built-up area, sq.ft._
_P/sf - price per sq.ft._
_B - bedrooms; O - office_
_M - million, K- thousand_
_S - studio, R - shop_
_*Max 30 latest transactions_
www.trydatabot.com</t>
  </si>
  <si>
    <t>1006697, *MARKET</t>
  </si>
  <si>
    <t>*MARKET*
*SNAPSHOT*
*8 BOULEVARD WALK*
_Area: Downtown_
_Type: 1 bedroom apartment_
*Price dynamics, Dirham/sq.ft.*
_(M - median value)_
```2255|  *                   ```
```    |                      ```
```    |                      ```
```    |          *  **   *   ```
```    |     *  *        * ** ```
```1735|---------------------M```
```    |    * **   **         ```
```    | * *            *     ```
```    |                      ```
```    |         *     *     *```
```1195|*                     ```
```____|______________________```
```    |Dec2024        Dec2025```
_Source: see table below_
*Latest sales transactions*
```Date   Price  BUA Type P/sf```
```------------2025-----------```
```26Dec  1.78M 1297 XXXX 1372```
```04Dec  1.62M  887 XXXX 1826```
```04Dec   1.6M  887 XXXX 1804```
```13Nov   1.7M  865 XXXX 1965```
```07Nov   1.6M  887 XXXX 1804```
```22Oct  1.51M  936 XXXX 1613```
```17Oct  1.85M 1297 XXXX 1426```
```14Oct  1.72M  887 XXXX 1939```
```08Sep  1.75M  887 XXXX 1973```
```26Aug   1.5M  865 XXXX 1734```
```14Jul  2.25M 1297 XXXX 1735```
```23Jun  1.75M  887 XXXX 1973```
```23Apr 1.775M 1297 XXXX 1369```
```16Apr  1.72M  936 XX09 1838```
```24Mar  1.58M  936 XX09 1688```
```12Mar  1.52M  887 XXXX 1714```
```10Mar  1.54M  865 XXXX 1780```
```03Mar 1.575M  936 XX09 1683```
```06Feb 1.425M  887 XXXX 1607```
```06Feb     2M  887 XXXX 2255```
```------------2024-----------```
```27Dec   1.4M  865 XXXX 1618```
```24Dec  1.55M 1297 XXXX 1195```
```19Dec 1.675M  865 XXXX 1936```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</si>
  <si>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1006700, *SALES*</t>
  </si>
  <si>
    <t>*SALES*
*TRANSACTIONS**
*8 BOULEVARD WALK*
_Area: Downtown_
_Type: 2 bedroom apartment_
```Date   Price  BUA Type P/sf```
```------------2025-----------```
```10Nov 2.525M 1530 XXXX 1650```
```23Oct  2.55M 1634 XXXX 1561```
```08Oct  2.95M 1726 XXXX 1709```
```11Aug 2.625M 1634 XXXX 1606```
```06Aug  2.35M 1530 XXXX 1536```
```24Jul 2.475M 1634 XXXX 1515```
```22Jul 2.875M 1530 XXXX 1879```
```04Jul   2.4M 1634 XXXX 1469```
```17Jun 2.725M 1634 XXXX 1668```
```22Apr   2.2M 1530 XXXX 1438```
```20Mar   2.6M 1726 XXXX 1506```
```05Mar  2.55M 1530 XXXX 1667```
```------------2024-----------```
```17Dec  2.67M 1726 XXXX 1547```
```16Dec  2.85M 1530 XXXX 1863```
```16Dec   2.7M 1726 XXXX 1564```
```21Nov   2.6M 1726 XXXX 1506```
```19Nov  2.92M 1530 XXXX 1908```
```13Nov   2.8M 1726 XXXX 1622```
```31Oct  2.49M 1530 XXXX 1627```
```22Oct 2.675M 1398 XXXX 1913```
```09Oct  2.65M 1634 XXXX 1622```
```06Sep  2.55M 1634 XXXX 1561```
```04Jul   2.9M 1726 XXXX 1680```
```28Jun 2.265M 1634 XXXX 1386```
```13Jun  2.35M 1530 XX03 1536```
```28May  2.17M 1530 XX03 1418```
```10May   2.3M 1634 XX01 1408```
```18Apr   2.9M 1726 XXXX 1680```
```28Mar  2.15M 1398 XX10 1538```
```13Mar   2.4M 1726 XX02 1390```
_Source: DLD, Databot_
_BUA - built-up area, sq.ft._
_P/sf - price per sq.ft._
_B - bedrooms; O - office_
_M - million, K- thousand_
_S - studio, R - shop_
_*Max 30 latest transactions_
www.trydatabot.com</t>
  </si>
  <si>
    <t>1006701, *MARKET</t>
  </si>
  <si>
    <t>*MARKET*
*SNAPSHOT*
*8 BOULEVARD WALK*
_Area: Downtown_
_Type: 2 bedroom apartment_
*Price dynamics, Dirham/sq.ft.*
_(M - median value)_
```1913|  *  *                ```
```    |        *      *      ```
```    |                      ```
```    |                      ```
```    |                   *  ```
```    |          *  *       *```
```1614|---------------------M```
```    | * **             *   ```
```    |*      *            * ```
```    |      *  * *    **    ```
```1438|            * *       ```
```____|______________________```
```    |Sep2024        Nov2025```
_Source: see table below_
*Latest sales transactions*
```Date   Price  BUA Type P/sf```
```------------2025-----------```
```10Nov 2.525M 1530 XXXX 1650```
```23Oct  2.55M 1634 XXXX 1561```
```08Oct  2.95M 1726 XXXX 1709```
```11Aug 2.625M 1634 XXXX 1606```
```06Aug  2.35M 1530 XXXX 1536```
```24Jul 2.475M 1634 XXXX 1515```
```22Jul 2.875M 1530 XXXX 1879```
```04Jul   2.4M 1634 XXXX 1469```
```17Jun 2.725M 1634 XXXX 1668```
```22Apr   2.2M 1530 XXXX 1438```
```20Mar   2.6M 1726 XXXX 1506```
```05Mar  2.55M 1530 XXXX 1667```
```------------2024-----------```
```17Dec  2.67M 1726 XXXX 1547```
```16Dec  2.85M 1530 XXXX 1863```
```16Dec   2.7M 1726 XXXX 1564```
```21Nov   2.6M 1726 XXXX 1506```
```19Nov  2.92M 1530 XXXX 1908```
```13Nov   2.8M 1726 XXXX 1622```
```31Oct  2.49M 1530 XXXX 1627```
```22Oct 2.675M 1398 XXXX 1913```
```09Oct  2.65M 1634 XXXX 1622```
```06Sep  2.55M 1634 XXXX 1561```
```04Jul   2.9M 1726 XXXX 1680```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</si>
  <si>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1006741, *SALES*</t>
  </si>
  <si>
    <t>*SALES*
*TRANSACTIONS**
*8 BOULEVARD WALK*
_Area: Downtown_
_All types/bedrooms_
```Date    Price   BUA  Type B```
```------------2026-----------```
```06Jan   1.09M   543  XX03 S```
```------------2025-----------```
```26Dec   1.78M  1297  XXXX 1```
```04Dec   1.62M   887  XXXX 1```
```04Dec    1.6M   887  XXXX 1```
```13Nov    1.7M   865  XXXX 1```
```10Nov  2.525M  1530  XXXX 2```
```07Nov    1.6M   887  XXXX 1```
```23Oct   2.55M  1634  XXXX 2```
```22Oct   1.51M   936  XXXX 1```
```17Oct   1.85M  1297  XXXX 1```
```14Oct   1.72M   887  XXXX 1```
```08Oct   2.95M  1726  XXXX 2```
```08Sep   1.75M   887  XXXX 1```
```26Aug    1.5M   865  XXXX 1```
```11Aug  2.625M  1634  XXXX 2```
```06Aug   2.35M  1530  XXXX 2```
```28Jul   1.25M   543  XXXX S```
```24Jul  2.475M  1634  XXXX 2```
```22Jul  2.875M  1530  XXXX 2```
```15Jul   1.27M   543  XX03 S```
```14Jul   2.25M  1297  XXXX 1```
```04Jul    2.4M  1634  XXXX 2```
```23Jun   1.75M   887  XXXX 1```
```17Jun  2.725M  1634  XXXX 2```
```25Apr   1.05M   543  XX03 S```
```23Apr  1.775M  1297  XXXX 1```
```22Apr    2.2M  1530  XXXX 2```
```16Apr   1.72M   936  XX09 1```
```24Mar   1.58M   936  XX09 1```
```20Mar    2.6M  1726  XXXX 2```
_Source: DLD, Databot_
_BUA - built-up area, sq.ft._
_P/sf - price per sq.ft._
_B - bedrooms; O - office_
_M - million, K- thousand_
_S - studio, R - shop_
_*Max 30 latest transactions_
www.trydatabot.com</t>
  </si>
  <si>
    <t>1006742, 8 Boulevard, 8 BLVD, *BUILDI</t>
  </si>
  <si>
    <t xml:space="preserve">*BUILDING*
*PROFILE*
*8 BOULEVARD WALK*
_Area: Downtown_
_Tap&amp;hold to copy a reply_
```-------------------------```
```Report              Reply```
```-------------------------```
*Studio*
```Sales, ROI        1006692```
```Price chart       1006693```
```Rentals               n/a```
*1 B/R*
```Sales, ROI        1006696```
```Price chart       1006697```
```Rentals               n/a```
*2 B/R*
```Sales, ROI        1006700```
```Price chart       1006701```
```Rentals               n/a```
*All types/bedrooms*
```Sales, ROI        1006741```
```Rentals               n/a```
</t>
  </si>
  <si>
    <t>1006760, *SALES*</t>
  </si>
  <si>
    <r>
      <rPr/>
      <t xml:space="preserve">*SALES*
*TRANSACTIONS (RESALE)**
*ACT 1 ACT 2 T1*
_Area: Downtown_
_Type: 1 bedroom apartment_
_Gross ROI=6.09%_
_Median annual rent=130K_
```Date   Price  BUA Type P/sf```
```------------2026-----------```
```09Jan   2.4M  665 XX06 3609```
```------------2025-----------```
```24Oct   2.3M  662 XXXX 3474```
```10Sep  2.25M  610 XXXX 3689```
```25Aug   2.4M  801 XX02 2996```
```21Aug  2.25M  662 XXXX 3399```
```18Aug   2.2M  720 XXXX 3056```
```01May  2.15M  662 XXXX 3248```
```28Mar  1.95M  610 XXXX 3197```
```24Mar   1.9M  607 XXXX 3130```
```27Feb 1.625M  720 XXXX 2257```
```------------2024-----------```
```04Oct  2.05M  712 XXXX 2879```
```03Oct  2.25M  662 XXXX 3399```
```03Oct   2.2M  725 XXXX 3034```
```26Sep   2.2M  720 XXXX 3056```
```13Jun   2.3M  665 XX06 3459```
```29May  1.75M  725 XXXX 2414```
```21May  2.27M  665 XX06 3414```
```09May     1M  657 XXXX 1522```
```06May   1.6M  610 XXXX 2623```
```30Apr     1M  607 XXXX 1647```
```30Apr 1.559M  657 XXXX 2373```
```25Apr  2.25M  657 XXXX 3425```
```28Mar 2.225M  652 XXXX 3413```
```26Mar   2.1M  725 XXXX 2897```
```12Mar  2.17M  717 XX05 3026```
```16Feb   2.1M  717 XX05 2929```
```06Feb  1.98M  720 XXXX 2750```
```02Feb   2.2M  665 XX06 3308```
```------------2023-----------```
```28Dec   2.3M  607 XXXX 3789```
```24Nov   2.1M  767 XX04 2738```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</si>
  <si>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Act 1 Act 2 T1</t>
  </si>
  <si>
    <t>1006761, *MARKET</t>
  </si>
  <si>
    <t>*MARKET*
*SNAPSHOT*
*ACT 1 ACT 2 T1*
_Area: Downtown_
_Type: 1 bedroom apartment_
*Price dynamics, Dirham/sq.ft.*
_(M - median value)_
```3689|                   * *```
```    |*    * *  *      *  * ```
```    |              **      ```
```3093|---------------------M```
```    |        **   *  * *   ```
```    |           *          ```
```    |   *                  ```
```    | *    *               ```
```    |            *         ```
```    |                      ```
```1522|  * *                 ```
```____|______________________```
```    |Apr2024        Jan2026```
_Source: see table below_
*Latest sales transactions*
```Date   Price  BUA Type P/sf```
```------------2026-----------```
```09Jan   2.4M  665 XX06 3609```
```------------2025-----------```
```24Oct   2.3M  662 XXXX 3474```
```10Sep  2.25M  610 XXXX 3689```
```25Aug   2.4M  801 XX02 2996```
```21Aug  2.25M  662 XXXX 3399```
```18Aug   2.2M  720 XXXX 3056```
```01May  2.15M  662 XXXX 3248```
```28Mar  1.95M  610 XXXX 3197```
```24Mar   1.9M  607 XXXX 3130```
```27Feb 1.625M  720 XXXX 2257```
```------------2024-----------```
```04Oct  2.05M  712 XXXX 2879```
```03Oct  2.25M  662 XXXX 3399```
```03Oct   2.2M  725 XXXX 3034```
```26Sep   2.2M  720 XXXX 3056```
```13Jun   2.3M  665 XX06 3459```
```29May  1.75M  725 XXXX 2414```
```21May  2.27M  665 XX06 3414```
```09May     1M  657 XXXX 1522```
```06May   1.6M  610 XXXX 2623```
```30Apr     1M  607 XXXX 1647```
```30Apr 1.559M  657 XXXX 2373```
```25Apr  2.25M  657 XXXX 3425```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</si>
  <si>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1006762, *NEW RE</t>
  </si>
  <si>
    <t>*NEW RENT*
*CONTRACTS**
_(renewals are not included)_
*ACT ONE ACT TWO T1+T2+P*
_Area: Downtown_
_Type: 1 bedroom apartment_
```Date  Price   BUA  Type D/s```
```------------2026-----------```
```01Feb  125K   657  XXXX 190```
```23Jan  142K   721  XXXX 197```
```20Jan  125K   721  XXXX 173```
```10Jan  130K   657  XXXX 198```
```06Jan  137K   657  XXXX 208```
```------------2025-----------```
```22Dec  130K   764  XXXX 170```
```18Dec  145K   657  XXXX 221```
```15Dec  137K   657  XXXX 209```
```13Dec  122K   657  XXXX 186```
```28Nov  125K   797  XXXX 157```
```28Nov  115K   710  XXXX 162```
```27Nov  125K   797  XXXX 157```
```16Nov  135K   657  XXXX 205```
```15Nov  135K   657  XXXX 205```
```14Nov  136K   657  XXXX 207```
```14Nov  120K   721  XXXX 166```
```10Nov  145K   710  XXXX 204```
```10Nov  125K   667  XXXX 187```
```05Nov  160K   710  XXXX 225```
```03Nov  130K   603  XXXX 216```
_Source: DLD, Databot_
_BUA - built-up area, sq.ft._
_P/sf - price per sq.ft._
_B - bedrooms; O - office_
_M - million, K- thousand_
_S - studio, R - shop_
_*20 latest contracts_
www.trydatabot.com</t>
  </si>
  <si>
    <t>1006763, *RESELL</t>
  </si>
  <si>
    <t>*RESELL*
*VS PRIMARY*
*ACT 1 ACT 2 T1*
_Area: Downtown_
_Type: 1 bedroom apartment_
*Price dynamics, Dirham/sq.ft.*
_(x - primary; * - resell)_
```3689|                   * *```
```    |                    * ```
```    |                 *    ```
```    |             ***      ```
```3037|                * *   ```
```    |           *          ```
```    |                      ```
```    |xx  xxx               ```
```    |  xx      x *         ```
```2064|       xxx            ```
```____|______________________```
```    |Mar2022        Jan2026```
_Source: see a table below_
*Latest resell transactions*
```Date   Price  BUA Type P/sf```
```------------2026-----------```
```09Jan   2.4M  665 XX06 3609```
```------------2025-----------```
```24Oct   2.3M  662 XXXX 3474```
```10Sep  2.25M  610 XXXX 3689```
```25Aug   2.4M  801 XX02 2996```
```21Aug  2.25M  662 XXXX 3399```
```18Aug   2.2M  720 XXXX 3056```
```01May  2.15M  662 XXXX 3248```
```28Mar  1.95M  610 XXXX 3197```
```24Mar   1.9M  607 XXXX 3130```
```27Feb 1.625M  720 XXXX 2257```
```------------2024-----------```
```04Oct  2.05M  712 XXXX 2879```
```03Oct  2.25M  662 XXXX 3399```
```03Oct   2.2M  725 XXXX 3034```
```26Sep   2.2M  720 XXXX 3056```
```13Jun   2.3M  665 XX06 3459```
```29May  1.75M  725 XXXX 2414```
*Latest primary transactions*
```------------2023-----------```
```01Aug 1.488M  662 XXXX 2248```
```06Jun 1.509M  720 XXXX 2096```
```30May 1.486M  720 XXXX 2064```
```22May 1.498M  720 XXXX 2080```
```02Jan 1.725M  662 XX05 2606```
```------------2022-----------```
```12Oct 1.712M  662 XX05 2586```
```11Oct 1.668M  662 XX06 2519```
```20Sep 1.539M  665 XX06 2314```
```10Aug 1.914M  802 XX02 2386```
```10May 1.716M  662 XX05 2592```
```23Mar 1.771M  717 XX05 2470```
```23Mar 1.777M  665 XX06 2672```
```14Jan 1.628M  662 XX06 2459```
```03Jan 1.777M  717 XX05 2478```
_Source: DLD, Databot_
_BUA - built-up area, sq.ft._
_P/sf - price per sq.ft._
_B - bedrooms; O - office_
_M - million, K- thousand_
_S - studio, R - shop_
www.trydatabot.com</t>
  </si>
  <si>
    <t>1006764, *SALES*</t>
  </si>
  <si>
    <t>*SALES*
*TRANSACTIONS (RESALE)**
*ACT 1 ACT 2 T1*
_Area: Downtown_
_Type: 2 bedroom apartment_
_Gross ROI=5.8%_
_Median annual rent=197.2K_
```Date   Price  BUA Type P/sf```
```------------2026-----------```
```12Jan  3.35M 1110 XX07 3018```
```------------2025-----------```
```27Nov   3.3M 1174 XX02 2811```
```08Sep     3M 1110 XX08 2703```
```19Aug 3.245M 1110 XX07 2923```
```04Jun  3.55M 1189 XX03 2986```
```15May   4.7M 1424 XX11 3301```
```18Apr     5M 1306 XXXX 3828```
```14Apr  2.69M 1073 XXXX 2507```
```09Apr 3.366M 1139 XX10 2955```
```09Apr     4M 1325 XX01 3019```
```28Mar  3.15M 1110 XXXX 2838```
```24Mar   3.4M 1175 XXXX 2894```
```31Jan 3.487M 1582 XX11 2204```
```------------2024-----------```
```05Nov 3.365M 1214 XXXX 2772```
```21Oct  3.55M 1107 XXXX 3207```
```16Oct   3.4M 1107 XXXX 3071```
```30Sep  3.25M 1214 XXXX 2677```
```24Sep  4.55M 1325 XX01 3434```
```03Sep   3.5M 1111 XX04 3150```
```07Aug  3.15M 1110 XXXX 2838```
```31Jul  4.25M 1426 XX11 2980```
```09Jul   3.5M 1139 XX10 3073```
```27Jun  4.35M 1325 XX01 3283```
```25Jun     3M 1040 XXXX 2885```
```10Jun  3.28M 1056 XX04 3106```
```06Jun   3.7M 1107 XXXX 3342```
```31May   3.3M 1214 XXXX 2718```
```23May  1.65M 1111 XX04 1485```
```08May 2.325M 1106 XX03 2102```
```08May 2.775M 1063 XXXX 2611```
_Source: DLD, Databot_
_BUA - built-up area, sq.ft._
_P/sf - price per sq.ft._
_B - bedrooms; O - office_
_M - million, K- thousand_
_S - studio, R - shop_
_*Max 30 latest transactions_
www.trydatabot.com</t>
  </si>
  <si>
    <t>1006765, *MARKET</t>
  </si>
  <si>
    <t>*MARKET*
*SNAPSHOT*
*ACT 1 ACT 2 T1*
_Area: Downtown_
_Type: 2 bedroom apartment_
*Price dynamics, Dirham/sq.ft.*
_(M - median value)_
```3828|               *      ```
```    |                      ```
```    |    *                 ```
```    |                *     ```
```    |   *   *              ```
```2968|---------------------M```
```    |**    *     **   *   *```
```    |  *       **      * * ```
```    |     *  *          *  ```
```    |              *       ```
```2204|         *            ```
```____|______________________```
```    |Jul2024        Jan2026```
_Source: see table below_
*Latest sales transactions*
```Date   Price  BUA Type P/sf```
```------------2026-----------```
```12Jan  3.35M 1110 XX07 3018```
```------------2025-----------```
```27Nov   3.3M 1174 XX02 2811```
```08Sep     3M 1110 XX08 2703```
```19Aug 3.245M 1110 XX07 2923```
```04Jun  3.55M 1189 XX03 2986```
```15May   4.7M 1424 XX11 3301```
```18Apr     5M 1306 XXXX 3828```
```14Apr  2.69M 1073 XXXX 2507```
```09Apr 3.366M 1139 XX10 2955```
```09Apr     4M 1325 XX01 3019```
```28Mar  3.15M 1110 XXXX 2838```
```24Mar   3.4M 1175 XXXX 2894```
```31Jan 3.487M 1582 XX11 2204```
```------------2024-----------```
```05Nov 3.365M 1214 XXXX 2772```
```21Oct  3.55M 1107 XXXX 3207```
```16Oct   3.4M 1107 XXXX 3071```
```30Sep  3.25M 1214 XXXX 2677```
```24Sep  4.55M 1325 XX01 3434```
```03Sep   3.5M 1111 XX04 3150```
```07Aug  3.15M 1110 XXXX 2838```
```31Jul  4.25M 1426 XX11 2980```
```09Jul   3.5M 1139 XX10 3073```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</si>
  <si>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1006766, *NEW RE</t>
  </si>
  <si>
    <t>*NEW RENT*
*CONTRACTS**
_(renewals are not included)_
*ACT ONE ACT TWO T1+T2+P*
_Area: Downtown_
_Type: 2 bedroom apartment_
```Date  Price   BUA  Type D/s```
```------------2026-----------```
```01Feb  188K  1066  XXXX 176```
```05Jan  250K  1216  XXXX 206```
```05Jan  199K  1141  XXXX 175```
```------------2025-----------```
```25Dec  195K  1109  XXXX 176```
```20Dec  175K  1173  XXXX 149```
```15Dec  218K  1109  XXXX 197```
```10Dec  220K  1367  XXXX 161```
```10Dec  210K  1141  XXXX 184```
```08Dec  190K  1184  XXXX 160```
```04Dec  220K  1109  XXXX 198```
```01Dec  236K  1109  XXXX 213```
```28Nov  170K  1109  XXXX 153```
```27Nov  180K  1216  XXXX 148```
```21Nov  195K  1109  XXXX 176```
```21Nov  155K  1044  XXXX 148```
```14Nov  255K  1324  XXXX 193```
```13Nov  175K  1173  XXXX 149```
```08Nov  215K  1109  XXXX 194```
```07Nov  180K  1044  XXXX 172```
```06Nov  215K  1421  XXXX 151```
_Source: DLD, Databot_
_BUA - built-up area, sq.ft._
_P/sf - price per sq.ft._
_B - bedrooms; O - office_
_M - million, K- thousand_
_S - studio, R - shop_
_*20 latest contracts_
www.trydatabot.com</t>
  </si>
  <si>
    <t>1006767, *RESELL</t>
  </si>
  <si>
    <t>*RESELL*
*VS PRIMARY*
*ACT 1 ACT 2 T1*
_Area: Downtown_
_Type: 2 bedroom apartment_
*Price dynamics, Dirham/sq.ft.*
_(x - primary; * - resell)_
```3828|         x     *      ```
```    |          x           ```
```    |                      ```
```    |     x          *     ```
```3132|      x               ```
```    |            **   **  *```
```    |           *       ** ```
```    |                      ```
```    |xx     x      *       ```
```2086|  xxx   x             ```
```____|______________________```
```    |Mar2022        Jan2026```
_Source: see a table below_
*Latest resell transactions*
```Date   Price  BUA Type P/sf```
```------------2026-----------```
```12Jan  3.35M 1110 XX07 3018```
```------------2025-----------```
```27Nov   3.3M 1174 XX02 2811```
```08Sep     3M 1110 XX08 2703```
```19Aug 3.245M 1110 XX07 2923```
```04Jun  3.55M 1189 XX03 2986```
```15May   4.7M 1424 XX11 3301```
```18Apr     5M 1306 XXXX 3828```
```14Apr  2.69M 1073 XXXX 2507```
```09Apr 3.366M 1139 XX10 2955```
```09Apr     4M 1325 XX01 3019```
```28Mar  3.15M 1110 XXXX 2838```
```24Mar   3.4M 1175 XXXX 2894```
```31Jan 3.487M 1582 XX11 2204```
```------------2024-----------```
```05Nov 3.365M 1214 XXXX 2772```
```21Oct  3.55M 1107 XXXX 3207```
```16Oct   3.4M 1107 XXXX 3071```
*Latest primary transactions*
```------------2024-----------```
```29May 4.942M 1325 XX01 3730```
```28May 5.366M 1426 XX11 3763```
```29Mar 2.514M 1174 XXXX 2141```
```------------2023-----------```
```28Dec 2.829M 1214 XXXX 2330```
```27Apr 4.048M 1325 XX01 3055```
```07Mar 3.598M 1082 XX09 3325```
```09Feb 2.363M 1111 XX04 2127```
```19Jan 2.332M 1111 XX04 2099```
```------------2022-----------```
```09Sep 2.585M 1239 XX03 2086```
```20Apr 2.956M 1239 XX03 2386```
```14Mar 2.702M 1111 XX04 2432```
```03Jan 3.549M 1325 XX01 2678```
```------------2021-----------```
_Source: DLD, Databot_
_BUA - built-up area, sq.ft._
_P/sf - price per sq.ft._
_B - bedrooms; O - office_
_M - million, K- thousand_
_S - studio, R - shop_
www.trydatabot.com</t>
  </si>
  <si>
    <t>1006768, *SALES*</t>
  </si>
  <si>
    <t>*SALES*
*TRANSACTIONS (RESALE)**
*ACT 1 ACT 2 T1*
_Area: Downtown_
_Type: 3 bedroom apartment_
_Gross ROI=6.51%_
_Median annual rent=330K_
```Date   Price  BUA Type P/sf```
```------------2025-----------```
```08Dec  5.61M 1753 XX09 3200```
```23Oct 2.381M  839 XXXX 2837```
```12Sep  4.65M 1509 XX08 3082```
```25Jul 1.465M  599 XXXX 2446```
```25Jul 1.374M  505 XXXX 2721```
```20May  5.45M 1764 XX01 3090```
```16May   5.2M 1678 XX04 3099```
```06May   5.1M 1509 XX08 3380```
```05May   5.4M 1728 XXXX 3125```
```27Mar   6.2M 1826 XXXX 3395```
```10Mar     5M 1640 XXXX 3049```
```30Jan  4.95M 1509 XXXX 3280```
```23Jan   4.6M 1851 XXXX 2485```
```22Jan   5.3M 1808 XXXX 2931```
```------------2024-----------```
```30Dec   6.6M 2209 XXXX 2988```
```04Dec   5.8M 1645 XXXX 3526```
```28Nov  5.25M 1684 XX04 3118```
```28Nov   4.5M 1509 XXXX 2982```
```25Nov  5.25M 1689 XXXX 3108```
```13Nov   5.6M 1753 XXXX 3195```
```30Oct   6.2M 1728 XXXX 3588```
```19Aug   5.8M 1684 XX04 3444```
```10Jun   4.5M 1509 XXXX 2982```
```27May  4.65M 1509 XXXX 3082```
```20May   5.3M 1753 XXXX 3023```
```09May   6.5M 2104 XXXX 3089```
```03May   4.3M 1509 XXXX 2850```
```15Apr  5.35M 1764 XXXX 3033```
```27Feb   4.5M 1509 XXXX 2982```
```19Jan   5.2M 1764 XXXX 2948```
_Source: DLD, Databot_
_BUA - built-up area, sq.ft._
_P/sf - price per sq.ft._
_B - bedrooms; O - office_
_M - million, K- thousand_
_S - studio, R - shop_
_*Max 30 latest transactions_
www.trydatabot.com</t>
  </si>
  <si>
    <t>1006769, *MARKET</t>
  </si>
  <si>
    <t>*MARKET*
*SNAPSHOT*
*ACT 1 ACT 2 T1*
_Area: Downtown_
_Type: 3 bedroom apartment_
*Price dynamics, Dirham/sq.ft.*
_(M - median value)_
```3588| *                    ```
```    |*     *               ```
```    |            * *       ```
```    |  *       *          *```
```3104|---------------------M```
```    |   * *       * **  *  ```
```    |    *  *   *          ```
```    |        *             ```
```    |                    * ```
```    |                 *    ```
```2446|         *        *   ```
```____|______________________```
```    |Aug2024        Dec2025```
_Source: see table below_
*Latest sales transactions*
```Date   Price  BUA Type P/sf```
```------------2025-----------```
```08Dec  5.61M 1753 XX09 3200```
```23Oct 2.381M  839 XXXX 2837```
```12Sep  4.65M 1509 XX08 3082```
```25Jul 1.465M  599 XXXX 2446```
```25Jul 1.374M  505 XXXX 2721```
```20May  5.45M 1764 XX01 3090```
```16May   5.2M 1678 XX04 3099```
```06May   5.1M 1509 XX08 3380```
```05May   5.4M 1728 XXXX 3125```
```27Mar   6.2M 1826 XXXX 3395```
```10Mar     5M 1640 XXXX 3049```
```30Jan  4.95M 1509 XXXX 3280```
```23Jan   4.6M 1851 XXXX 2485```
```22Jan   5.3M 1808 XXXX 2931```
```------------2024-----------```
```30Dec   6.6M 2209 XXXX 2988```
```04Dec   5.8M 1645 XXXX 3526```
```28Nov  5.25M 1684 XX04 3118```
```28Nov   4.5M 1509 XXXX 2982```
```25Nov  5.25M 1689 XXXX 3108```
```13Nov   5.6M 1753 XXXX 3195```
```30Oct   6.2M 1728 XXXX 3588```
```19Aug   5.8M 1684 XX04 3444```
```10Jun   4.5M 1509 XXXX 2982```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</si>
  <si>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1006770, *NEW RE</t>
  </si>
  <si>
    <t>*NEW RENT*
*CONTRACTS**
_(renewals are not included)_
*ACT ONE ACT TWO T1+T2+P*
_Area: Downtown_
_Type: 3 bedroom apartment_
```Date  Price   BUA  Type D/s```
```------------2026-----------```
```01Feb  550K  2433  XXXX 226```
```11Jan  350K  1733  XXXX 202```
```------------2025-----------```
```04Dec  400K  1690  XXXX 237```
```01Dec  290K  1507  XXXX 192```
```21Nov  400K  1862  XXXX 215```
```21Nov  330K  1604  XXXX 206```
```16Nov  280K  1851  XXXX 151```
```11Nov  300K  1507  XXXX 199```
```04Nov  280K  1765  XXXX 159```
```24Oct  360K  1636  XXXX 220```
```26Sep  315K  1733  XXXX 182```
```26Sep  330K  1851  XXXX 178```
```23Sep  335K  1798  XXXX 186```
```15Sep  350K  2659  XXXX 132```
```15Sep  290K  1808  XXXX 160```
```01Sep  330K  2659  XXXX 124```
```22Aug  320K  1765  XXXX 181```
```20Aug  370K  1776  XXXX 208```
```13Aug  290K  1765  XXXX 164```
```05Aug  295K  1830  XXXX 161```
_Source: DLD, Databot_
_BUA - built-up area, sq.ft._
_P/sf - price per sq.ft._
_B - bedrooms; O - office_
_M - million, K- thousand_
_S - studio, R - shop_
_*20 latest contracts_
www.trydatabot.com</t>
  </si>
  <si>
    <t>1006771, *RESELL</t>
  </si>
  <si>
    <t>*RESELL*
*VS PRIMARY*
*ACT 1 ACT 2 T1*
_Area: Downtown_
_Type: 3 bedroom apartment_
*Price dynamics, Dirham/sq.ft.*
_(x - primary; * - resell)_
```3395|            * *       ```
```    |                      ```
```    |                     *```
```    |             * **  *  ```
```3015|       x   *          ```
```    |  x                   ```
```    |x     x   x         * ```
```    | x  xx  x        *    ```
```    |                      ```
```2446|   x     x        *   ```
```____|______________________```
```    |Jul2020        Dec2025```
_Source: see a table below_
*Latest resell transactions*
```Date   Price  BUA Type P/sf```
```------------2025-----------```
```08Dec  5.61M 1753 XX09 3200```
```23Oct 2.381M  839 XXXX 2837```
```12Sep  4.65M 1509 XX08 3082```
```25Jul 1.465M  599 XXXX 2446```
```25Jul 1.374M  505 XXXX 2721```
```20May  5.45M 1764 XX01 3090```
```16May   5.2M 1678 XX04 3099```
```06May   5.1M 1509 XX08 3380```
```05May   5.4M 1728 XXXX 3125```
```27Mar   6.2M 1826 XXXX 3395```
```10Mar     5M 1640 XXXX 3049```
```30Jan  4.95M 1509 XXXX 3280```
```23Jan   4.6M 1851 XXXX 2485```
```22Jan   5.3M 1808 XXXX 2931```
```------------2024-----------```
```30Dec   6.6M 2209 XXXX 2988```
```04Dec   5.8M 1645 XXXX 3526```
```28Nov  5.25M 1684 XX04 3118```
*Latest primary transactions*
```------------2023-----------```
```14Mar  5.03M 1766 XX09 2848```
```------------2022-----------```
```11Nov 4.459M 1757 XX01 2538```
```14Jul 4.992M 1824 XX09 2737```
```28Jan 4.589M 1523 XX08 3013```
```------------2021-----------```
```30Dec 4.922M 1766 XX09 2787```
```14Dec 4.811M 1749 XX09 2751```
```12Dec  5.07M 1844 XX01 2749```
```31Oct 4.373M 1782 XX01 2454```
```18Jul 4.463M 1523 XX08 2930```
```01Jun 4.904M 1766 XX09 2777```
```------------2020-----------```
```11Jul 4.321M 1523 XX08 2837```
```08Jul 4.582M 1721 XX09 2662```
_Source: DLD, Databot_
_BUA - built-up area, sq.ft._
_P/sf - price per sq.ft._
_B - bedrooms; O - office_
_M - million, K- thousand_
_S - studio, R - shop_
www.trydatabot.com</t>
  </si>
  <si>
    <t>1006774, *NEW RE</t>
  </si>
  <si>
    <t>*NEW RENT*
*CONTRACTS**
_(renewals are not included)_
*ACT ONE ACT TWO T1+T2+P*
_Area: Downtown_
_Type: 4 bedroom apartment_
```Date  Price   BUA  Type D/s```
```------------2024-----------```
```06Nov  300K  4499  XXXX  67```
_Source: DLD, Databot_
_BUA - built-up area, sq.ft._
_P/sf - price per sq.ft._
_B - bedrooms; O - office_
_M - million, K- thousand_
_S - studio, R - shop_
_*20 latest contracts_
www.trydatabot.com</t>
  </si>
  <si>
    <t>1006790, *NEW RE</t>
  </si>
  <si>
    <t>*NEW RENT*
*CONTRACTS**
_(renewals are not included)_
*ACT ONE ACT TWO T1+T2+P*
_Area: Downtown_
_Type: _
```Date  Price   BUA  Type D/s```
```------------2025-----------```
```26Mar 96.4K   291  XXXX 331```
```------------2024-----------```
```29Jan 1.85M   570  XXXX3245```
```------------2023-----------```
```15Nov  279K  1345  XXXX 208```
```06Sep  178K   635  XXXX 281```
_Source: DLD, Databot_
_BUA - built-up area, sq.ft._
_P/sf - price per sq.ft._
_B - bedrooms; O - office_
_M - million, K- thousand_
_S - studio, R - shop_
_*20 latest contracts_
www.trydatabot.com</t>
  </si>
  <si>
    <t>1006804, *NEW RE</t>
  </si>
  <si>
    <t>*NEW RENT*
*CONTRACTS**
_(renewals are not included)_
*ACT ONE ACT TWO T1+T2+P*
_Area: Downtown_
_All types/bedrooms_
```Date    Price   BUA Type  B```
```------------2026-----------```
```01Feb    188K  1066 XXXX  2```
```01Feb    550K  2433 XXXX  3```
```01Feb    125K   657 XXXX  1```
```23Jan    142K   721 XXXX  1```
```20Jan    125K   721 XXXX  1```
```11Jan    350K  1733 XXXX  3```
```10Jan    130K   657 XXXX  1```
```06Jan  136.5K   657 XXXX  1```
```05Jan    250K  1216 XXXX  2```
```05Jan  199.5K  1141 XXXX  2```
```------------2025-----------```
```25Dec    195K  1109 XXXX  2```
```22Dec    130K   764 XXXX  1```
```20Dec    175K  1173 XXXX  2```
```18Dec    145K   657 XXXX  1```
```15Dec    218K  1109 XXXX  2```
```15Dec    137K   657 XXXX  1```
```13Dec    122K   657 XXXX  1```
```10Dec    220K  1367 XXXX  2```
```10Dec    210K  1141 XXXX  2```
```08Dec    190K  1184 XXXX  2```
_Source: DLD, Databot_
_BUA - built-up area, sq.ft._
_P/sf - price per sq.ft._
_B - bedrooms; O - office_
_M - million, K- thousand_
_S - studio, R - shop_
_*20 latest contracts_
www.trydatabot.com</t>
  </si>
  <si>
    <t>1006805, *SALES*</t>
  </si>
  <si>
    <t>*SALES*
*TRANSACTIONS (RESALE)**
*ACT 1 ACT 2 T1*
_Area: Downtown_
_All types/bedrooms_
```Date    Price   BUA  Type B```
```------------2026-----------```
```12Jan   3.35M  1110  XX07 2```
```09Jan    2.4M   665  XX06 1```
```------------2025-----------```
```08Dec   5.61M  1753  XX09 3```
```27Nov    3.3M  1174  XX02 2```
```24Oct    2.3M   662  XXXX 1```
```23Oct  2.381M   839  XXXX 3```
```12Sep   4.65M  1509  XX08 3```
```10Sep   2.25M   610  XXXX 1```
```08Sep      3M  1110  XX08 2```
```25Aug    2.4M   801  XX02 1```
```21Aug   2.25M   662  XXXX 1```
```19Aug  3.245M  1110  XX07 2```
```18Aug    2.2M   720  XXXX 1```
```25Jul  1.465M   599  XXXX 3```
```25Jul  1.374M   505  XXXX 3```
```04Jun   3.55M  1189  XX03 2```
```20May   5.45M  1764  XX01 3```
```16May    5.2M  1678  XX04 3```
```15May    4.7M  1424  XX11 2```
```06May    5.1M  1509  XX08 3```
```05May    5.4M  1728  XXXX 3```
```01May   2.15M   662  XXXX 1```
```18Apr      5M  1306  XXXX 2```
```14Apr   2.69M  1073  XXXX 2```
```09Apr  3.366M  1139  XX10 2```
```09Apr      4M  1325  XX01 2```
```28Mar   3.15M  1110  XXXX 2```
```28Mar   1.95M   610  XXXX 1```
```27Mar    6.2M  1826  XXXX 3```
```24Mar    3.4M  1175  XXXX 2```
_Source: DLD, Databot_
_BUA - built-up area, sq.ft._
_P/sf - price per sq.ft._
_B - bedrooms; O - office_
_M - million, K- thousand_
_S - studio, R - shop_
_*Max 30 latest transactions_
www.trydatabot.com</t>
  </si>
  <si>
    <t>1006806, by code, *BUILDI</t>
  </si>
  <si>
    <t xml:space="preserve">*BUILDING*
*PROFILE*
*ACT 1 ACT 2 T1*
_Area: Downtown_
_Tap&amp;hold to copy a reply_
```-------------------------```
```Report              Reply```
```-------------------------```
*1 B/R*
```Resell, ROI       1006760```
```Primary sales     1006808```
```Price chart       1006761```
```Rentals           1006762```
```Appreciation      1006763```
*2 B/R*
```Resell, ROI       1006764```
```Primary sales     1006809```
```Price chart       1006765```
```Rentals           1006766```
```Appreciation      1006767```
*3 B/R*
```Resell, ROI       1006768```
```Primary sales     1006810```
```Price chart       1006769```
```Rentals           1006770```
```Appreciation      1006771```
*4 B/R*
```Primary sales     1006811```
*All types/bedrooms*
```Resell, ROI       1006805```
```Primary sales     1006819```
```Rentals           1006804```
</t>
  </si>
  <si>
    <t>1006808, *SALES*</t>
  </si>
  <si>
    <t>*SALES*
*TRANSACTIONS (PRIMARY)**
*ACT 1 ACT 2 T1*
_Area: Downtown_
_Type: 1 bedroom apartment_
```Date   Price  BUA Type P/sf```
```------------2023-----------```
```01Aug 1.488M  662 XXXX 2248```
```06Jun 1.509M  720 XXXX 2096```
```30May 1.486M  720 XXXX 2064```
```22May 1.498M  720 XXXX 2080```
```02Jan 1.725M  662 XX05 2606```
```------------2022-----------```
```12Oct 1.712M  662 XX05 2586```
```11Oct 1.668M  662 XX06 2519```
```20Sep 1.539M  665 XX06 2314```
```10Aug 1.914M  802 XX02 2386```
```10May 1.716M  662 XX05 2592```
```23Mar 1.771M  717 XX05 2470```
```23Mar 1.777M  665 XX06 2672```
```14Jan 1.628M  662 XX06 2459```
```03Jan 1.777M  717 XX05 2478```
```------------2021-----------```
```29Dec 1.753M  720 XX06 2435```
```26Sep 1.491M  662 XX05 2252```
```13Sep 1.647M  665 XX06 2477```
```05Jul  1.71M  767 XX04 2229```
```29Jun 1.622M  720 XX07 2253```
```10Jun  1.62M  662 XX05 2447```
_Source: DLD, Databot_
_BUA - built-up area, sq.ft._
_P/sf - price per sq.ft._
_B - bedrooms; O - office_
_M - million, K- thousand_
_S - studio, R - shop_
_*Max 20 latest transactions_
www.trydatabot.com</t>
  </si>
  <si>
    <t>1006809, *SALES*</t>
  </si>
  <si>
    <t>*SALES*
*TRANSACTIONS (PRIMARY)**
*ACT 1 ACT 2 T1*
_Area: Downtown_
_Type: 2 bedroom apartment_
```Date   Price  BUA Type P/sf```
```------------2024-----------```
```29May 4.942M 1325 XX01 3730```
```28May 5.366M 1426 XX11 3763```
```29Mar 2.514M 1174 XXXX 2141```
```------------2023-----------```
```28Dec 2.829M 1214 XXXX 2330```
```27Apr 4.048M 1325 XX01 3055```
```07Mar 3.598M 1082 XX09 3325```
```09Feb 2.363M 1111 XX04 2127```
```19Jan 2.332M 1111 XX04 2099```
```------------2022-----------```
```09Sep 2.585M 1239 XX03 2086```
```20Apr 2.956M 1239 XX03 2386```
```14Mar 2.702M 1111 XX04 2432```
```03Jan 3.549M 1325 XX01 2678```
```------------2021-----------```
```12Dec  3.38M 1325 XX01 2551```
```18Oct 2.648M 1111 XX04 2383```
```20Sep 2.961M 1096 XX10 2702```
```18Jul  2.56M 1131 XX08 2263```
```06Jul 2.631M 1160 XX02 2268```
```20Apr 3.231M 1139 XX10 2837```
```07Mar 3.144M 1125 XX09 2795```
```------------2020-----------```
```04Oct  3.41M 1325 XX01 2574```
_Source: DLD, Databot_
_BUA - built-up area, sq.ft._
_P/sf - price per sq.ft._
_B - bedrooms; O - office_
_M - million, K- thousand_
_S - studio, R - shop_
_*Max 20 latest transactions_
www.trydatabot.com</t>
  </si>
  <si>
    <t>1006810, *SALES*</t>
  </si>
  <si>
    <t>*SALES*
*TRANSACTIONS (PRIMARY)**
*ACT 1 ACT 2 T1*
_Area: Downtown_
_Type: 3 bedroom apartment_
```Date   Price  BUA Type P/sf```
```------------2023-----------```
```14Mar  5.03M 1766 XX09 2848```
```------------2022-----------```
```11Nov 4.459M 1757 XX01 2538```
```14Jul 4.992M 1824 XX09 2737```
```28Jan 4.589M 1523 XX08 3013```
```------------2021-----------```
```30Dec 4.922M 1766 XX09 2787```
```14Dec 4.811M 1749 XX09 2751```
```12Dec  5.07M 1844 XX01 2749```
```31Oct 4.373M 1782 XX01 2454```
```18Jul 4.463M 1523 XX08 2930```
```01Jun 4.904M 1766 XX09 2777```
```------------2020-----------```
```11Jul 4.321M 1523 XX08 2837```
```08Jul 4.582M 1721 XX09 2662```
```20Apr 4.524M 1844 XX01 2453```
```16Apr 4.492M 1724 XX09 2606```
```------------2019-----------```
```20Jun 3.974M 1523 XX08 2609```
```16Jun 4.301M 1723 XX09 2496```
```23May 4.309M 1723 XX09 2501```
```09May 4.359M 1766 XX09 2468```
```14Mar 4.482M 1844 XX01 2431```
```26Feb 4.541M 1844 XX01 2463```
_Source: DLD, Databot_
_BUA - built-up area, sq.ft._
_P/sf - price per sq.ft._
_B - bedrooms; O - office_
_M - million, K- thousand_
_S - studio, R - shop_
_*Max 20 latest transactions_
www.trydatabot.com</t>
  </si>
  <si>
    <t>1006811, *SALES*</t>
  </si>
  <si>
    <t>*SALES*
*TRANSACTIONS (PRIMARY)**
*ACT 1 ACT 2 T1*
_Area: Downtown_
_Type: 4 bedroom apartment_
```Date   Price  BUA Type P/sf```
```------------2024-----------```
```28Aug 10.56M 3140 XXXX 3364```
_Source: DLD, Databot_
_BUA - built-up area, sq.ft._
_P/sf - price per sq.ft._
_B - bedrooms; O - office_
_M - million, K- thousand_
_S - studio, R - shop_
_*Max 20 latest transactions_
www.trydatabot.com</t>
  </si>
  <si>
    <t>1006819, *SALES*</t>
  </si>
  <si>
    <t>*SALES*
*TRANSACTIONS (PRIMARY)**
*ACT 1 ACT 2 T1*
_Area: Downtown_
_All types/bedrooms_
```Date    Price   BUA  Type B```
```------------2024-----------```
```28Aug  10.56M  3140  XXXX 4```
```29May  4.942M  1325  XX01 2```
```28May  5.366M  1426  XX11 2```
```29Mar  2.514M  1174  XXXX 2```
```------------2023-----------```
```28Dec  2.829M  1214  XXXX 2```
```01Aug  1.488M   662  XXXX 1```
```06Jun  1.509M   720  XXXX 1```
```30May  1.486M   720  XXXX 1```
```22May  1.498M   720  XXXX 1```
```27Apr  4.048M  1325  XX01 2```
```14Mar   5.03M  1766  XX09 3```
```07Mar  3.598M  1082  XX09 2```
```09Feb  2.363M  1111  XX04 2```
```19Jan  2.332M  1111  XX04 2```
```02Jan  1.725M   662  XX05 1```
```------------2022-----------```
```11Nov  4.459M  1757  XX01 3```
```12Oct  1.712M   662  XX05 1```
```11Oct  1.668M   662  XX06 1```
```20Sep  1.539M   665  XX06 1```
```09Sep  2.585M  1239  XX03 2```
_Source: DLD, Databot_
_BUA - built-up area, sq.ft._
_P/sf - price per sq.ft._
_B - bedrooms; O - office_
_M - million, K- thousand_
_S - studio, R - shop_
_*Max 20 latest transactions_
www.trydatabot.com</t>
  </si>
  <si>
    <t>1006824, *SALES*</t>
  </si>
  <si>
    <t>*SALES*
*TRANSACTIONS (RESALE)**
*ACT 1 ACT 2 T2*
_Area: Downtown_
_Type: 1 bedroom apartment_
_Gross ROI=6.16%_
_Median annual rent=130K_
```Date   Price  BUA Type P/sf```
```------------2025-----------```
```10Dec   2.1M  662 XXXX 3172```
```05Dec   2.2M  662 XXXX 3323```
```24Oct   2.2M  801 XX02 2747```
```16Oct 2.325M  717 XX05 3243```
```22Sep     2M  611 XXXX 3273```
```12Sep   2.2M  657 XX04 3349```
```15Aug  2.21M  665 XX06 3323```
```06Aug   2.5M  665 XX06 3759```
```29May  2.15M  725 XX02 2966```
```28May     2M  717 XX05 2789```
```14May     2M  611 XXXX 3273```
```14Apr 1.702M  654 XXXX 2602```
```04Apr  1.81M  657 XX04 2755```
```24Mar   1.8M  657 XX04 2740```
```24Mar   1.8M  611 XXXX 2946```
```14Mar 2.375M  767 XX04 3096```
```27Feb 1.805M  801 XXXX 2253```
```26Feb  2.33M  717 XX05 3250```
```20Feb   2.3M  712 XX05 3230```
```15Jan 2.415M  720 XXXX 3354```
```------------2024-----------```
```13Nov   2.2M  665 XX06 3308```
```23Oct     2M  720 XXXX 2778```
```10Oct   1.5M  662 XXXX 2266```
```03Oct   2.2M  717 XX05 3068```
```12Aug 2.325M  720 XXXX 3229```
```13Jun   2.4M  665 XX06 3609```
```10Jun   2.4M  665 XX06 3609```
```14May  2.25M  767 XX04 2934```
```15Apr  1.75M  657 XXXX 2664```
```25Mar   2.2M  801 XXXX 2747```
_Source: DLD, Databot_
_BUA - built-up area, sq.ft._
_P/sf - price per sq.ft._
_B - bedrooms; O - office_
_M - million, K- thousand_
_S - studio, R - shop_
_*Max 30 latest transactions_
www.trydatabot.com</t>
  </si>
  <si>
    <t>Act 1 Act 2 T2</t>
  </si>
  <si>
    <t>1006825, *MARKET</t>
  </si>
  <si>
    <t>*MARKET*
*SNAPSHOT*
*ACT 1 ACT 2 T2*
_Area: Downtown_
_Type: 1 bedroom apartment_
*Price dynamics, Dirham/sq.ft.*
_(M - median value)_
```3759|              *       ```
```    |                      ```
```    |                      ```
```    | ** *      *   **** * ```
```3201|---------------------M```
```    |   *  *              *```
```    |       *     *        ```
```    |*           *         ```
```    |        **         *  ```
```    |          *           ```
```2253|     *                ```
```____|______________________```
```    |Oct2024        Dec2025```
_Source: see table below_
*Latest sales transactions*
```Date   Price  BUA Type P/sf```
```------------2025-----------```
```10Dec   2.1M  662 XXXX 3172```
```05Dec   2.2M  662 XXXX 3323```
```24Oct   2.2M  801 XX02 2747```
```16Oct 2.325M  717 XX05 3243```
```22Sep     2M  611 XXXX 3273```
```12Sep   2.2M  657 XX04 3349```
```15Aug  2.21M  665 XX06 3323```
```06Aug   2.5M  665 XX06 3759```
```29May  2.15M  725 XX02 2966```
```28May     2M  717 XX05 2789```
```14May     2M  611 XXXX 3273```
```14Apr 1.702M  654 XXXX 2602```
```04Apr  1.81M  657 XX04 2755```
```24Mar   1.8M  657 XX04 2740```
```24Mar   1.8M  611 XXXX 2946```
```14Mar 2.375M  767 XX04 3096```
```27Feb 1.805M  801 XXXX 2253```
```26Feb  2.33M  717 XX05 3250```
```20Feb   2.3M  712 XX05 3230```
```15Jan 2.415M  720 XXXX 3354```
```------------2024-----------```
```13Nov   2.2M  665 XX06 3308```
```23Oct     2M  720 XXXX 2778```
```10Oct   1.5M  662 XXXX 2266```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</si>
  <si>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1006826, *NEW RE</t>
  </si>
  <si>
    <t>1006827, *RESELL</t>
  </si>
  <si>
    <t>*RESELL*
*VS PRIMARY*
*ACT 1 ACT 2 T2*
_Area: Downtown_
_Type: 1 bedroom apartment_
*Price dynamics, Dirham/sq.ft.*
_(x - primary; * - resell)_
```3759|              *       ```
```    |                      ```
```    |                *     ```
```    |           *   * ** **```
```3067|                      ```
```    |             *        ```
```    |            *      *  ```
```    |         x            ```
```    | x xxxxxx             ```
```2026|x x       x           ```
```____|______________________```
```    |Jun2020        Dec2025```
_Source: see a table below_
*Latest resell transactions*
```Date   Price  BUA Type P/sf```
```------------2025-----------```
```10Dec   2.1M  662 XXXX 3172```
```05Dec   2.2M  662 XXXX 3323```
```24Oct   2.2M  801 XX02 2747```
```16Oct 2.325M  717 XX05 3243```
```22Sep     2M  611 XXXX 3273```
```12Sep   2.2M  657 XX04 3349```
```15Aug  2.21M  665 XX06 3323```
```06Aug   2.5M  665 XX06 3759```
```29May  2.15M  725 XX02 2966```
```28May     2M  717 XX05 2789```
```14May     2M  611 XXXX 3273```
```14Apr 1.702M  654 XXXX 2602```
```04Apr  1.81M  657 XX04 2755```
```24Mar   1.8M  657 XX04 2740```
```24Mar   1.8M  611 XXXX 2946```
```14Mar 2.375M  767 XX04 3096```
```27Feb 1.805M  801 XXXX 2253```
```26Feb  2.33M  717 XX05 3250```
*Latest primary transactions*
```------------2023-----------```
```05Jan 1.459M  720 XX07 2026```
```------------2022-----------```
```28Jun 1.634M  662 XX06 2468```
```15May  1.75M  720 XX06 2430```
```06Apr 1.794M  767 XX04 2339```
```01Apr 1.773M  767 XX04 2311```
```13Jan 1.725M  720 XX06 2396```
```------------2021-----------```
```29Jun 1.805M  802 XX02 2250```
```05May 1.787M  802 XX02 2228```
```10Mar 1.505M  720 XX07 2090```
```------------2020-----------```
```12Nov 1.496M  665 XX06 2249```
```18Jun 1.476M  720 XX07 2050```
```------------2019-----------```
_Source: DLD, Databot_
_BUA - built-up area, sq.ft._
_P/sf - price per sq.ft._
_B - bedrooms; O - office_
_M - million, K- thousand_
_S - studio, R - shop_
www.trydatabot.com</t>
  </si>
  <si>
    <t>1006828, *SALES*</t>
  </si>
  <si>
    <t>*SALES*
*TRANSACTIONS (RESALE)**
*ACT 1 ACT 2 T2*
_Area: Downtown_
_Type: 2 bedroom apartment_
_Gross ROI=5.8%_
_Median annual rent=197.2K_
```Date   Price  BUA Type P/sf```
```------------2026-----------```
```12Jan   3.3M 1187 XX03 2780```
```------------2025-----------```
```20Nov   2.8M 1045 XX07 2679```
```14Oct  3.32M 1174 XX02 2828```
```13Oct  3.38M 1109 XX07 3048```
```03Sep  3.45M 1109 XX07 3111```
```20Aug  3.35M 1111 XX04 3015```
```20Aug   3.5M 1175 XX02 2979```
```18Jul  3.55M 1110 XX07 3198```
```17Jul   3.3M 1214 XXXX 2718```
```23Jun  3.65M 1109 XX07 3291```
```12May  3.55M 1174 XX02 3024```
```18Apr  3.15M 1111 XX04 2835```
```24Mar   3.4M 1174 XXXX 2896```
```24Mar   3.4M 1368 XX10 2485```
```24Mar   3.4M 1308 XXXX 2599```
```24Mar   3.4M 1105 XXXX 3077```
```18Feb   3.4M 1174 XXXX 2896```
```03Feb 3.525M 1214 XXXX 2904```
```24Jan   3.2M 1111 XX04 2880```
```------------2024-----------```
```18Dec  3.42M 1174 XXXX 2913```
```20Nov 2.525M 1097 XXXX 2302```
```18Nov   3.2M 1174 XXXX 2726```
```15Nov  3.28M 1111 XX04 2952```
```30Oct   2.8M 1174 XXXX 2385```
```24Oct  3.15M 1175 XXXX 2681```
```21Oct  3.35M 1111 XX04 3015```
```17Oct     4M 1325 XX01 3019```
```04Oct   3.3M 1214 XXXX 2718```
```03Oct  3.63M 1110 XXXX 3270```
```03Oct   3.3M 1214 XXXX 2718```
_Source: DLD, Databot_
_BUA - built-up area, sq.ft._
_P/sf - price per sq.ft._
_B - bedrooms; O - office_
_M - million, K- thousand_
_S - studio, R - shop_
_*Max 30 latest transactions_
www.trydatabot.com</t>
  </si>
  <si>
    <t>1006829, *MARKET</t>
  </si>
  <si>
    <t>*MARKET*
*SNAPSHOT*
*ACT 1 ACT 2 T2*
_Area: Downtown_
_Type: 2 bedroom apartment_
*Price dynamics, Dirham/sq.ft.*
_(M - median value)_
```3291|            *         ```
```    |              *       ```
```    |      *          **   ```
```    |           *   **     ```
```2896|---------------------M```
```    |  ****   *            ```
```    |          *        * *```
```    |*            *      * ```
```    |       *              ```
```    |        *             ```
```2302| *                    ```
```____|______________________```
```    |Nov2024        Jan2026```
_Source: see table below_
*Latest sales transactions*
```Date   Price  BUA Type P/sf```
```------------2026-----------```
```12Jan   3.3M 1187 XX03 2780```
```------------2025-----------```
```20Nov   2.8M 1045 XX07 2679```
```14Oct  3.32M 1174 XX02 2828```
```13Oct  3.38M 1109 XX07 3048```
```03Sep  3.45M 1109 XX07 3111```
```20Aug  3.35M 1111 XX04 3015```
```20Aug   3.5M 1175 XX02 2979```
```18Jul  3.55M 1110 XX07 3198```
```17Jul   3.3M 1214 XXXX 2718```
```23Jun  3.65M 1109 XX07 3291```
```12May  3.55M 1174 XX02 3024```
```18Apr  3.15M 1111 XX04 2835```
```24Mar   3.4M 1174 XXXX 2896```
```24Mar   3.4M 1368 XX10 2485```
```24Mar   3.4M 1308 XXXX 2599```
```24Mar   3.4M 1105 XXXX 3077```
```18Feb   3.4M 1174 XXXX 2896```
```03Feb 3.525M 1214 XXXX 2904```
```24Jan   3.2M 1111 XX04 2880```
```------------2024-----------```
```18Dec  3.42M 1174 XXXX 2913```
```20Nov 2.525M 1097 XXXX 2302```
```18Nov   3.2M 1174 XXXX 2726```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</si>
  <si>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1006830, *NEW RE</t>
  </si>
  <si>
    <t>1006831, *RESELL</t>
  </si>
  <si>
    <t>*RESELL*
*VS PRIMARY*
*ACT 1 ACT 2 T2*
_Area: Downtown_
_Type: 2 bedroom apartment_
*Price dynamics, Dirham/sq.ft.*
_(x - primary; * - resell)_
```3291|            * *       ```
```    |           *   ****   ```
```    |   x x             * *```
```    |       x     *      * ```
```2399|xx  x     x           ```
```    |  x   x x             ```
```    |                      ```
```    |                      ```
```    |                      ```
```1060|         x            ```
```____|______________________```
```    |Dec2021        Jan2026```
_Source: see a table below_
*Latest resell transactions*
```Date   Price  BUA Type P/sf```
```------------2026-----------```
```12Jan   3.3M 1187 XX03 2780```
```------------2025-----------```
```20Nov   2.8M 1045 XX07 2679```
```14Oct  3.32M 1174 XX02 2828```
```13Oct  3.38M 1109 XX07 3048```
```03Sep  3.45M 1109 XX07 3111```
```20Aug  3.35M 1111 XX04 3015```
```20Aug   3.5M 1175 XX02 2979```
```18Jul  3.55M 1110 XX07 3198```
```17Jul   3.3M 1214 XXXX 2718```
```23Jun  3.65M 1109 XX07 3291```
```12May  3.55M 1174 XX02 3024```
```18Apr  3.15M 1111 XX04 2835```
```24Mar   3.4M 1174 XXXX 2896```
```24Mar   3.4M 1368 XX10 2485```
```24Mar   3.4M 1308 XXXX 2599```
```24Mar   3.4M 1105 XXXX 3077```
```18Feb   3.4M 1174 XXXX 2896```
*Latest primary transactions*
```------------2024-----------```
```09Jan 2.733M 1111 XX04 2460```
```------------2023-----------```
```17Aug 1.244M 1174 XXXX 1060```
```24Apr 2.646M 1169 XXXX 2263```
```13Apr 2.697M 1073 XXXX 2514```
```13Apr 2.523M 1187 XXXX 2126```
```22Feb 2.874M 1001 XX04 2871```
```27Jan 3.898M 1592 XX11 2448```
```------------2022-----------```
```01Nov 3.096M 1125 XX09 2752```
```26May 2.452M 1160 XX02 2114```
```28Jan 2.618M 1131 XX07 2315```
```------------2021-----------```
```19Dec 2.604M 1111 XX04 2344```
```29Jun 2.671M 1160 XX02 2302```
_Source: DLD, Databot_
_BUA - built-up area, sq.ft._
_P/sf - price per sq.ft._
_B - bedrooms; O - office_
_M - million, K- thousand_
_S - studio, R - shop_
www.trydatabot.com</t>
  </si>
  <si>
    <t>1006832, *SALES*</t>
  </si>
  <si>
    <t>*SALES*
*TRANSACTIONS (RESALE)**
*ACT 1 ACT 2 T2*
_Area: Downtown_
_Type: 3 bedroom apartment_
_Gross ROI=5.58%_
_Median annual rent=330K_
```Date   Price  BUA Type P/sf```
```------------2025-----------```
```03Nov   8.5M 2435 XX03 3491```
```15Oct   5.5M 1728 XX09 3183```
```17Sep   5.8M 1728 XX09 3356```
```02Sep   5.4M 1510 XX08 3576```
```27Aug  6.45M 1765 XX01 3654```
```21Jul  4.85M 1609 XX09 3014```
```12May   5.9M 1509 XXXX 3910```
```06May     6M 2435 XXXX 2464```
```21Jan   5.9M 1765 XXXX 3343```
```13Jan   5.5M 1640 XXXX 3354```
```07Jan  5.75M 1509 XXXX 3810```
```------------2024-----------```
```13Dec   5.6M 1766 XX09 3171```
```21Nov   5.4M 1728 XXXX 3125```
```29Oct 3.808M 2768 XXXX 1376```
```09Sep  5.75M 1509 XXXX 3810```
```09Aug   6.4M 1509 XXXX 4241```
```29Apr  6.35M 1509 XXXX 4208```
```22Apr   5.4M 1728 XXXX 3125```
```03Apr   5.6M 1809 XXXX 3096```
```03Apr   5.6M 1728 XXXX 3241```
```01Mar     6M 1728 XXXX 3472```
```------------2023-----------```
```22Dec  5.27M 1728 XXXX 3050```
```06Dec   6.2M 1766 XX09 3511```
```24Nov   5.2M 1509 XXXX 3446```
```30Oct   5.8M 1509 XXXX 3844```
```23Oct   5.3M 1509 XXXX 3512```
```06Oct   5.4M 1826 XX09 2957```
```04Oct   5.2M 1753 XXXX 2966```
```28Sep   6.2M 1765 XXXX 3513```
```26Sep  5.89M 1509 XXXX 3903```
_Source: DLD, Databot_
_BUA - built-up area, sq.ft._
_P/sf - price per sq.ft._
_B - bedrooms; O - office_
_M - million, K- thousand_
_S - studio, R - shop_
_*Max 30 latest transactions_
www.trydatabot.com</t>
  </si>
  <si>
    <t>1006833, *MARKET</t>
  </si>
  <si>
    <t>*MARKET*
*SNAPSHOT*
*ACT 1 ACT 2 T2*
_Area: Downtown_
_Type: 3 bedroom apartment_
*Price dynamics, Dirham/sq.ft.*
_(M - median value)_
```4241|     **               ```
```    |               *      ```
```    |       *   *     **   ```
```3349|---------------------M```
```    | **         **     * *```
```    |*  **    **     *   * ```
```    |                      ```
```    |              *       ```
```    |                      ```
```    |                      ```
```1376|        *             ```
```____|______________________```
```    |Dec2023        Nov2025```
_Source: see table below_
*Latest sales transactions*
```Date   Price  BUA Type P/sf```
```------------2025-----------```
```03Nov   8.5M 2435 XX03 3491```
```15Oct   5.5M 1728 XX09 3183```
```17Sep   5.8M 1728 XX09 3356```
```02Sep   5.4M 1510 XX08 3576```
```27Aug  6.45M 1765 XX01 3654```
```21Jul  4.85M 1609 XX09 3014```
```12May   5.9M 1509 XXXX 3910```
```06May     6M 2435 XXXX 2464```
```21Jan   5.9M 1765 XXXX 3343```
```13Jan   5.5M 1640 XXXX 3354```
```07Jan  5.75M 1509 XXXX 3810```
```------------2024-----------```
```13Dec   5.6M 1766 XX09 3171```
```21Nov   5.4M 1728 XXXX 3125```
```29Oct 3.808M 2768 XXXX 1376```
```09Sep  5.75M 1509 XXXX 3810```
```09Aug   6.4M 1509 XXXX 4241```
```29Apr  6.35M 1509 XXXX 4208```
```22Apr   5.4M 1728 XXXX 3125```
```03Apr   5.6M 1809 XXXX 3096```
```03Apr   5.6M 1728 XXXX 3241```
```01Mar     6M 1728 XXXX 3472```
```------------2023-----------```
```22Dec  5.27M 1728 XXXX 3050```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</si>
  <si>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1006834, *NEW RE</t>
  </si>
  <si>
    <t>1006835, *RESELL</t>
  </si>
  <si>
    <t>*RESELL*
*VS PRIMARY*
*ACT 1 ACT 2 T2*
_Area: Downtown_
_Type: 3 bedroom apartment_
*Price dynamics, Dirham/sq.ft.*
_(x - primary; * - resell)_
```3910|               *      ```
```    |           *          ```
```    |                 **   ```
```    |                     *```
```3278|            **     *  ```
```    |                    * ```
```    |                *     ```
```    |                      ```
```    |         xx           ```
```2333|xxxxxxxxx     *       ```
```____|______________________```
```    |Nov2019        Nov2025```
_Source: see a table below_
*Latest resell transactions*
```Date   Price  BUA Type P/sf```
```------------2025-----------```
```03Nov   8.5M 2435 XX03 3491```
```15Oct   5.5M 1728 XX09 3183```
```17Sep   5.8M 1728 XX09 3356```
```02Sep   5.4M 1510 XX08 3576```
```27Aug  6.45M 1765 XX01 3654```
```21Jul  4.85M 1609 XX09 3014```
```12May   5.9M 1509 XXXX 3910```
```06May     6M 2435 XXXX 2464```
```21Jan   5.9M 1765 XXXX 3343```
```13Jan   5.5M 1640 XXXX 3354```
```07Jan  5.75M 1509 XXXX 3810```
```------------2024-----------```
```13Dec   5.6M 1766 XX09 3171```
```21Nov   5.4M 1728 XXXX 3125```
```29Oct 3.808M 2768 XXXX 1376```
```09Sep  5.75M 1509 XXXX 3810```
```09Aug   6.4M 1509 XXXX 4241```
```29Apr  6.35M 1509 XXXX 4208```
*Latest primary transactions*
```------------2023-----------```
```24Apr 4.579M 1826 XX09 2508```
```13Apr 4.623M 1809 XXXX 2555```
```------------2022-----------```
```23Mar 4.376M 1845 XX01 2372```
```------------2020-----------```
```16Nov  4.26M 1826 XX09 2333```
```16Nov 4.268M 1768 XX09 2414```
```16Nov 4.276M 1768 XX09 2418```
```16Nov 4.284M 1768 XX09 2423```
```13Feb 4.507M 1845 XX01 2443```
```13Feb 4.292M 1768 XX09 2428```
```11Feb 4.499M 1845 XX01 2438```
```------------2019-----------```
```24Nov 4.234M 1723 XX09 2457```
```24Nov 3.718M 1524 XX08 2440```
_Source: DLD, Databot_
_BUA - built-up area, sq.ft._
_P/sf - price per sq.ft._
_B - bedrooms; O - office_
_M - million, K- thousand_
_S - studio, R - shop_
www.trydatabot.com</t>
  </si>
  <si>
    <t>1006836, *SALES*</t>
  </si>
  <si>
    <t>*SALES*
*TRANSACTIONS**
*ACT 1 ACT 2 T2*
_Area: Downtown_
_Type: 4 bedroom apartment_
```Date   Price  BUA Type P/sf```
```------------2024-----------```
```02Jul  16.3M 4496 XXXX 3625```
```------------2023-----------```
```07Aug    16M 4400 XXXX 3636```
_Source: DLD, Databot_
_BUA - built-up area, sq.ft._
_P/sf - price per sq.ft._
_B - bedrooms; O - office_
_M - million, K- thousand_
_S - studio, R - shop_
_*Max 30 latest transactions_
www.trydatabot.com</t>
  </si>
  <si>
    <t>1006837, *MARKET</t>
  </si>
  <si>
    <t>*MARKET*
*SNAPSHOT*
*ACT 1 ACT 2 T2*
_Area: Downtown_
_Type: 4 bedroom apartment_
*Price dynamics, Dirham/sq.ft.*
_(M - median value)_
```3636|                    * ```
```    |                      ```
```    |                      ```
```    |                      ```
```    |                      ```
```3631|---------------------M```
```    |                      ```
```    |                      ```
```    |                      ```
```    |                      ```
```3625|                     *```
```____|______________________```
```    |Aug2023        Jul2024```
_Source: see table below_
*Latest sales transactions*
```Date   Price  BUA Type P/sf```
```------------2024-----------```
```02Jul  16.3M 4496 XXXX 3625```
```------------2023-----------```
```07Aug    16M 4400 XXXX 3636```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</si>
  <si>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1006838, *NEW RE</t>
  </si>
  <si>
    <t>1006854, *NEW RE</t>
  </si>
  <si>
    <t>1006868, *NEW RE</t>
  </si>
  <si>
    <t>1006869, *SALES*</t>
  </si>
  <si>
    <t>*SALES*
*TRANSACTIONS (RESALE)**
*ACT 1 ACT 2 T2*
_Area: Downtown_
_All types/bedrooms_
```Date    Price   BUA  Type B```
```------------2026-----------```
```12Jan    3.3M  1187  XX03 2```
```------------2025-----------```
```10Dec    2.1M   662  XXXX 1```
```05Dec    2.2M   662  XXXX 1```
```20Nov    2.8M  1045  XX07 2```
```03Nov    8.5M  2435  XX03 3```
```24Oct    2.2M   801  XX02 1```
```16Oct  2.325M   717  XX05 1```
```15Oct    5.5M  1728  XX09 3```
```14Oct   3.32M  1174  XX02 2```
```13Oct   3.38M  1109  XX07 2```
```22Sep      2M   611  XXXX 1```
```17Sep    5.8M  1728  XX09 3```
```12Sep    2.2M   657  XX04 1```
```03Sep   3.45M  1109  XX07 2```
```02Sep    5.4M  1510  XX08 3```
```27Aug   6.45M  1765  XX01 3```
```20Aug   3.35M  1111  XX04 2```
```20Aug    3.5M  1175  XX02 2```
```15Aug   2.21M   665  XX06 1```
```06Aug    2.5M   665  XX06 1```
```21Jul   4.85M  1609  XX09 3```
```18Jul   3.55M  1110  XX07 2```
```17Jul    3.3M  1214  XXXX 2```
```23Jun   3.65M  1109  XX07 2```
```29May   2.15M   725  XX02 1```
```28May      2M   717  XX05 1```
```14May      2M   611  XXXX 1```
```12May   3.55M  1174  XX02 2```
```12May    5.9M  1509  XXXX 3```
```06May      6M  2435  XXXX 3```
_Source: DLD, Databot_
_BUA - built-up area, sq.ft._
_P/sf - price per sq.ft._
_B - bedrooms; O - office_
_M - million, K- thousand_
_S - studio, R - shop_
_*Max 30 latest transactions_
www.trydatabot.com</t>
  </si>
  <si>
    <t>1006870, by code, *BUILDI</t>
  </si>
  <si>
    <t xml:space="preserve">*BUILDING*
*PROFILE*
*ACT 1 ACT 2 T2*
_Area: Downtown_
_Tap&amp;hold to copy a reply_
```-------------------------```
```Report              Reply```
```-------------------------```
*1 B/R*
```Resell, ROI       1006824```
```Primary sales     1006872```
```Price chart       1006825```
```Rentals           1006826```
```Appreciation      1006827```
*2 B/R*
```Resell, ROI       1006828```
```Primary sales     1006873```
```Price chart       1006829```
```Rentals           1006830```
```Appreciation      1006831```
*3 B/R*
```Resell, ROI       1006832```
```Primary sales     1006874```
```Price chart       1006833```
```Rentals           1006834```
```Appreciation      1006835```
*4 B/R*
```Sales, ROI        1006836```
```Price chart       1006837```
```Rentals           1006838```
*All types/bedrooms*
```Resell, ROI       1006869```
```Primary sales     1006883```
```Rentals           1006868```
</t>
  </si>
  <si>
    <t>1006872, *SALES*</t>
  </si>
  <si>
    <t>*SALES*
*TRANSACTIONS (PRIMARY)**
*ACT 1 ACT 2 T2*
_Area: Downtown_
_Type: 1 bedroom apartment_
```Date   Price  BUA Type P/sf```
```------------2023-----------```
```05Jan 1.459M  720 XX07 2026```
```------------2022-----------```
```28Jun 1.634M  662 XX06 2468```
```15May  1.75M  720 XX06 2430```
```06Apr 1.794M  767 XX04 2339```
```01Apr 1.773M  767 XX04 2311```
```13Jan 1.725M  720 XX06 2396```
```------------2021-----------```
```29Jun 1.805M  802 XX02 2250```
```05May 1.787M  802 XX02 2228```
```10Mar 1.505M  720 XX07 2090```
```------------2020-----------```
```12Nov 1.496M  665 XX06 2249```
```18Jun 1.476M  720 XX07 2050```
```------------2019-----------```
```30Jul 1.514M  665 XX06 2277```
```18Jun 1.506M  665 XX06 2264```
```29May 1.517M  665 XX06 2281```
```23May 1.521M  720 XX06 2112```
```23May   1.5M  665 XX06 2255```
```20Mar 1.469M  662 XX05 2219```
```06Mar 1.466M  662 XX05 2214```
```05Mar 1.508M  665 XX06 2268```
```04Mar 1.518M  720 XX06 2108```
_Source: DLD, Databot_
_BUA - built-up area, sq.ft._
_P/sf - price per sq.ft._
_B - bedrooms; O - office_
_M - million, K- thousand_
_S - studio, R - shop_
_*Max 20 latest transactions_
www.trydatabot.com</t>
  </si>
  <si>
    <t>1006873, *SALES*</t>
  </si>
  <si>
    <t>*SALES*
*TRANSACTIONS (PRIMARY)**
*ACT 1 ACT 2 T2*
_Area: Downtown_
_Type: 2 bedroom apartment_
```Date   Price  BUA Type P/sf```
```------------2024-----------```
```09Jan 2.733M 1111 XX04 2460```
```------------2023-----------```
```17Aug 1.244M 1174 XXXX 1060```
```24Apr 2.646M 1169 XXXX 2263```
```13Apr 2.697M 1073 XXXX 2514```
```13Apr 2.523M 1187 XXXX 2126```
```22Feb 2.874M 1001 XX04 2871```
```27Jan 3.898M 1592 XX11 2448```
```------------2022-----------```
```01Nov 3.096M 1125 XX09 2752```
```26May 2.452M 1160 XX02 2114```
```28Jan 2.618M 1131 XX07 2315```
```------------2021-----------```
```19Dec 2.604M 1111 XX04 2344```
```29Jun 2.671M 1160 XX02 2302```
```------------2020-----------```
```21Apr  3.17M 1325 XX01 2392```
```------------2019-----------```
```24Oct 2.285M 1111 XX04 2057```
```19Sep 2.604M 1121 XX10 2323```
```28Jul 2.328M 1130 XX07 2060```
```23Jul 3.422M 1430 XX11 2393```
```22Jul  2.23M 1131 XX08 1972```
```21Jul 2.353M 1131 XX07 2080```
```11Jul 2.474M 1240 XX03 1995```
_Source: DLD, Databot_
_BUA - built-up area, sq.ft._
_P/sf - price per sq.ft._
_B - bedrooms; O - office_
_M - million, K- thousand_
_S - studio, R - shop_
_*Max 20 latest transactions_
www.trydatabot.com</t>
  </si>
  <si>
    <t>1006874, *SALES*</t>
  </si>
  <si>
    <t>*SALES*
*TRANSACTIONS (PRIMARY)**
*ACT 1 ACT 2 T2*
_Area: Downtown_
_Type: 3 bedroom apartment_
```Date   Price  BUA Type P/sf```
```------------2023-----------```
```24Apr 4.579M 1826 XX09 2508```
```13Apr 4.623M 1809 XXXX 2555```
```------------2022-----------```
```23Mar 4.376M 1845 XX01 2372```
```------------2020-----------```
```16Nov  4.26M 1826 XX09 2333```
```16Nov 4.268M 1768 XX09 2414```
```16Nov 4.276M 1768 XX09 2418```
```16Nov 4.284M 1768 XX09 2423```
```13Feb 4.507M 1845 XX01 2443```
```13Feb 4.292M 1768 XX09 2428```
```11Feb 4.499M 1845 XX01 2438```
```------------2019-----------```
```24Nov 4.234M 1723 XX09 2457```
```24Nov 3.718M 1524 XX08 2440```
```08Sep 4.434M 1803 XX01 2459```
```14Aug 4.443M 1803 XX01 2464```
```28Jul 3.831M 1524 XX08 2514```
```25Jul 4.426M 1803 XX01 2455```
```21Jul 3.824M 1524 XX08 2509```
```01Jul  4.49M 1845 XX01 2434```
```01Jul 4.482M 1845 XX01 2429```
```01Jul 4.465M 1845 XX01 2420```
_Source: DLD, Databot_
_BUA - built-up area, sq.ft._
_P/sf - price per sq.ft._
_B - bedrooms; O - office_
_M - million, K- thousand_
_S - studio, R - shop_
_*Max 20 latest transactions_
www.trydatabot.com</t>
  </si>
  <si>
    <t>1006883, *SALES*</t>
  </si>
  <si>
    <t>*SALES*
*TRANSACTIONS (PRIMARY)**
*ACT 1 ACT 2 T2*
_Area: Downtown_
_All types/bedrooms_
```Date    Price   BUA  Type B```
```------------2024-----------```
```09Jan  2.733M  1111  XX04 2```
```------------2023-----------```
```17Aug  1.244M  1174  XXXX 2```
```24Apr  4.579M  1826  XX09 3```
```24Apr  2.646M  1169  XXXX 2```
```13Apr  4.623M  1809  XXXX 3```
```13Apr  2.697M  1073  XXXX 2```
```13Apr  2.523M  1187  XXXX 2```
```22Feb  2.874M  1001  XX04 2```
```27Jan  3.898M  1592  XX11 2```
```05Jan  1.459M   720  XX07 1```
```------------2022-----------```
```01Nov  3.096M  1125  XX09 2```
```28Jun  1.634M   662  XX06 1```
```26May  2.452M  1160  XX02 2```
```15May   1.75M   720  XX06 1```
```06Apr  1.794M   767  XX04 1```
```01Apr  1.773M   767  XX04 1```
```23Mar  4.376M  1845  XX01 3```
```28Jan  2.618M  1131  XX07 2```
```13Jan  1.725M   720  XX06 1```
```------------2021-----------```
```19Dec  2.604M  1111  XX04 2```
_Source: DLD, Databot_
_BUA - built-up area, sq.ft._
_P/sf - price per sq.ft._
_B - bedrooms; O - office_
_M - million, K- thousand_
_S - studio, R - shop_
_*Max 20 latest transactions_
www.trydatabot.com</t>
  </si>
  <si>
    <t>1006888, *SALES*</t>
  </si>
  <si>
    <t>*SALES*
*TRANSACTIONS (RESALE)**
*ACT 1 ACT 2 T1+T2+P*
_Area: Downtown_
_Type: 1 bedroom apartment_
_Gross ROI=6.14%_
_Median annual rent=130K_
```Date   Price  BUA Type P/sf```
```------------2026-----------```
```09Jan   2.4M  665 XX06 3609```
```------------2025-----------```
```10Dec   2.1M  662 XXXX 3172```
```05Dec   2.2M  662 XXXX 3323```
```24Oct   2.3M  662 XXXX 3474```
```24Oct   2.2M  801 XX02 2747```
```16Oct 2.325M  717 XX05 3243```
```22Sep     2M  611 XXXX 3273```
```12Sep   2.2M  657 XX04 3349```
```10Sep  2.25M  610 XXXX 3689```
```25Aug   2.4M  801 XX02 2996```
```21Aug  2.25M  662 XXXX 3399```
```18Aug   2.2M  720 XXXX 3056```
```15Aug  2.21M  665 XX06 3323```
```06Aug   2.5M  665 XX06 3759```
```29May  2.15M  725 XX02 2966```
```28May     2M  717 XX05 2789```
```14May     2M  611 XXXX 3273```
```01May  2.15M  662 XXXX 3248```
```14Apr 1.702M  654 XXXX 2602```
```04Apr  1.81M  657 XX04 2755```
```28Mar  1.95M  610 XXXX 3197```
```24Mar   1.9M  607 XXXX 3130```
```24Mar   1.8M  657 XX04 2740```
```24Mar   1.8M  611 XXXX 2946```
```14Mar 2.375M  767 XX04 3096```
```27Feb 1.625M  720 XXXX 2257```
```27Feb 1.805M  801 XXXX 2253```
```26Feb  2.33M  717 XX05 3250```
```20Feb   2.3M  712 XX05 3230```
```15Jan 2.415M  720 XXXX 3354```
_Source: DLD, Databot_
_BUA - built-up area, sq.ft._
_P/sf - price per sq.ft._
_B - bedrooms; O - office_
_M - million, K- thousand_
_S - studio, R - shop_
_*Max 30 latest transactions_
www.trydatabot.com</t>
  </si>
  <si>
    <t>Act 1 Act 2 T1+T2+P</t>
  </si>
  <si>
    <t>1006889, *MARKET</t>
  </si>
  <si>
    <t>*MARKET*
*SNAPSHOT*
*ACT 1 ACT 2 T1+T2+P*
_Area: Downtown_
_Type: 1 bedroom apartment_
*Price dynamics, Dirham/sq.ft.*
_(M - median value)_
```3759|        *             ```
```    |             *       *```
```    |                  *   ```
```    |           *          ```
```3246|---------------------M```
```    |    **   *    ***  *  ```
```    |**                  * ```
```    |          *           ```
```    |       *    *         ```
```    |  *   *          *    ```
```2602|   *                  ```
```____|______________________```
```    |Mar2025        Jan2026```
_Source: see table below_
*Latest sales transactions*
```Date   Price  BUA Type P/sf```
```------------2026-----------```
```09Jan   2.4M  665 XX06 3609```
```------------2025-----------```
```10Dec   2.1M  662 XXXX 3172```
```05Dec   2.2M  662 XXXX 3323```
```24Oct   2.3M  662 XXXX 3474```
```24Oct   2.2M  801 XX02 2747```
```16Oct 2.325M  717 XX05 3243```
```22Sep     2M  611 XXXX 3273```
```12Sep   2.2M  657 XX04 3349```
```10Sep  2.25M  610 XXXX 3689```
```25Aug   2.4M  801 XX02 2996```
```21Aug  2.25M  662 XXXX 3399```
```18Aug   2.2M  720 XXXX 3056```
```15Aug  2.21M  665 XX06 3323```
```06Aug   2.5M  665 XX06 3759```
```29May  2.15M  725 XX02 2966```
```28May     2M  717 XX05 2789```
```14May     2M  611 XXXX 3273```
```01May  2.15M  662 XXXX 3248```
```14Apr 1.702M  654 XXXX 2602```
```04Apr  1.81M  657 XX04 2755```
```28Mar  1.95M  610 XXXX 3197```
```24Mar   1.9M  607 XXXX 3130```
```24Mar   1.8M  657 XX04 2740```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</si>
  <si>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1006890, *NEW RE</t>
  </si>
  <si>
    <t>1006891, *RESELL</t>
  </si>
  <si>
    <t>*RESELL*
*VS PRIMARY*
*ACT 1 ACT 2 T1+T2+P*
_Area: Downtown_
_Type: 1 bedroom apartment_
*Price dynamics, Dirham/sq.ft.*
_(x - primary; * - resell)_
```3689|             *       *```
```    |                  *   ```
```    |           *  *    *  ```
```    |               **   * ```
```3025|            *         ```
```    |                      ```
```    |                 *    ```
```    |x  xxx                ```
```    | xx       x           ```
```2026|      xxxx            ```
```____|______________________```
```    |Jun2022        Jan2026```
_Source: see a table below_
*Latest resell transactions*
```Date   Price  BUA Type P/sf```
```------------2026-----------```
```09Jan   2.4M  665 XX06 3609```
```------------2025-----------```
```10Dec   2.1M  662 XXXX 3172```
```05Dec   2.2M  662 XXXX 3323```
```24Oct   2.3M  662 XXXX 3474```
```24Oct   2.2M  801 XX02 2747```
```16Oct 2.325M  717 XX05 3243```
```22Sep     2M  611 XXXX 3273```
```12Sep   2.2M  657 XX04 3349```
```10Sep  2.25M  610 XXXX 3689```
```25Aug   2.4M  801 XX02 2996```
```21Aug  2.25M  662 XXXX 3399```
```18Aug   2.2M  720 XXXX 3056```
```15Aug  2.21M  665 XX06 3323```
```06Aug   2.5M  665 XX06 3759```
```29May  2.15M  725 XX02 2966```
```28May     2M  717 XX05 2789```
```14May     2M  611 XXXX 3273```
*Latest primary transactions*
```------------2023-----------```
```01Aug 1.488M  662 XXXX 2248```
```06Jun 1.509M  720 XXXX 2096```
```30May 1.486M  720 XXXX 2064```
```22May 1.498M  720 XXXX 2080```
```05Jan 1.459M  720 XX07 2026```
```02Jan 1.725M  662 XX05 2606```
```------------2022-----------```
```12Oct 1.712M  662 XX05 2586```
```11Oct 1.668M  662 XX06 2519```
```20Sep 1.539M  665 XX06 2314```
```10Aug 1.914M  802 XX02 2386```
```28Jun 1.634M  662 XX06 2468```
```15May  1.75M  720 XX06 2430```
```10May 1.716M  662 XX05 2592```
```06Apr 1.794M  767 XX04 2339```
_Source: DLD, Databot_
_BUA - built-up area, sq.ft._
_P/sf - price per sq.ft._
_B - bedrooms; O - office_
_M - million, K- thousand_
_S - studio, R - shop_
www.trydatabot.com</t>
  </si>
  <si>
    <t>1006892, *SALES*</t>
  </si>
  <si>
    <t>*SALES*
*TRANSACTIONS (RESALE)**
*ACT 1 ACT 2 T1+T2+P*
_Area: Downtown_
_Type: 2 bedroom apartment_
_Gross ROI=5.75%_
_Median annual rent=197.2K_
```Date   Price  BUA Type P/sf```
```------------2026-----------```
```12Jan   3.3M 1187 XX03 2780```
```12Jan  3.35M 1110 XX07 3018```
```------------2025-----------```
```27Nov   3.3M 1174 XX02 2811```
```20Nov   2.8M 1045 XX07 2679```
```14Oct  3.32M 1174 XX02 2828```
```13Oct  3.38M 1109 XX07 3048```
```08Sep     3M 1110 XX08 2703```
```03Sep  3.45M 1109 XX07 3111```
```20Aug  3.35M 1111 XX04 3015```
```20Aug   3.5M 1175 XX02 2979```
```19Aug 3.245M 1110 XX07 2923```
```18Jul  3.55M 1110 XX07 3198```
```17Jul   3.3M 1214 XXXX 2718```
```23Jun  3.65M 1109 XX07 3291```
```04Jun  3.55M 1189 XX03 2986```
```15May   4.7M 1424 XX11 3301```
```12May  3.55M 1174 XX02 3024```
```18Apr     5M 1306 XXXX 3828```
```18Apr  3.15M 1111 XX04 2835```
```14Apr  2.69M 1073 XXXX 2507```
```09Apr 3.366M 1139 XX10 2955```
```09Apr     4M 1325 XX01 3019```
```28Mar  3.15M 1110 XXXX 2838```
```24Mar   3.4M 1175 XXXX 2894```
```24Mar   3.4M 1174 XXXX 2896```
```24Mar   3.4M 1368 XX10 2485```
```24Mar   3.4M 1308 XXXX 2599```
```24Mar   3.4M 1105 XXXX 3077```
```18Feb   3.4M 1174 XXXX 2896```
```03Feb 3.525M 1214 XXXX 2904```
_Source: DLD, Databot_
_BUA - built-up area, sq.ft._
_P/sf - price per sq.ft._
_B - bedrooms; O - office_
_M - million, K- thousand_
_S - studio, R - shop_
_*Max 30 latest transactions_
www.trydatabot.com</t>
  </si>
  <si>
    <t>1006893, *MARKET</t>
  </si>
  <si>
    <t>*MARKET*
*SNAPSHOT*
*ACT 1 ACT 2 T1+T2+P*
_Area: Downtown_
_Type: 2 bedroom apartment_
*Price dynamics, Dirham/sq.ft.*
_(M - median value)_
```3828|    *                 ```
```    |                      ```
```    |                      ```
```    |                      ```
```    |      * *             ```
```    |          *   *       ```
```2983|---------------------M```
```    |*    * *    **  *   * ```
```    | *         *          ```
```    |   *     *     * *** *```
```2507|  *                   ```
```____|______________________```
```    |Apr2025        Jan2026```
_Source: see table below_
*Latest sales transactions*
```Date   Price  BUA Type P/sf```
```------------2026-----------```
```12Jan   3.3M 1187 XX03 2780```
```12Jan  3.35M 1110 XX07 3018```
```------------2025-----------```
```27Nov   3.3M 1174 XX02 2811```
```20Nov   2.8M 1045 XX07 2679```
```14Oct  3.32M 1174 XX02 2828```
```13Oct  3.38M 1109 XX07 3048```
```08Sep     3M 1110 XX08 2703```
```03Sep  3.45M 1109 XX07 3111```
```20Aug  3.35M 1111 XX04 3015```
```20Aug   3.5M 1175 XX02 2979```
```19Aug 3.245M 1110 XX07 2923```
```18Jul  3.55M 1110 XX07 3198```
```17Jul   3.3M 1214 XXXX 2718```
```23Jun  3.65M 1109 XX07 3291```
```04Jun  3.55M 1189 XX03 2986```
```15May   4.7M 1424 XX11 3301```
```12May  3.55M 1174 XX02 3024```
```18Apr     5M 1306 XXXX 3828```
```18Apr  3.15M 1111 XX04 2835```
```14Apr  2.69M 1073 XXXX 2507```
```09Apr 3.366M 1139 XX10 2955```
```09Apr     4M 1325 XX01 3019```
```28Mar  3.15M 1110 XXXX 2838```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</si>
  <si>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1006894, *NEW RE</t>
  </si>
  <si>
    <t>1006895, *RESELL</t>
  </si>
  <si>
    <t>*RESELL*
*VS PRIMARY*
*ACT 1 ACT 2 T1+T2+P*
_Area: Downtown_
_Type: 2 bedroom apartment_
*Price dynamics, Dirham/sq.ft.*
_(x - primary; * - resell)_
```3763|         xx           ```
```    |                      ```
```    |x             *       ```
```    |    x      ***  **  * ```
```2683|               *  ** *```
```    |  x   xx              ```
```    | x x    x             ```
```    |                      ```
```    |                      ```
```1060|     x                ```
```____|______________________```
```    |Mar2023        Jan2026```
_Source: see a table below_
*Latest resell transactions*
```Date   Price  BUA Type P/sf```
```------------2026-----------```
```12Jan   3.3M 1187 XX03 2780```
```12Jan  3.35M 1110 XX07 3018```
```------------2025-----------```
```27Nov   3.3M 1174 XX02 2811```
```20Nov   2.8M 1045 XX07 2679```
```14Oct  3.32M 1174 XX02 2828```
```13Oct  3.38M 1109 XX07 3048```
```08Sep     3M 1110 XX08 2703```
```03Sep  3.45M 1109 XX07 3111```
```20Aug  3.35M 1111 XX04 3015```
```20Aug   3.5M 1175 XX02 2979```
```19Aug 3.245M 1110 XX07 2923```
```18Jul  3.55M 1110 XX07 3198```
```17Jul   3.3M 1214 XXXX 2718```
```23Jun  3.65M 1109 XX07 3291```
```04Jun  3.55M 1189 XX03 2986```
```15May   4.7M 1424 XX11 3301```
```12May  3.55M 1174 XX02 3024```
*Latest primary transactions*
```------------2024-----------```
```29May 4.942M 1325 XX01 3730```
```28May 5.366M 1426 XX11 3763```
```29Mar 2.514M 1174 XXXX 2141```
```09Jan 2.733M 1111 XX04 2460```
```------------2023-----------```
```28Dec 2.829M 1214 XXXX 2330```
```17Aug 1.244M 1174 XXXX 1060```
```27Apr 4.048M 1325 XX01 3055```
```24Apr 2.646M 1169 XXXX 2263```
```13Apr 2.697M 1073 XXXX 2514```
```13Apr 2.523M 1187 XXXX 2126```
```07Mar 3.598M 1082 XX09 3325```
```22Feb 2.874M 1001 XX04 2871```
```09Feb 2.363M 1111 XX04 2127```
```27Jan 3.898M 1592 XX11 2448```
_Source: DLD, Databot_
_BUA - built-up area, sq.ft._
_P/sf - price per sq.ft._
_B - bedrooms; O - office_
_M - million, K- thousand_
_S - studio, R - shop_
www.trydatabot.com</t>
  </si>
  <si>
    <t>1006896, *SALES*</t>
  </si>
  <si>
    <t>*SALES*
*TRANSACTIONS (RESALE)**
*ACT 1 ACT 2 T1+T2+P*
_Area: Downtown_
_Type: 3 bedroom apartment_
_Gross ROI=6.29%_
_Median annual rent=330K_
```Date   Price  BUA Type P/sf```
```------------2025-----------```
```08Dec  5.61M 1753 XX09 3200```
```03Nov   8.5M 2435 XX03 3491```
```23Oct 2.381M  839 XXXX 2837```
```15Oct   5.5M 1728 XX09 3183```
```17Sep   5.8M 1728 XX09 3356```
```12Sep  4.65M 1509 XX08 3082```
```02Sep   5.4M 1510 XX08 3576```
```27Aug  6.45M 1765 XX01 3654```
```25Jul 1.465M  599 XXXX 2446```
```25Jul 1.374M  505 XXXX 2721```
```21Jul  4.85M 1609 XX09 3014```
```20May  5.45M 1764 XX01 3090```
```16May   5.2M 1678 XX04 3099```
```12May   5.9M 1509 XXXX 3910```
```06May   5.1M 1509 XX08 3380```
```06May     6M 2435 XXXX 2464```
```05May   5.4M 1728 XXXX 3125```
```27Mar   6.2M 1826 XXXX 3395```
```10Mar     5M 1640 XXXX 3049```
```30Jan  4.95M 1509 XXXX 3280```
```23Jan   4.6M 1851 XXXX 2485```
```22Jan   5.3M 1808 XXXX 2931```
```21Jan   5.9M 1765 XXXX 3343```
```13Jan   5.5M 1640 XXXX 3354```
```07Jan  5.75M 1509 XXXX 3810```
```------------2024-----------```
```30Dec   6.6M 2209 XXXX 2988```
```13Dec   5.6M 1766 XX09 3171```
```04Dec   5.8M 1645 XXXX 3526```
```28Nov  5.25M 1684 XX04 3118```
```28Nov   4.5M 1509 XXXX 2982```
_Source: DLD, Databot_
_BUA - built-up area, sq.ft._
_P/sf - price per sq.ft._
_B - bedrooms; O - office_
_M - million, K- thousand_
_S - studio, R - shop_
_*Max 30 latest transactions_
www.trydatabot.com</t>
  </si>
  <si>
    <t>1006897, *MARKET</t>
  </si>
  <si>
    <t>*MARKET*
*SNAPSHOT*
*ACT 1 ACT 2 T1+T2+P*
_Area: Downtown_
_Type: 3 bedroom apartment_
*Price dynamics, Dirham/sq.ft.*
_(M - median value)_
```3910|        *             ```
```    |                      ```
```    |              **      ```
```    |                    * ```
```    |  * *  *         *    ```
```3112|---------------------M```
```    |     *            *  *```
```    |   *     ***    *     ```
```    |*                  *  ```
```    |            *         ```
```2446| *    *      *        ```
```____|______________________```
```    |Jan2025        Dec2025```
_Source: see table below_
*Latest sales transactions*
```Date   Price  BUA Type P/sf```
```------------2025-----------```
```08Dec  5.61M 1753 XX09 3200```
```03Nov   8.5M 2435 XX03 3491```
```23Oct 2.381M  839 XXXX 2837```
```15Oct   5.5M 1728 XX09 3183```
```17Sep   5.8M 1728 XX09 3356```
```12Sep  4.65M 1509 XX08 3082```
```02Sep   5.4M 1510 XX08 3576```
```27Aug  6.45M 1765 XX01 3654```
```25Jul 1.465M  599 XXXX 2446```
```25Jul 1.374M  505 XXXX 2721```
```21Jul  4.85M 1609 XX09 3014```
```20May  5.45M 1764 XX01 3090```
```16May   5.2M 1678 XX04 3099```
```12May   5.9M 1509 XXXX 3910```
```06May   5.1M 1509 XX08 3380```
```06May     6M 2435 XXXX 2464```
```05May   5.4M 1728 XXXX 3125```
```27Mar   6.2M 1826 XXXX 3395```
```10Mar     5M 1640 XXXX 3049```
```30Jan  4.95M 1509 XXXX 3280```
```23Jan   4.6M 1851 XXXX 2485```
```22Jan   5.3M 1808 XXXX 2931```
```21Jan   5.9M 1765 XXXX 3343```
```13Jan   5.5M 1640 XXXX 3354```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</si>
  <si>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1006898, *NEW RE</t>
  </si>
  <si>
    <t>1006899, *RESELL</t>
  </si>
  <si>
    <t>*RESELL*
*VS PRIMARY*
*ACT 1 ACT 2 T1+T2+P*
_Area: Downtown_
_Type: 3 bedroom apartment_
*Price dynamics, Dirham/sq.ft.*
_(x - primary; * - resell)_
```3654|              *       ```
```    |               *    * ```
```    |                 *    ```
```    |                      ```
```3142|                * *  *```
```    |    x      *          ```
```    |        x          *  ```
```    | xxx  x     *         ```
```    |       x xx           ```
```2372|x    x       *        ```
```____|______________________```
```    |Oct2021        Dec2025```
_Source: see a table below_
*Latest resell transactions*
```Date   Price  BUA Type P/sf```
```------------2025-----------```
```08Dec  5.61M 1753 XX09 3200```
```03Nov   8.5M 2435 XX03 3491```
```23Oct 2.381M  839 XXXX 2837```
```15Oct   5.5M 1728 XX09 3183```
```17Sep   5.8M 1728 XX09 3356```
```12Sep  4.65M 1509 XX08 3082```
```02Sep   5.4M 1510 XX08 3576```
```27Aug  6.45M 1765 XX01 3654```
```25Jul 1.465M  599 XXXX 2446```
```25Jul 1.374M  505 XXXX 2721```
```21Jul  4.85M 1609 XX09 3014```
```20May  5.45M 1764 XX01 3090```
```16May   5.2M 1678 XX04 3099```
```12May   5.9M 1509 XXXX 3910```
```06May   5.1M 1509 XX08 3380```
```06May     6M 2435 XXXX 2464```
```05May   5.4M 1728 XXXX 3125```
```27Mar   6.2M 1826 XXXX 3395```
*Latest primary transactions*
```------------2023-----------```
```24Apr 4.579M 1826 XX09 2508```
```13Apr 4.623M 1809 XXXX 2555```
```14Mar  5.03M 1766 XX09 2848```
```------------2022-----------```
```11Nov 4.459M 1757 XX01 2538```
```14Jul 4.992M 1824 XX09 2737```
```23Mar 4.376M 1845 XX01 2372```
```28Jan 4.589M 1523 XX08 3013```
```------------2021-----------```
```30Dec 4.922M 1766 XX09 2787```
```14Dec 4.811M 1749 XX09 2751```
```12Dec  5.07M 1844 XX01 2749```
```31Oct 4.373M 1782 XX01 2454```
```18Jul 4.463M 1523 XX08 2930```
```01Jun 4.904M 1766 XX09 2777```
_Source: DLD, Databot_
_BUA - built-up area, sq.ft._
_P/sf - price per sq.ft._
_B - bedrooms; O - office_
_M - million, K- thousand_
_S - studio, R - shop_
www.trydatabot.com</t>
  </si>
  <si>
    <t>1006900, *SALES*</t>
  </si>
  <si>
    <t>*SALES*
*TRANSACTIONS (RESALE)**
*ACT 1 ACT 2 T1+T2+P*
_Area: Downtown_
_Type: 4 bedroom apartment_
```Date   Price  BUA Type P/sf```
```------------2024-----------```
```02Jul  16.3M 4496 XXXX 3625```
```------------2023-----------```
```07Aug    16M 4400 XXXX 3636```
_Source: DLD, Databot_
_BUA - built-up area, sq.ft._
_P/sf - price per sq.ft._
_B - bedrooms; O - office_
_M - million, K- thousand_
_S - studio, R - shop_
_*Max 30 latest transactions_
www.trydatabot.com</t>
  </si>
  <si>
    <t>1006901, *MARKET</t>
  </si>
  <si>
    <t>*MARKET*
*SNAPSHOT*
*ACT 1 ACT 2 T1+T2+P*
_Area: Downtown_
_Type: 4 bedroom apartment_
*Price dynamics, Dirham/sq.ft.*
_(M - median value)_
```3636|                    * ```
```    |                      ```
```    |                      ```
```    |                      ```
```    |                      ```
```3631|---------------------M```
```    |                      ```
```    |                      ```
```    |                      ```
```    |                      ```
```3625|                     *```
```____|______________________```
```    |Aug2023        Jul2024```
_Source: see table below_
*Latest sales transactions*
```Date   Price  BUA Type P/sf```
```------------2024-----------```
```02Jul  16.3M 4496 XXXX 3625```
```------------2023-----------```
```07Aug    16M 4400 XXXX 3636```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</si>
  <si>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1006902, *NEW RE</t>
  </si>
  <si>
    <t>1006903, *RESELL</t>
  </si>
  <si>
    <t>*RESELL*
*VS PRIMARY*
*ACT 1 ACT 2 T1+T2+P*
_Area: Downtown_
_Type: 4 bedroom apartment_
*Price dynamics, Dirham/sq.ft.*
_(x - primary; * - resell)_
```3636|                    **```
```    |                      ```
```    |                      ```
```    |                      ```
```3528|                      ```
```    |                      ```
```    |                      ```
```    |                      ```
```    |                      ```
```3364|          x           ```
```____|______________________```
```    |Dec1899        Aug2024```
_Source: see a table below_
*Latest resell transactions*
```Date   Price  BUA Type P/sf```
```------------2024-----------```
```02Jul  16.3M 4496 XXXX 3625```
```------------2023-----------```
```07Aug    16M 4400 XXXX 3636```
*Latest primary transactions*
```------------2024-----------```
```28Aug 10.56M 3140 XXXX 3364```</t>
  </si>
  <si>
    <t>1006918, *NEW RE</t>
  </si>
  <si>
    <t>1006932, *NEW RE</t>
  </si>
  <si>
    <t>1006933, *SALES*</t>
  </si>
  <si>
    <t>*SALES*
*TRANSACTIONS (RESALE)**
*ACT 1 ACT 2 T1+T2+P*
_Area: Downtown_
_All types/bedrooms_
```Date    Price   BUA  Type B```
```------------2026-----------```
```12Jan    3.3M  1187  XX03 2```
```12Jan   3.35M  1110  XX07 2```
```09Jan    2.4M   665  XX06 1```
```------------2025-----------```
```10Dec    2.1M   662  XXXX 1```
```08Dec   5.61M  1753  XX09 3```
```05Dec    2.2M   662  XXXX 1```
```27Nov    3.3M  1174  XX02 2```
```20Nov    2.8M  1045  XX07 2```
```03Nov    8.5M  2435  XX03 3```
```24Oct    2.3M   662  XXXX 1```
```24Oct    2.2M   801  XX02 1```
```23Oct  2.381M   839  XXXX 3```
```16Oct  2.325M   717  XX05 1```
```15Oct    5.5M  1728  XX09 3```
```14Oct   3.32M  1174  XX02 2```
```13Oct   3.38M  1109  XX07 2```
```22Sep      2M   611  XXXX 1```
```17Sep    5.8M  1728  XX09 3```
```12Sep   4.65M  1509  XX08 3```
```12Sep    2.2M   657  XX04 1```
```10Sep   2.25M   610  XXXX 1```
```08Sep      3M  1110  XX08 2```
```03Sep   3.45M  1109  XX07 2```
```02Sep    5.4M  1510  XX08 3```
```27Aug   6.45M  1765  XX01 3```
```25Aug    2.4M   801  XX02 1```
```21Aug   2.25M   662  XXXX 1```
```20Aug   3.35M  1111  XX04 2```
```20Aug    3.5M  1175  XX02 2```
```19Aug  3.245M  1110  XX07 2```
_Source: DLD, Databot_
_BUA - built-up area, sq.ft._
_P/sf - price per sq.ft._
_B - bedrooms; O - office_
_M - million, K- thousand_
_S - studio, R - shop_
_*Max 30 latest transactions_
www.trydatabot.com</t>
  </si>
  <si>
    <t>1006934, by code, *BUILDI</t>
  </si>
  <si>
    <t xml:space="preserve">*BUILDING*
*PROFILE*
*ACT 1 ACT 2 T1+T2+P*
_Area: Downtown_
_Tap&amp;hold to copy a reply_
```-------------------------```
```Report              Reply```
```-------------------------```
*1 B/R*
```Resell, ROI       1006888```
```Primary sales     1006936```
```Price chart       1006889```
```Rentals           1006890```
```Appreciation      1006891```
*2 B/R*
```Resell, ROI       1006892```
```Primary sales     1006937```
```Price chart       1006893```
```Rentals           1006894```
```Appreciation      1006895```
*3 B/R*
```Resell, ROI       1006896```
```Primary sales     1006938```
```Price chart       1006897```
```Rentals           1006898```
```Appreciation      1006899```
*4 B/R*
```Resell, ROI       1006900```
```Primary sales     1006939```
```Price chart       1006901```
```Rentals           1006902```
```Appreciation      1006903```
*All types/bedrooms*
```Resell, ROI       1006933```
```Primary sales     1006947```
```Rentals           1006932```
</t>
  </si>
  <si>
    <t>1006936, *SALES*</t>
  </si>
  <si>
    <t>*SALES*
*TRANSACTIONS (PRIMARY)**
*ACT 1 ACT 2 T1+T2+P*
_Area: Downtown_
_Type: 1 bedroom apartment_
```Date   Price  BUA Type P/sf```
```------------2023-----------```
```01Aug 1.488M  662 XXXX 2248```
```06Jun 1.509M  720 XXXX 2096```
```30May 1.486M  720 XXXX 2064```
```22May 1.498M  720 XXXX 2080```
```05Jan 1.459M  720 XX07 2026```
```02Jan 1.725M  662 XX05 2606```
```------------2022-----------```
```12Oct 1.712M  662 XX05 2586```
```11Oct 1.668M  662 XX06 2519```
```20Sep 1.539M  665 XX06 2314```
```10Aug 1.914M  802 XX02 2386```
```28Jun 1.634M  662 XX06 2468```
```15May  1.75M  720 XX06 2430```
```10May 1.716M  662 XX05 2592```
```06Apr 1.794M  767 XX04 2339```
```01Apr 1.773M  767 XX04 2311```
```23Mar 1.771M  717 XX05 2470```
```23Mar 1.777M  665 XX06 2672```
```14Jan 1.628M  662 XX06 2459```
```13Jan 1.725M  720 XX06 2396```
```03Jan 1.777M  717 XX05 2478```
_Source: DLD, Databot_
_BUA - built-up area, sq.ft._
_P/sf - price per sq.ft._
_B - bedrooms; O - office_
_M - million, K- thousand_
_S - studio, R - shop_
_*Max 20 latest transactions_
www.trydatabot.com</t>
  </si>
  <si>
    <t>1006937, *SALES*</t>
  </si>
  <si>
    <t>*SALES*
*TRANSACTIONS (PRIMARY)**
*ACT 1 ACT 2 T1+T2+P*
_Area: Downtown_
_Type: 2 bedroom apartment_
```Date   Price  BUA Type P/sf```
```------------2024-----------```
```29May 4.942M 1325 XX01 3730```
```28May 5.366M 1426 XX11 3763```
```29Mar 2.514M 1174 XXXX 2141```
```09Jan 2.733M 1111 XX04 2460```
```------------2023-----------```
```28Dec 2.829M 1214 XXXX 2330```
```17Aug 1.244M 1174 XXXX 1060```
```27Apr 4.048M 1325 XX01 3055```
```24Apr 2.646M 1169 XXXX 2263```
```13Apr 2.697M 1073 XXXX 2514```
```13Apr 2.523M 1187 XXXX 2126```
```07Mar 3.598M 1082 XX09 3325```
```22Feb 2.874M 1001 XX04 2871```
```09Feb 2.363M 1111 XX04 2127```
```27Jan 3.898M 1592 XX11 2448```
```19Jan 2.332M 1111 XX04 2099```
```------------2022-----------```
```01Nov 3.096M 1125 XX09 2752```
```09Sep 2.585M 1239 XX03 2086```
```26May 2.452M 1160 XX02 2114```
```20Apr 2.956M 1239 XX03 2386```
```14Mar 2.702M 1111 XX04 2432```
_Source: DLD, Databot_
_BUA - built-up area, sq.ft._
_P/sf - price per sq.ft._
_B - bedrooms; O - office_
_M - million, K- thousand_
_S - studio, R - shop_
_*Max 20 latest transactions_
www.trydatabot.com</t>
  </si>
  <si>
    <t>1006938, *SALES*</t>
  </si>
  <si>
    <t>*SALES*
*TRANSACTIONS (PRIMARY)**
*ACT 1 ACT 2 T1+T2+P*
_Area: Downtown_
_Type: 3 bedroom apartment_
```Date   Price  BUA Type P/sf```
```------------2023-----------```
```24Apr 4.579M 1826 XX09 2508```
```13Apr 4.623M 1809 XXXX 2555```
```14Mar  5.03M 1766 XX09 2848```
```------------2022-----------```
```11Nov 4.459M 1757 XX01 2538```
```14Jul 4.992M 1824 XX09 2737```
```23Mar 4.376M 1845 XX01 2372```
```28Jan 4.589M 1523 XX08 3013```
```------------2021-----------```
```30Dec 4.922M 1766 XX09 2787```
```14Dec 4.811M 1749 XX09 2751```
```12Dec  5.07M 1844 XX01 2749```
```31Oct 4.373M 1782 XX01 2454```
```18Jul 4.463M 1523 XX08 2930```
```01Jun 4.904M 1766 XX09 2777```
```------------2020-----------```
```16Nov  4.26M 1826 XX09 2333```
```16Nov 4.268M 1768 XX09 2414```
```16Nov 4.276M 1768 XX09 2418```
```16Nov 4.284M 1768 XX09 2423```
```11Jul 4.321M 1523 XX08 2837```
```08Jul 4.582M 1721 XX09 2662```
```20Apr 4.524M 1844 XX01 2453```
_Source: DLD, Databot_
_BUA - built-up area, sq.ft._
_P/sf - price per sq.ft._
_B - bedrooms; O - office_
_M - million, K- thousand_
_S - studio, R - shop_
_*Max 20 latest transactions_
www.trydatabot.com</t>
  </si>
  <si>
    <t>1006939, *SALES*</t>
  </si>
  <si>
    <t>*SALES*
*TRANSACTIONS (PRIMARY)**
*ACT 1 ACT 2 T1+T2+P*
_Area: Downtown_
_Type: 4 bedroom apartment_
```Date   Price  BUA Type P/sf```
```------------2024-----------```
```28Aug 10.56M 3140 XXXX 3364```
_Source: DLD, Databot_
_BUA - built-up area, sq.ft._
_P/sf - price per sq.ft._
_B - bedrooms; O - office_
_M - million, K- thousand_
_S - studio, R - shop_
_*Max 20 latest transactions_
www.trydatabot.com</t>
  </si>
  <si>
    <t>1006947, *SALES*</t>
  </si>
  <si>
    <t>*SALES*
*TRANSACTIONS (PRIMARY)**
*ACT 1 ACT 2 T1+T2+P*
_Area: Downtown_
_All types/bedrooms_
```Date    Price   BUA  Type B```
```------------2024-----------```
```28Aug  10.56M  3140  XXXX 4```
```29May  4.942M  1325  XX01 2```
```28May  5.366M  1426  XX11 2```
```29Mar  2.514M  1174  XXXX 2```
```09Jan  2.733M  1111  XX04 2```
```------------2023-----------```
```28Dec  2.829M  1214  XXXX 2```
```17Aug  1.244M  1174  XXXX 2```
```01Aug  1.488M   662  XXXX 1```
```06Jun  1.509M   720  XXXX 1```
```30May  1.486M   720  XXXX 1```
```22May  1.498M   720  XXXX 1```
```27Apr  4.048M  1325  XX01 2```
```24Apr  4.579M  1826  XX09 3```
```24Apr  2.646M  1169  XXXX 2```
```13Apr  4.623M  1809  XXXX 3```
```13Apr  2.697M  1073  XXXX 2```
```13Apr  2.523M  1187  XXXX 2```
```14Mar   5.03M  1766  XX09 3```
```07Mar  3.598M  1082  XX09 2```
```22Feb  2.874M  1001  XX04 2```
_Source: DLD, Databot_
_BUA - built-up area, sq.ft._
_P/sf - price per sq.ft._
_B - bedrooms; O - office_
_M - million, K- thousand_
_S - studio, R - shop_
_*Max 20 latest transactions_
www.trydatabot.com</t>
  </si>
  <si>
    <t>1006964, *SALES*</t>
  </si>
  <si>
    <t>*SALES*
*TRANSACTIONS (RESALE)**
*ADDRESS GRAND DOWNTOWN*
_Area: Downtown_
_Type: 4 bedroom apartment_
```Date   Price  BUA Type P/sf```
```------------2025-----------```
```09Jul  19.5M 4803 XX01 4060```
_Source: DLD, Databot_
_BUA - built-up area, sq.ft._
_P/sf - price per sq.ft._
_B - bedrooms; O - office_
_M - million, K- thousand_
_S - studio, R - shop_
_*Max 30 latest transactions_
www.trydatabot.com</t>
  </si>
  <si>
    <t>Address Grand Downtown</t>
  </si>
  <si>
    <t>1006965, *MARKET</t>
  </si>
  <si>
    <t>*MARKET*
*SNAPSHOT*
*ADDRESS GRAND DOWNTOWN*
_Area: Downtown_
_Type: 4 bedroom apartment_
*Price dynamics, Dirham/sq.ft.*
_(M - median value)_
```4060|                     *```
```4060|----------------------```
```    |                     *```
```4060|---------------------M```
```    |                     *```
```4060|---------------------M```
```    |                     *```
```4060|---------------------M```
```    |                     *```
```4060|---------------------M```
```    |                     *```
```____|______________________```
```    |Jul2025        Jul2025```
_Source: see table below_
*Latest sales transactions*
```Date   Price  BUA Type P/sf```
```------------2025-----------```
```09Jul  19.5M 4803 XX01 4060```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</si>
  <si>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1006967, *RESELL</t>
  </si>
  <si>
    <t>*RESELL*
*VS PRIMARY*
*ADDRESS GRAND DOWNTOWN*
_Area: Downtown_
_Type: 4 bedroom apartment_
*Price dynamics, Dirham/sq.ft.*
_(x - primary; * - resell)_
```4213| x                    ```
```    |      x x             ```
```    |       x             *```
```    |x   xx   x            ```
```3957|                      ```
```    |                      ```
```    |   x                  ```
```    |                      ```
```    |                      ```
```3569|  x       x           ```
```____|______________________```
```    |Dec1899        Oct2025```
_Source: see a table below_
*Latest resell transactions*
```Date   Price  BUA Type P/sf```
```------------2025-----------```
```09Jul  19.5M 4803 XX01 4060```
*Latest primary transactions*
```------------2025-----------```
```06Oct 17.14M 4803 XX01 3569```
```26Sep 19.24M 4806 XX02 4004```
```04Aug 19.94M 4806 XX02 4150```
```04Aug 19.77M 4806 XX02 4113```
```01Aug 20.06M 4803 XX01 4177```
```01Aug 19.21M 4806 XX02 3997```
```31Jul 19.38M 4803 XX01 4034```
```17Jul 18.47M 4806 XX02 3842```
```16Jul 17.45M 4803 XX01 3632```
```15Jul 20.24M 4803 XX01 4213```
```04Jul 19.16M 4803 XX01 3990```
```02Jul 20.12M 4806 XX02 4186```
```13Jun 18.32M 4803 XX01 3814```
```04Jun 19.33M 4803 XX01 4024```
```04Jun 19.01M 4803 XX01 3957```
_Source: DLD, Databot_
_BUA - built-up area, sq.ft._
_P/sf - price per sq.ft._
_B - bedrooms; O - office_
_M - million, K- thousand_
_S - studio, R - shop_
www.trydatabot.com</t>
  </si>
  <si>
    <t>1006998, by code, *BUILDI</t>
  </si>
  <si>
    <t xml:space="preserve">*BUILDING*
*PROFILE*
*ADDRESS GRAND DOWNTOWN*
_Area: Downtown_
_Tap&amp;hold to copy a reply_
```-------------------------```
```Report              Reply```
```-------------------------```
*3 B/R*
```Primary sales     1007002```
*4 B/R*
```Resell, ROI       1006964```
```Primary sales     1007003```
```Price chart       1006965```
```Rentals               n/a```
```Appreciation      1006967```
*5 B/R*
```Primary sales     1007004```
*All types/bedrooms*
```Resell, ROI       1006997```
```Primary sales     1007011```
```Rentals               n/a```
</t>
  </si>
  <si>
    <t>1007002, *SALES*</t>
  </si>
  <si>
    <t>*SALES*
*TRANSACTIONS (PRIMARY)**
*ADDRESS GRAND DOWNTOWN*
_Area: Downtown_
_Type: 3 bedroom apartment_
```Date   Price  BUA Type P/sf```
```------------2025-----------```
```11Sep 12.37M 4398 XX02 2813```
```07Jul 11.12M 4106 XX01 2707```
```01Jul  12.1M 4398 XX02 2751```
```29May 10.89M 4106 XX02 2651```
```26May 12.07M 4398 XX02 2744```
```26May 11.65M 4398 XX02 2649```
```23May 11.11M 4106 XX02 2706```
```21May 12.16M 4398 XX02 2764```
```21May 25.73M 5626 XX02 4573```
```09May 10.92M 4106 XX02 2660```
```05May 10.91M 4106 XX02 2657```
```05May 10.87M 4106 XX02 2649```
```15Apr 24.68M 5626 XX02 4386```
```14Apr 22.54M 5626 XX02 4007```
```14Apr 22.94M 5626 XX02 4078```
```09Apr 11.84M 4398 XX02 2692```
_Source: DLD, Databot_
_BUA - built-up area, sq.ft._
_P/sf - price per sq.ft._
_B - bedrooms; O - office_
_M - million, K- thousand_
_S - studio, R - shop_
_*Max 20 latest transactions_
www.trydatabot.com</t>
  </si>
  <si>
    <t>1007003, *SALES*</t>
  </si>
  <si>
    <t>*SALES*
*TRANSACTIONS (PRIMARY)**
*ADDRESS GRAND DOWNTOWN*
_Area: Downtown_
_Type: 4 bedroom apartment_
```Date   Price  BUA Type P/sf```
```------------2025-----------```
```06Oct 17.14M 4803 XX01 3569```
```26Sep 19.24M 4806 XX02 4004```
```04Aug 19.94M 4806 XX02 4150```
```04Aug 19.77M 4806 XX02 4113```
```01Aug 20.06M 4803 XX01 4177```
```01Aug 19.21M 4806 XX02 3997```
```31Jul 19.38M 4803 XX01 4034```
```17Jul 18.47M 4806 XX02 3842```
```16Jul 17.45M 4803 XX01 3632```
```15Jul 20.24M 4803 XX01 4213```
```04Jul 19.16M 4803 XX01 3990```
```02Jul 20.12M 4806 XX02 4186```
```13Jun 18.32M 4803 XX01 3814```
```04Jun 19.33M 4803 XX01 4024```
```04Jun 19.01M 4803 XX01 3957```
```04Jun 19.39M 4806 XX02 4034```
```02Jun 19.06M 4806 XX02 3966```
```27May 17.98M 4803 XX02 3744```
```26May 18.49M 4803 XX02 3849```
```23May 20.24M 4806 XX02 4211```
_Source: DLD, Databot_
_BUA - built-up area, sq.ft._
_P/sf - price per sq.ft._
_B - bedrooms; O - office_
_M - million, K- thousand_
_S - studio, R - shop_
_*Max 20 latest transactions_
www.trydatabot.com</t>
  </si>
  <si>
    <t>1007004, *SALES*</t>
  </si>
  <si>
    <t>*SALES*
*TRANSACTIONS (PRIMARY)**
*ADDRESS GRAND DOWNTOWN*
_Area: Downtown_
_Type: 5 bedroom apartment_
```Date   Price  BUA Type P/sf```
```------------2025-----------```
```25Sep 60.69M  11K XXXX 5471```
```23Jul 39.51M 9608 XX01 4112```
```04Jun 37.94M 9608 XX01 3949```
```28May 39.95M 9608 XX02 4158```
```21May 40.38M 9608 XX02 4202```
```21May  40.8M 9608 XX02 4247```
```13May 52.18M  11K XX02 4704```
```12May 40.79M 9608 XX02 4246```
```15Apr 39.16M 9608 XX02 4076```
```15Apr 50.59M  11K XX02 4561```
```14Apr 39.08M 9608 XX02 4068```
```14Apr 40.37M 9608 XX02 4201```
```14Apr 51.62M  11K XX02 4653```
```09Apr 39.69M 9608 XX02 4131```
```09Apr  51.7M  11K XX02 4660```
```09Apr  39.3M 9608 XX02 4090```
_Source: DLD, Databot_
_BUA - built-up area, sq.ft._
_P/sf - price per sq.ft._
_B - bedrooms; O - office_
_M - million, K- thousand_
_S - studio, R - shop_
_*Max 20 latest transactions_
www.trydatabot.com</t>
  </si>
  <si>
    <t>1007011, *SALES*</t>
  </si>
  <si>
    <t>*SALES*
*TRANSACTIONS (PRIMARY)**
*ADDRESS GRAND DOWNTOWN*
_Area: Downtown_
_All types/bedrooms_
```Date    Price   BUA  Type B```
```------------2025-----------```
```06Oct  17.14M  4803  XX01 4```
```26Sep  19.24M  4806  XX02 4```
```25Sep  60.69M   11K  XXXX 5```
```11Sep  12.37M  4398  XX02 3```
```04Aug  19.94M  4806  XX02 4```
```04Aug  19.77M  4806  XX02 4```
```01Aug  20.06M  4803  XX01 4```
```01Aug  19.21M  4806  XX02 4```
```31Jul  19.38M  4803  XX01 4```
```23Jul  39.51M  9608  XX01 5```
```17Jul  18.47M  4806  XX02 4```
```16Jul  17.45M  4803  XX01 4```
```15Jul  20.24M  4803  XX01 4```
```07Jul  11.12M  4106  XX01 3```
```04Jul  19.16M  4803  XX01 4```
```02Jul  20.12M  4806  XX02 4```
```01Jul   12.1M  4398  XX02 3```
```13Jun  18.32M  4803  XX01 4```
```04Jun  37.94M  9608  XX01 5```
```04Jun  19.33M  4803  XX01 4```
_Source: DLD, Databot_
_BUA - built-up area, sq.ft._
_P/sf - price per sq.ft._
_B - bedrooms; O - office_
_M - million, K- thousand_
_S - studio, R - shop_
_*Max 20 latest transactions_
www.trydatabot.com</t>
  </si>
  <si>
    <t>1007016, *SALES*</t>
  </si>
  <si>
    <t>*SALES*
*TRANSACTIONS**
*AL BAHAR*
_Area: Downtown_
_Type: 1 bedroom apartment_
```Date   Price  BUA Type P/sf```
```------------2025-----------```
```10Apr     6M 1336 XXXX 4491```
```30Jan 2.675M 1116 XXXX 2397```
```------------2024-----------```
```05Jun  3.15M  979 XX06 3218```
```20Mar   4.6M 1140 XXXX 4035```
```14Mar  3.75M 1097 XX05 3418```
```------------2023-----------```
```07Aug   2.3M 1116 XX14 2061```
```05Jul   2.3M  979 XX06 2349```
```09Jun   2.5M  979 XX06 2554```
```16May   2.4M 1097 XX05 2188```
```------------2022-----------```
```05Sep  2.95M 1063 XX25 2775```
```------------2021-----------```
```10Nov   4.2M 1140 XX01 3684```
_Source: DLD, Databot_
_BUA - built-up area, sq.ft._
_P/sf - price per sq.ft._
_B - bedrooms; O - office_
_M - million, K- thousand_
_S - studio, R - shop_
_*Max 30 latest transactions_
www.trydatabot.com</t>
  </si>
  <si>
    <t>Al Bahar</t>
  </si>
  <si>
    <t>1007017, *MARKET</t>
  </si>
  <si>
    <t>*MARKET*
*SNAPSHOT*
*AL BAHAR*
_Area: Downtown_
_Type: 1 bedroom apartment_
*Price dynamics, Dirham/sq.ft.*
_(M - median value)_
```4491|                     *```
```    |                      ```
```    |                  *   ```
```    |           *          ```
```    |                 *    ```
```    |                   *  ```
```    |                      ```
```2775|---------------------M```
```    |            *         ```
```    |              **    * ```
```2061|             *  *     ```
```____|______________________```
```    |Nov2021        Apr2025```
_Source: see table below_
*Latest sales transactions*
```Date   Price  BUA Type P/sf```
```------------2025-----------```
```10Apr     6M 1336 XXXX 4491```
```30Jan 2.675M 1116 XXXX 2397```
```------------2024-----------```
```05Jun  3.15M  979 XX06 3218```
```20Mar   4.6M 1140 XXXX 4035```
```14Mar  3.75M 1097 XX05 3418```
```------------2023-----------```
```07Aug   2.3M 1116 XX14 2061```
```05Jul   2.3M  979 XX06 2349```
```09Jun   2.5M  979 XX06 2554```
```16May   2.4M 1097 XX05 2188```
```------------2022-----------```
```05Sep  2.95M 1063 XX25 2775```
```------------2021-----------```
```10Nov   4.2M 1140 XX01 3684```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</si>
  <si>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1007020, *SALES*</t>
  </si>
  <si>
    <t>*SALES*
*TRANSACTIONS**
*AL BAHAR*
_Area: Downtown_
_Type: 2 bedroom apartment_
```Date   Price  BUA Type P/sf```
```------------2025-----------```
```27Nov   4.5M 1465 XXXX 3072```
```03Jul   5.2M 1732 XXXX 3002```
```------------2024-----------```
```12Nov   5.7M 1465 XXXX 3891```
```11Jun     4M 1465 XXXX 2730```
```27Mar   4.2M 1934 XX10 2172```
```25Jan  5.25M 1608 XX20 3265```
```------------2023-----------```
```23Nov  4.38M 1465 XXXX 2990```
```04Oct   4.2M 1832 XX07 2293```
```04Oct   4.2M 1840 XX08 2283```
```01Feb   3.2M 1608 XX20 1990```
```------------2022-----------```
```04Nov   3.4M 1934 XX10 1758```
```------------2019-----------```
```10Jan  3.27M 1465 XX08 2232```
_Source: DLD, Databot_
_BUA - built-up area, sq.ft._
_P/sf - price per sq.ft._
_B - bedrooms; O - office_
_M - million, K- thousand_
_S - studio, R - shop_
_*Max 30 latest transactions_
www.trydatabot.com</t>
  </si>
  <si>
    <t>1007021, *MARKET</t>
  </si>
  <si>
    <t>*MARKET*
*SNAPSHOT*
*AL BAHAR*
_Area: Downtown_
_Type: 2 bedroom apartment_
*Price dynamics, Dirham/sq.ft.*
_(M - median value)_
```3891|                   *  ```
```    |                      ```
```    |                      ```
```    |                *     ```
```    |               *    **```
```    |                  *   ```
```2512|---------------------M```
```    |                      ```
```    |                      ```
```    |          * ***  *    ```
```1758|           *          ```
```____|______________________```
```    |Jan2019        Nov2025```
_Source: see table below_
*Latest sales transactions*
```Date   Price  BUA Type P/sf```
```------------2025-----------```
```27Nov   4.5M 1465 XXXX 3072```
```03Jul   5.2M 1732 XXXX 3002```
```------------2024-----------```
```12Nov   5.7M 1465 XXXX 3891```
```11Jun     4M 1465 XXXX 2730```
```27Mar   4.2M 1934 XX10 2172```
```25Jan  5.25M 1608 XX20 3265```
```------------2023-----------```
```23Nov  4.38M 1465 XXXX 2990```
```04Oct   4.2M 1832 XX07 2293```
```04Oct   4.2M 1840 XX08 2283```
```01Feb   3.2M 1608 XX20 1990```
```------------2022-----------```
```04Nov   3.4M 1934 XX10 1758```
```------------2019-----------```
```10Jan  3.27M 1465 XX08 2232```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</si>
  <si>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1007024, *SALES*</t>
  </si>
  <si>
    <t>*SALES*
*TRANSACTIONS**
*AL BAHAR*
_Area: Downtown_
_Type: 3 bedroom apartment_
```Date   Price  BUA Type P/sf```
```------------2024-----------```
```25Jul    18M 5414 XXXX 3325```
```04Jan 10.35M 2499 XX24 4142```
```------------2023-----------```
```28Sep   7.8M 2579 XXXX 3024```
```------------2021-----------```
```06Sep   9.8M 5414 XX03 1810```
_Source: DLD, Databot_
_BUA - built-up area, sq.ft._
_P/sf - price per sq.ft._
_B - bedrooms; O - office_
_M - million, K- thousand_
_S - studio, R - shop_
_*Max 30 latest transactions_
www.trydatabot.com</t>
  </si>
  <si>
    <t>1007025, *MARKET</t>
  </si>
  <si>
    <t>*MARKET*
*SNAPSHOT*
*AL BAHAR*
_Area: Downtown_
_Type: 3 bedroom apartment_
*Price dynamics, Dirham/sq.ft.*
_(M - median value)_
```4142|                    * ```
```    |                      ```
```    |                      ```
```    |                      ```
```3175|---------------------M```
```    |                     *```
```    |                   *  ```
```    |                      ```
```    |                      ```
```    |                      ```
```1810|                  *   ```
```____|______________________```
```    |Sep2021        Jul2024```
_Source: see table below_
*Latest sales transactions*
```Date   Price  BUA Type P/sf```
```------------2024-----------```
```25Jul    18M 5414 XXXX 3325```
```04Jan 10.35M 2499 XX24 4142```
```------------2023-----------```
```28Sep   7.8M 2579 XXXX 3024```
```------------2021-----------```
```06Sep   9.8M 5414 XX03 1810```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</si>
  <si>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1007061, *SALES*</t>
  </si>
  <si>
    <t>*SALES*
*TRANSACTIONS**
*AL BAHAR*
_Area: Downtown_
_All types/bedrooms_
```Date    Price   BUA  Type B```
```------------2025-----------```
```27Nov    4.5M  1465  XXXX 2```
```03Jul    5.2M  1732  XXXX 2```
```10Apr      6M  1336  XXXX 1```
```30Jan  2.675M  1116  XXXX 1```
```------------2024-----------```
```12Nov    5.7M  1465  XXXX 2```
```25Jul     18M  5414  XXXX 3```
```11Jun      4M  1465  XXXX 2```
```05Jun   3.15M   979  XX06 1```
```27Mar    4.2M  1934  XX10 2```
```20Mar    4.6M  1140  XXXX 1```
```14Mar   3.75M  1097  XX05 1```
```25Jan   5.25M  1608  XX20 2```
```04Jan  10.35M  2499  XX24 3```
```------------2023-----------```
```23Nov   4.38M  1465  XXXX 2```
```04Oct    4.2M  1832  XX07 2```
```04Oct    4.2M  1840  XX08 2```
```28Sep    7.8M  2579  XXXX 3```
```07Aug    2.3M  1116  XX14 1```
```05Jul    2.3M   979  XX06 1```
```09Jun    2.5M   979  XX06 1```
```16May    2.4M  1097  XX05 1```
```01Feb    3.2M  1608  XX20 2```
```------------2022-----------```
```04Nov    3.4M  1934  XX10 2```
```05Sep   2.95M  1063  XX25 1```
```------------2021-----------```
```10Nov    4.2M  1140  XX01 1```
```06Sep    9.8M  5414  XX03 3```
```------------2019-----------```
```10Jan   3.27M  1465  XX08 2```
_Source: DLD, Databot_
_BUA - built-up area, sq.ft._
_P/sf - price per sq.ft._
_B - bedrooms; O - office_
_M - million, K- thousand_
_S - studio, R - shop_
_*Max 30 latest transactions_
www.trydatabot.com</t>
  </si>
  <si>
    <t>1007062, by code - other areas, *BUILDI</t>
  </si>
  <si>
    <t xml:space="preserve">*BUILDING*
*PROFILE*
*AL BAHAR*
_Area: Downtown_
_Tap&amp;hold to copy a reply_
```-------------------------```
```Report              Reply```
```-------------------------```
*1 B/R*
```Sales, ROI        1007016```
```Price chart       1007017```
```Rentals               n/a```
*2 B/R*
```Sales, ROI        1007020```
```Price chart       1007021```
```Rentals               n/a```
*3 B/R*
```Sales, ROI        1007024```
```Price chart       1007025```
```Rentals               n/a```
*All types/bedrooms*
```Sales, ROI        1007061```
```Rentals               n/a```
</t>
  </si>
  <si>
    <t>1007076, *SALES*</t>
  </si>
  <si>
    <r>
      <rPr/>
      <t xml:space="preserve">*SALES*
*TRANSACTIONS**
*BURJ AL NUJOOM*
_Area: Downtown_
_Type: studio apartment_
_Gross ROI=7.33%_
_Median annual rent=64.5K_
```Date   Price  BUA Type P/sf```
```------------2026-----------```
```19Jan   850K  444 XXXX 1914```
```------------2025-----------```
```17Dec   850K  456 XX11 1864```
```28Oct   880K  452 XX10 1947```
```14Oct   875K  452 XX10 1936```
```06Oct   900K  452 XX09 1991```
```19Sep   900K  444 XXXX 2027```
```28Aug   930K  456 XX11 2039```
```15Jul   850K  440 XX01 1932```
```21May   890K  444 XXXX 2005```
```15May   880K  440 XX01 2000```
```22Apr   935K  452 XX09 2069```
```02Apr   850K  444 XXXX 1914```
```28Mar   860K  456 XX11 1886```
```17Mar   830K  452 XX10 1836```
```20Feb   950K  440 XX01 2159```
```03Feb   850K  444 XXXX 1914```
```29Jan   825K  453 XX08 1821```
```20Jan   860K  444 XXXX 1937```
```14Jan   880K  444 XXXX 1982```
```08Jan   700K  456 XX11 1535```
```------------2024-----------```
```30Dec   700K  456 XX11 1535```
```19Dec   825K  452 XX09 1825```
```11Dec   830K  452 XX10 1836```
```28Nov   770K  444 XXXX 1734```
```21Nov   820K  456 XX11 1798```
```31Oct   800K  456 XX11 1754```
```31Oct   815K  444 XXXX 1836```
```09Oct   900K  456 XX11 1974```
```13Sep   890K  444 XXXX 2005```
```15Aug   840K  456 XX11 1842```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</si>
  <si>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Burj Al Nujoom</t>
  </si>
  <si>
    <t>1007077, *MARKET</t>
  </si>
  <si>
    <t>*MARKET*
*SNAPSHOT*
*BURJ AL NUJOOM*
_Area: Downtown_
_Type: studio apartment_
*Price dynamics, Dirham/sq.ft.*
_(M - median value)_
```2159|       *              ```
```    |           *          ```
```    |             * **     ```
```    |   *        *    * *  ```
```1934|---------------------M```
```    |    * *  **   *   *  *```
```    |*    *  *           * ```
```    |                      ```
```    |                      ```
```    |                      ```
```1535| **                   ```
```____|______________________```
```    |Dec2024        Jan2026```
_Source: see table below_
*Latest sales transactions*
```Date   Price  BUA Type P/sf```
```------------2026-----------```
```19Jan   850K  444 XXXX 1914```
```------------2025-----------```
```17Dec   850K  456 XX11 1864```
```28Oct   880K  452 XX10 1947```
```14Oct   875K  452 XX10 1936```
```06Oct   900K  452 XX09 1991```
```19Sep   900K  444 XXXX 2027```
```28Aug   930K  456 XX11 2039```
```15Jul   850K  440 XX01 1932```
```21May   890K  444 XXXX 2005```
```15May   880K  440 XX01 2000```
```22Apr   935K  452 XX09 2069```
```02Apr   850K  444 XXXX 1914```
```28Mar   860K  456 XX11 1886```
```17Mar   830K  452 XX10 1836```
```20Feb   950K  440 XX01 2159```
```03Feb   850K  444 XXXX 1914```
```29Jan   825K  453 XX08 1821```
```20Jan   860K  444 XXXX 1937```
```14Jan   880K  444 XXXX 1982```
```08Jan   700K  456 XX11 1535```
```------------2024-----------```
```30Dec   700K  456 XX11 1535```
```19Dec   825K  452 XX09 1825```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</si>
  <si>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1007078, *NEW RE</t>
  </si>
  <si>
    <t>*NEW RENT*
*CONTRACTS**
_(renewals are not included)_
*BURJ AL NUJOOM*
_Area: Downtown_
_Type: studio apartment_
```Date  Price   BUA  Type D/s```
```------------2026-----------```
```16Jan 73.5K   441  XXXX 167```
```------------2025-----------```
```20Nov   82K   441  XXXX 186```
```20Nov   64K   452  XXXX 142```
```17Nov   63K   441  XXXX 143```
```17Nov   60K   441  XXXX 136```
```10Nov   68K   452  XXXX 150```
```10Nov   75K   441  XXXX 170```
```07Nov   65K   452  XXXX 144```
```02Nov 68.5K   452  XXXX 152```
```01Nov   64K   452  XXXX 142```
```01Nov   53K   441  XXXX 120```
```21Oct   70K   441  XXXX 159```
```21Oct   66K   452  XXXX 146```
```20Oct   60K   452  XXXX 133```
```15Oct   60K   452  XXXX 133```
```14Oct 63.5K   452  XXXX 140```
```10Oct   60K   452  XXXX 133```
```07Oct   58K   441  XXXX 132```
```02Oct   68K   452  XXXX 150```
```01Oct   70K   441  XXXX 159```
_Source: DLD, Databot_
_BUA - built-up area, sq.ft._
_P/sf - price per sq.ft._
_B - bedrooms; O - office_
_M - million, K- thousand_
_S - studio, R - shop_
_*20 latest contracts_
www.trydatabot.com</t>
  </si>
  <si>
    <t>1007080, *SALES*</t>
  </si>
  <si>
    <t>*SALES*
*TRANSACTIONS (RESALE)**
*BURJ AL NUJOOM*
_Area: Downtown_
_Type: 1 bedroom apartment_
_Gross ROI=7.62%_
_Median annual rent=90K_
```Date   Price  BUA Type P/sf```
```------------2025-----------```
```03Dec  1.35M  860 XX04 1570```
```17Sep  1.35M  819 XX05 1648```
```25Jul  1.25M  819 XX05 1526```
```04Jul  1.17M  860 XX04 1360```
```01Jul   1.1M  819 XX05 1343```
```30Jun   1.1M  811 XX07 1356```
```31Jan  1.07M  819 XX05 1306```
```09Jan  1.25M  811 XX07 1541```
```------------2024-----------```
```18Dec   1.4M  860 XX04 1628```
```04Dec 1.125M  819 XX05 1374```
```25Nov 1.111M  811 XX07 1370```
```13Sep  1.07M  811 XX07 1319```
```07Aug  1.15M  860 XX04 1337```
```07Aug  1.15M  811 XX07 1418```
```17Jul  1.22M  819 XX05 1490```
```06Jun   1.1M  819 XX05 1343```
```03Jun  1.01M  819 XX05 1233```
```25Apr   1.1M  860 XX04 1279```
```13Mar   1.2M  811 XX07 1480```
```05Mar  1.05M  819 XX05 1282```
```23Feb  1.13M  819 XX05 1380```
```20Feb   1.2M  811 XX07 1480```
```03Jan   970K  819 XX05 1184```
```------------2023-----------```
```21Jun   920K  860 XX04 1070```
```18May   970K  860 XX04 1128```
```16May   900K  811 XX07 1110```
```13Apr   935K  860 XX04 1087```
```------------2022-----------```
```13Dec   950K  819 XX05 1160```
```08Dec   810K  860 XX04  942```
```18Nov   835K  819 XX05 1020```
_Source: DLD, Databot_
_BUA - built-up area, sq.ft._
_P/sf - price per sq.ft._
_B - bedrooms; O - office_
_M - million, K- thousand_
_S - studio, R - shop_
_*Max 30 latest transactions_
www.trydatabot.com</t>
  </si>
  <si>
    <t>1007081, *MARKET</t>
  </si>
  <si>
    <t>*MARKET*
*SNAPSHOT*
*BURJ AL NUJOOM*
_Area: Downtown_
_Type: 1 bedroom apartment_
*Price dynamics, Dirham/sq.ft.*
_(M - median value)_
```1648|             *      * ```
```    |                      ```
```    |                     *```
```    |              *    *  ```
```    |*  *   *              ```
```    |        *             ```
```    | *                    ```
```1372|---------------------M```
```    |      *  * **   ***   ```
```    |  * *     *    *      ```
```1233|     *                ```
```____|______________________```
```    |Feb2024        Dec2025```
_Source: see table below_
*Latest sales transactions*
```Date   Price  BUA Type P/sf```
```------------2025-----------```
```03Dec  1.35M  860 XX04 1570```
```17Sep  1.35M  819 XX05 1648```
```25Jul  1.25M  819 XX05 1526```
```04Jul  1.17M  860 XX04 1360```
```01Jul   1.1M  819 XX05 1343```
```30Jun   1.1M  811 XX07 1356```
```31Jan  1.07M  819 XX05 1306```
```09Jan  1.25M  811 XX07 1541```
```------------2024-----------```
```18Dec   1.4M  860 XX04 1628```
```04Dec 1.125M  819 XX05 1374```
```25Nov 1.111M  811 XX07 1370```
```13Sep  1.07M  811 XX07 1319```
```07Aug  1.15M  860 XX04 1337```
```07Aug  1.15M  811 XX07 1418```
```17Jul  1.22M  819 XX05 1490```
```06Jun   1.1M  819 XX05 1343```
```03Jun  1.01M  819 XX05 1233```
```25Apr   1.1M  860 XX04 1279```
```13Mar   1.2M  811 XX07 1480```
```05Mar  1.05M  819 XX05 1282```
```23Feb  1.13M  819 XX05 1380```
```20Feb   1.2M  811 XX07 1480```
```03Jan   970K  819 XX05 1184```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</si>
  <si>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1007082, *NEW RE</t>
  </si>
  <si>
    <t>*NEW RENT*
*CONTRACTS**
_(renewals are not included)_
*BURJ AL NUJOOM*
_Area: Downtown_
_Type: 1 bedroom apartment_
```Date  Price   BUA  Type D/s```
```------------2026-----------```
```20Jan   90K   861  XXXX 105```
```16Jan  110K   807  XXXX 136```
```------------2025-----------```
```22Oct   94K   818  XXXX 115```
```05Oct  100K   818  XXXX 122```
```01Oct   88K   861  XXXX 102```
```24Sep  100K   818  XXXX 122```
```20Sep   85K   807  XXXX 105```
```05Sep   90K   861  XXXX 105```
```25Aug   88K   861  XXXX 102```
```20Aug   90K   861  XXXX 105```
```10Aug   92K   818  XXXX 112```
```10Aug   45K   818  XXXX  55```
```01Aug   90K   807  XXXX 112```
```25Jul   90K   807  XXXX 112```
```20Jul   96K   861  XXXX 111```
```10Jul  100K   818  XXXX 122```
```26Jun   90K   818  XXXX 110```
```10Jun   87K   807  XXXX 108```
```19May  100K   861  XXXX 116```
```05Apr  110K   807  XXXX 136```
_Source: DLD, Databot_
_BUA - built-up area, sq.ft._
_P/sf - price per sq.ft._
_B - bedrooms; O - office_
_M - million, K- thousand_
_S - studio, R - shop_
_*20 latest contracts_
www.trydatabot.com</t>
  </si>
  <si>
    <t>1007083, *RESELL</t>
  </si>
  <si>
    <t>*RESELL*
*VS PRIMARY*
*BURJ AL NUJOOM*
_Area: Downtown_
_Type: 1 bedroom apartment_
*Price dynamics, Dirham/sq.ft.*
_(x - primary; * - resell)_
```1648|                    * ```
```    |             *        ```
```    |                     *```
```    |              *       ```
```1512|                   *  ```
```    |                      ```
```    |        x             ```
```    |         xx           ```
```    |           **   ***   ```
```1306|               *      ```
```____|______________________```
```    |Dec1899        Dec2025```
_Source: see a table below_
*Latest resell transactions*
```Date   Price  BUA Type P/sf```
```------------2025-----------```
```03Dec  1.35M  860 XX04 1570```
```17Sep  1.35M  819 XX05 1648```
```25Jul  1.25M  819 XX05 1526```
```04Jul  1.17M  860 XX04 1360```
```01Jul   1.1M  819 XX05 1343```
```30Jun   1.1M  811 XX07 1356```
```31Jan  1.07M  819 XX05 1306```
```09Jan  1.25M  811 XX07 1541```
```------------2024-----------```
```18Dec   1.4M  860 XX04 1628```
```04Dec 1.125M  819 XX05 1374```
```25Nov 1.111M  811 XX07 1370```
```13Sep  1.07M  811 XX07 1319```
```07Aug  1.15M  860 XX04 1337```
```07Aug  1.15M  811 XX07 1418```
```17Jul  1.22M  819 XX05 1490```
```06Jun   1.1M  819 XX05 1343```
```03Jun  1.01M  819 XX05 1233```
*Latest primary transactions*
```------------2025-----------```
```17Oct 1.165M  819 XX05 1422```
```22Aug  1.15M  811 XX07 1418```
```26Jun  1.17M  819 XX05 1429```
_Source: DLD, Databot_
_BUA - built-up area, sq.ft._
_P/sf - price per sq.ft._
_B - bedrooms; O - office_
_M - million, K- thousand_
_S - studio, R - shop_
www.trydatabot.com</t>
  </si>
  <si>
    <t>1007084, *SALES*</t>
  </si>
  <si>
    <t>*SALES*
*TRANSACTIONS**
*BURJ AL NUJOOM*
_Area: Downtown_
_Type: 2 bedroom apartment_
_Gross ROI=8%_
_Median annual rent=147.5K_
```Date   Price  BUA Type P/sf```
```------------2026-----------```
```13Jan 1.875M 1378 XX12 1361```
```12Jan  1.85M 1378 XX12 1343```
```------------2025-----------```
```25Sep  1.95M 1508 XX06 1293```
```23Jun 1.843M 1378 XX12 1338```
```26May  1.92M 1373 XX14 1398```
```05May  1.89M 1508 XX06 1253```
```13Mar 1.825M 1390 XX13 1313```
```12Mar  1.85M 1373 XX14 1347```
```10Mar  1.85M 1390 XX13 1331```
```21Feb  1.85M 1373 XX14 1347```
```20Feb  1.85M 1390 XX13 1331```
```------------2024-----------```
```26Dec 1.485M 1508 XX06  985```
```25Nov   1.8M 1390 XX13 1295```
```08Nov   2.5M 1508 XX06 1658```
```27Sep  1.73M 1378 XX12 1255```
```26Aug  2.02M 1378 XX12 1466```
```22Aug  1.75M 1390 XX13 1259```
```08Aug     2M 1373 XX14 1457```
```05Aug  1.59M 1390 XX13 1144```
```05Jul   2.2M 1508 XX06 1459```
```24Jun 1.875M 1508 XX06 1243```
```16May 1.643M 1508 XX06 1089```
```11Mar  1.45M 1378 XX12 1052```
```23Feb  1.73M 1378 XX12 1255```
```19Feb 1.451M 1390 XX13 1044```
```30Jan  1.56M 1390 XX13 1122```
```29Jan  1.56M 1390 XX13 1122```
```08Jan     2M 1508 XX06 1326```
```08Jan  1.42M 1373 XX14 1034```
```------------2023-----------```
```19Dec 1.556M 1390 XX13 1119```
_Source: DLD, Databot_
_BUA - built-up area, sq.ft._
_P/sf - price per sq.ft._
_B - bedrooms; O - office_
_M - million, K- thousand_
_S - studio, R - shop_
_*Max 30 latest transactions_
www.trydatabot.com</t>
  </si>
  <si>
    <t>1007085, *MARKET</t>
  </si>
  <si>
    <t>*MARKET*
*SNAPSHOT*
*BURJ AL NUJOOM*
_Area: Downtown_
_Type: 2 bedroom apartment_
*Price dynamics, Dirham/sq.ft.*
_(M - median value)_
```1658|        *             ```
```    |                      ```
```    |                      ```
```    |  * * *               ```
```    |                 *   *```
```1331|---------------------M```
```    |         * *****  *** ```
```    | *   * *        *     ```
```    |                      ```
```    |*  *                  ```
```985 |          *           ```
```____|______________________```
```    |May2024        Jan2026```
_Source: see table below_
*Latest sales transactions*
```Date   Price  BUA Type P/sf```
```------------2026-----------```
```13Jan 1.875M 1378 XX12 1361```
```12Jan  1.85M 1378 XX12 1343```
```------------2025-----------```
```25Sep  1.95M 1508 XX06 1293```
```23Jun 1.843M 1378 XX12 1338```
```26May  1.92M 1373 XX14 1398```
```05May  1.89M 1508 XX06 1253```
```13Mar 1.825M 1390 XX13 1313```
```12Mar  1.85M 1373 XX14 1347```
```10Mar  1.85M 1390 XX13 1331```
```21Feb  1.85M 1373 XX14 1347```
```20Feb  1.85M 1390 XX13 1331```
```------------2024-----------```
```26Dec 1.485M 1508 XX06  985```
```25Nov   1.8M 1390 XX13 1295```
```08Nov   2.5M 1508 XX06 1658```
```27Sep  1.73M 1378 XX12 1255```
```26Aug  2.02M 1378 XX12 1466```
```22Aug  1.75M 1390 XX13 1259```
```08Aug     2M 1373 XX14 1457```
```05Aug  1.59M 1390 XX13 1144```
```05Jul   2.2M 1508 XX06 1459```
```24Jun 1.875M 1508 XX06 1243```
```16May 1.643M 1508 XX06 1089```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</si>
  <si>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1007086, *NEW RE</t>
  </si>
  <si>
    <t>*NEW RENT*
*CONTRACTS**
_(renewals are not included)_
*BURJ AL NUJOOM*
_Area: Downtown_
_Type: 2 bedroom apartment_
```Date  Price   BUA  Type D/s```
```------------2026-----------```
```12Jan  150K  1507  XXXX 100```
```02Jan  145K  1378  XXXX 105```
```01Jan  130K  1389  XXXX  94```
```------------2025-----------```
```25Dec  160K  1507  XXXX 106```
```18Nov  180K  1378  XXXX 131```
```11Nov  137K  1378  XXXX  99```
```10Nov  145K  1378  XXXX 105```
```01Nov  135K  1378  XXXX  98```
```23Sep  180K  1378  XXXX 131```
```23Sep  180K  1378  XXXX 131```
```10Aug  120K  1378  XXXX  87```
```15Jul  180K  1378  XXXX 131```
```01Jul  132K  1507  XXXX  88```
```01May  140K  1378  XXXX 102```
```05Apr  150K  1507  XXXX 100```
```25Mar  140K  1389  XXXX 101```
```22Mar  150K  1378  XXXX 109```
```24Feb  200K  1389  XXXX 144```
```18Feb  155K  1507  XXXX 103```
```15Feb  130K  1389  XXXX  94```
_Source: DLD, Databot_
_BUA - built-up area, sq.ft._
_P/sf - price per sq.ft._
_B - bedrooms; O - office_
_M - million, K- thousand_
_S - studio, R - shop_
_*20 latest contracts_
www.trydatabot.com</t>
  </si>
  <si>
    <t>1007088, *SALES*</t>
  </si>
  <si>
    <t>*SALES*
*TRANSACTIONS**
*BURJ AL NUJOOM*
_Area: Downtown_
_Type: 3 bedroom apartment_
```Date   Price  BUA Type P/sf```
```------------2024-----------```
```20Aug 5.034M 3222 XX04 1562```
```03Jan 3.535M 3214 XX04 1100```
```------------2022-----------```
```31Oct   3.5M 3214 XX04 1089```
```------------2021-----------```
```05Sep  2.25M 2960 XX03  760```
```------------2020-----------```
```28Jan 1.525M 2960 XX03  515```
_Source: DLD, Databot_
_BUA - built-up area, sq.ft._
_P/sf - price per sq.ft._
_B - bedrooms; O - office_
_M - million, K- thousand_
_S - studio, R - shop_
_*Max 30 latest transactions_
www.trydatabot.com</t>
  </si>
  <si>
    <t>1007089, *MARKET</t>
  </si>
  <si>
    <t>*MARKET*
*SNAPSHOT*
*BURJ AL NUJOOM*
_Area: Downtown_
_Type: 3 bedroom apartment_
*Price dynamics, Dirham/sq.ft.*
_(M - median value)_
```1562|                     *```
```    |                      ```
```    |                      ```
```    |                      ```
```    |                    * ```
```1089|---------------------M```
```    |                   *  ```
```    |                      ```
```    |                      ```
```    |                  *   ```
```515 |                 *    ```
```____|______________________```
```    |Jan2020        Aug2024```
_Source: see table below_
*Latest sales transactions*
```Date   Price  BUA Type P/sf```
```------------2024-----------```
```20Aug 5.034M 3222 XX04 1562```
```03Jan 3.535M 3214 XX04 1100```
```------------2022-----------```
```31Oct   3.5M 3214 XX04 1089```
```------------2021-----------```
```05Sep  2.25M 2960 XX03  760```
```------------2020-----------```
```28Jan 1.525M 2960 XX03  515```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</si>
  <si>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1007090, *NEW RE</t>
  </si>
  <si>
    <t>*NEW RENT*
*CONTRACTS**
_(renewals are not included)_
*BURJ AL NUJOOM*
_Area: Downtown_
_Type: 3 bedroom apartment_
```Date  Price   BUA  Type D/s```
```------------2025-----------```
```12Dec  150K  3218  XXXX  47```
```03Nov  250K  2971  XXXX  84```
```01Oct  270K  2971  XXXX  91```
```01Oct  220K  2971  XXXX  74```
```------------2024-----------```
```01Sep  210K  2971  XXXX  71```
```------------2023-----------```
```10Sep  200K  2971  XXXX  67```
```01Sep  190K  2971  XXXX  64```
```------------2022-----------```
```12Nov  270K  3218  XXXX  84```
```10Sep  210K  2971  XXXX  71```
```15Apr  147K  2971  XXXX  49```
```------------2021-----------```
```15Dec  132K  2971  XXXX  44```
```15Apr  110K  2971  XXXX  37```
```------------2020-----------```
```15Dec  110K  2971  XXXX  37```
```------------2019-----------```
```13Nov  130K  2971  XXXX  44```
```------------2018-----------```
```01Feb  185K  2971  XXXX  62```
```------------2017-----------```
```07Nov  185K  2971  XXXX  62```
```01Oct  190K  2971  XXXX  64```
```------------2016-----------```
```01May  185K  3218  XXXX  57```
```------------2015-----------```
```15Nov  200K  2971  XXXX  67```
```30Sep  194K  2960  XXXX  66```
_Source: DLD, Databot_
_BUA - built-up area, sq.ft._
_P/sf - price per sq.ft._
_B - bedrooms; O - office_
_M - million, K- thousand_
_S - studio, R - shop_
_*20 latest contracts_
www.trydatabot.com</t>
  </si>
  <si>
    <t>1007108, *SALES*</t>
  </si>
  <si>
    <t>*SALES*
*TRANSACTIONS**
*BURJ AL NUJOOM*
_Area: Downtown_
_Type: shop_
```Date   Price  BUA Type P/sf```
```------------2025-----------```
```28Mar     6M 2106 XXXX 2849```
_Source: DLD, Databot_
_BUA - built-up area, sq.ft._
_P/sf - price per sq.ft._
_B - bedrooms; O - office_
_M - million, K- thousand_
_S - studio, R - shop_
_*Max 30 latest transactions_
www.trydatabot.com</t>
  </si>
  <si>
    <t>Shop</t>
  </si>
  <si>
    <t>1007109, *MARKET</t>
  </si>
  <si>
    <t>*MARKET*
*SNAPSHOT*
*BURJ AL NUJOOM*
_Area: Downtown_
_Type: shop_
*Price dynamics, Dirham/sq.ft.*
_(M - median value)_
```2849|                     *```
```2849|----------------------```
```    |                     *```
```2849|---------------------M```
```    |                     *```
```2849|---------------------M```
```    |                     *```
```2849|---------------------M```
```    |                     *```
```2849|---------------------M```
```    |                     *```
```____|______________________```
```    |Mar2025        Mar2025```
_Source: see table below_
*Latest sales transactions*
```Date   Price  BUA Type P/sf```
```------------2025-----------```
```28Mar     6M 2106 XXXX 2849```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</si>
  <si>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1007110, *NEW RE</t>
  </si>
  <si>
    <t>*NEW RENT*
*CONTRACTS**
_(renewals are not included)_
*BURJ AL NUJOOM*
_Area: Downtown_
_Type: shop_
```Date  Price   BUA  Type D/s```
```------------2025-----------```
```01Jun 21.4K  2110  XXXX  10```
```01Jun 21.4K  2110  XXXX  10```
```------------2024-----------```
```25Oct  230K  1442  XXXX 160```
```07Oct 41.5K  1324  XXXX  31```
```------------2022-----------```
```25Jul  200K  1442  XXXX 139```
```30Jun  183K  1421  XXXX 129```
```30Jun  176K  1367  XXXX 129```
```30Jun  186K  1442  XXXX 129```
```01Apr  189K  2110  XXXX  90```
```------------2021-----------```
```01Apr  180K  2110  XXXX  85```
```01Mar  100K  1442  XXXX  69```
```------------2019-----------```
```01Aug  375K  1421  XXXX 264```
```01Aug  525K  1367  XXXX 384```
```01Aug  600K  1442  XXXX 416```
```27May  275K  1421  XXXX 194```
```27May  275K  1442  XXXX 191```
```27May  275K  1367  XXXX 201```
```31Mar  275K  1421  XXXX 194```
```31Mar  275K  1442  XXXX 191```
```31Mar  275K  1367  XXXX 201```
_Source: DLD, Databot_
_BUA - built-up area, sq.ft._
_P/sf - price per sq.ft._
_B - bedrooms; O - office_
_M - million, K- thousand_
_S - studio, R - shop_
_*20 latest contracts_
www.trydatabot.com</t>
  </si>
  <si>
    <t>1007124, *NEW RE</t>
  </si>
  <si>
    <t>*NEW RENT*
*CONTRACTS**
_(renewals are not included)_
*BURJ AL NUJOOM*
_Area: Downtown_
_All types/bedrooms_
```Date    Price   BUA Type  B```
```------------2026-----------```
```20Jan     90K   861 XXXX  1```
```16Jan   73.5K   441 XXXX  S```
```16Jan  109.7K   807 XXXX  1```
```12Jan    150K  1507 XXXX  2```
```02Jan    145K  1378 XXXX  2```
```01Jan    130K  1389 XXXX  2```
```------------2025-----------```
```25Dec    160K  1507 XXXX  2```
```12Dec    150K  3218 XXXX  3```
```20Nov     82K   441 XXXX  S```
```20Nov     64K   452 XXXX  S```
```18Nov    180K  1378 XXXX  2```
```17Nov     63K   441 XXXX  S```
```17Nov     60K   441 XXXX  S```
```11Nov  136.5K  1378 XXXX  2```
```10Nov     68K   452 XXXX  S```
```10Nov     75K   441 XXXX  S```
```10Nov    145K  1378 XXXX  2```
```07Nov     65K   452 XXXX  S```
```03Nov    250K  2971 XXXX  3```
```02Nov   68.5K   452 XXXX  S```
_Source: DLD, Databot_
_BUA - built-up area, sq.ft._
_P/sf - price per sq.ft._
_B - bedrooms; O - office_
_M - million, K- thousand_
_S - studio, R - shop_
_*20 latest contracts_
www.trydatabot.com</t>
  </si>
  <si>
    <t>1007125, *SALES*</t>
  </si>
  <si>
    <t>*SALES*
*TRANSACTIONS (RESALE)**
*BURJ AL NUJOOM*
_Area: Downtown_
_All types/bedrooms_
```Date    Price   BUA  Type B```
```------------2026-----------```
```19Jan    850K   444  XXXX S```
```13Jan  1.875M  1378  XX12 2```
```12Jan   1.85M  1378  XX12 2```
```------------2025-----------```
```17Dec    850K   456  XX11 S```
```03Dec   1.35M   860  XX04 1```
```28Oct    880K   452  XX10 S```
```14Oct    875K   452  XX10 S```
```06Oct    900K   452  XX09 S```
```25Sep   1.95M  1508  XX06 2```
```19Sep    900K   444  XXXX S```
```17Sep   1.35M   819  XX05 1```
```28Aug    930K   456  XX11 S```
```25Jul   1.25M   819  XX05 1```
```15Jul    850K   440  XX01 S```
```04Jul   1.17M   860  XX04 1```
```01Jul    1.1M   819  XX05 1```
```30Jun    1.1M   811  XX07 1```
```23Jun  1.843M  1378  XX12 2```
```26May   1.92M  1373  XX14 2```
```21May    890K   444  XXXX S```
```15May    880K   440  XX01 S```
```05May   1.89M  1508  XX06 2```
```22Apr    935K   452  XX09 S```
```02Apr    850K   444  XXXX S```
```28Mar    860K   456  XX11 S```
```28Mar      6M  2106  XXXX R```
```17Mar    830K   452  XX10 S```
```13Mar  1.825M  1390  XX13 2```
```12Mar   1.85M  1373  XX14 2```
```10Mar   1.85M  1390  XX13 2```
_Source: DLD, Databot_
_BUA - built-up area, sq.ft._
_P/sf - price per sq.ft._
_B - bedrooms; O - office_
_M - million, K- thousand_
_S - studio, R - shop_
_*Max 30 latest transactions_
www.trydatabot.com</t>
  </si>
  <si>
    <t>1007126, Nujoom, Nujum, Noujoom, *BUILDI</t>
  </si>
  <si>
    <t xml:space="preserve">*BUILDING*
*PROFILE*
*BURJ AL NUJOOM*
_Area: Downtown_
_Tap&amp;hold to copy a reply_
```-------------------------```
```Report              Reply```
```-------------------------```
*Studio*
```Sales, ROI        1007076```
```Price chart       1007077```
```Rentals           1007078```
*1 B/R*
```Resell, ROI       1007080```
```Primary sales     1007128```
```Price chart       1007081```
```Rentals           1007082```
```Appreciation      1007083```
*2 B/R*
```Sales, ROI        1007084```
```Price chart       1007085```
```Rentals           1007086```
*3 B/R*
```Sales, ROI        1007088```
```Price chart       1007089```
```Rentals           1007090```
*Shop*
```Sales, ROI        1007108```
```Price chart       1007109```
```Rentals           1007110```
*All types/bedrooms*
```Resell, ROI       1007125```
```Primary sales     1007139```
```Rentals           1007124```
</t>
  </si>
  <si>
    <t>1007128, *SALES*</t>
  </si>
  <si>
    <t>*SALES*
*TRANSACTIONS (PRIMARY)**
*BURJ AL NUJOOM*
_Area: Downtown_
_Type: 1 bedroom apartment_
```Date   Price  BUA Type P/sf```
```------------2025-----------```
```17Oct 1.165M  819 XX05 1422```
```22Aug  1.15M  811 XX07 1418```
```26Jun  1.17M  819 XX05 1429```
_Source: DLD, Databot_
_BUA - built-up area, sq.ft._
_P/sf - price per sq.ft._
_B - bedrooms; O - office_
_M - million, K- thousand_
_S - studio, R - shop_
_*Max 20 latest transactions_
www.trydatabot.com</t>
  </si>
  <si>
    <t>1007139, *SALES*</t>
  </si>
  <si>
    <t>*SALES*
*TRANSACTIONS (PRIMARY)**
*BURJ AL NUJOOM*
_Area: Downtown_
_All types/bedrooms_
```Date    Price   BUA  Type B```
```------------2025-----------```
```17Oct  1.165M   819  XX05 1```
```22Aug   1.15M   811  XX07 1```
```26Jun   1.17M   819  XX05 1```
_Source: DLD, Databot_
_BUA - built-up area, sq.ft._
_P/sf - price per sq.ft._
_B - bedrooms; O - office_
_M - million, K- thousand_
_S - studio, R - shop_
_*Max 20 latest transactions_
www.trydatabot.com</t>
  </si>
  <si>
    <t>1007168, *SALES*</t>
  </si>
  <si>
    <t>*SALES*
*TRANSACTIONS**
*AL SAAHA*
_Area: Downtown_
_Type: office_
```Date   Price  BUA Type P/sf```
```------------2025-----------```
```21May     5M 3767 XXXX 1327```
```------------2024-----------```
```30Dec 13.26M 6256 XXXX 2120```
```06Dec 15.75M 3928 XXXX 4010```
```25Sep    16M 4919 XXXX 3253```
```06May   7.5M 4510 XXXX 1663```
```29Jan  6.45M 3767 XXXX 1712```
```------------2023-----------```
```21Dec  8.65M 5463 XXXX 1583```
```28Sep 10.63M 4252 XXXX 2500```
```17Aug 14.01M 5371 XXXX 2609```
```18Jul  82.4K 4510 XXXX   18```
```18Jul 100.1K 5463 XXXX   18```
```13Jul    11M 4252 XXXX 2587```
```04May  10.5M 4025 XXXX 2609```
```------------2022-----------```
```15Dec   8.5M 4650 XXXX 1828```
```05Aug     6M 4521 XXXX 1327```
```24May  6.45M 3767 XXXX 1712```
```23Mar     3M 4090 XXXX  733```
```------------2021-----------```
```28Sep   7.5M 3746 XXXX 2002```
```21Sep 5.882M 4032 XXXX 1459```
```21Sep 7.551M 5078 XXXX 1487```
```23Mar   3.7M 4919 XXXX  752```
```03Feb  3.85M 2831 XXXX 1360```
```------------2019-----------```
```04Dec 235.7K 3928 XXXX   60```
_Source: DLD, Databot_
_BUA - built-up area, sq.ft._
_P/sf - price per sq.ft._
_B - bedrooms; O - office_
_M - million, K- thousand_
_S - studio, R - shop_
_*Max 30 latest transactions_
www.trydatabot.com</t>
  </si>
  <si>
    <t>Al Saaha</t>
  </si>
  <si>
    <t>office</t>
  </si>
  <si>
    <t>1007169, *MARKET</t>
  </si>
  <si>
    <t>*MARKET*
*SNAPSHOT*
*AL SAAHA*
_Area: Downtown_
_Type: office_
*Price dynamics, Dirham/sq.ft.*
_(M - median value)_
```4010|                   *  ```
```    |                      ```
```    |                  *   ```
```    |                      ```
```    |         **  **       ```
```    |    *   *           * ```
```1688|---------------------M```
```    |  **  *        ***    ```
```    |*      *             *```
```    | *   *                ```
```18 |           **         ```
```____|______________________```
```    |Feb2021        May2025```
_Source: see table below_
*Latest sales transactions*
```Date   Price  BUA Type P/sf```
```------------2025-----------```
```21May     5M 3767 XXXX 1327```
```------------2024-----------```
```30Dec 13.26M 6256 XXXX 2120```
```06Dec 15.75M 3928 XXXX 4010```
```25Sep    16M 4919 XXXX 3253```
```06May   7.5M 4510 XXXX 1663```
```29Jan  6.45M 3767 XXXX 1712```
```------------2023-----------```
```21Dec  8.65M 5463 XXXX 1583```
```28Sep 10.63M 4252 XXXX 2500```
```17Aug 14.01M 5371 XXXX 2609```
```18Jul  82.4K 4510 XXXX   18```
```18Jul 100.1K 5463 XXXX   18```
```13Jul    11M 4252 XXXX 2587```
```04May  10.5M 4025 XXXX 2609```
```------------2022-----------```
```15Dec   8.5M 4650 XXXX 1828```
```05Aug     6M 4521 XXXX 1327```
```24May  6.45M 3767 XXXX 1712```
```23Mar     3M 4090 XXXX  733```
```------------2021-----------```
```28Sep   7.5M 3746 XXXX 2002```
```21Sep 5.882M 4032 XXXX 1459```
```21Sep 7.551M 5078 XXXX 1487```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</si>
  <si>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1007190, Saaha, *BUILDI</t>
  </si>
  <si>
    <t xml:space="preserve">*BUILDING*
*PROFILE*
*AL SAAHA*
_Area: Downtown_
_Tap&amp;hold to copy a reply_
```-------------------------```
```Report              Reply```
```-------------------------```
*Office*
```Sales, ROI        1007168```
```Price chart       1007169```
```Rentals               n/a```
*All types/bedrooms*
```Sales, ROI        1007189```
```Rentals               n/a```
</t>
  </si>
  <si>
    <t>1007208, *SALES*</t>
  </si>
  <si>
    <t>*SALES*
*TRANSACTIONS**
*AL TAJER RESIDENCE*
_Area: Downtown_
_Type: 1 bedroom apartment_
```Date   Price  BUA Type P/sf```
```------------2025-----------```
```10Dec     3M  958 XX03 3132```
```22Oct 2.525M 1036 XXXX 2437```
```14Oct  2.95M  958 XXXX 3079```
```03Oct 2.575M 1064 XXXX 2420```
```11Aug   2.4M 1037 XXXX 2314```
```23Jul   2.5M 1283 XXXX 1949```
```21Jul  3.07M 1161 XXXX 2644```
```04Jul   2.7M 1042 XXXX 2591```
```03Jul 2.576M 1005 XXXX 2563```
```19Jun   2.2M  873 XXXX 2520```
```25Apr  2.79M 1185 XXXX 2354```
```18Mar  2.83M 1344 XXXX 2106```
```17Mar  2.45M 1029 XXXX 2381```
```10Jan     3M 1412 XXXX 2125```
```------------2024-----------```
```13Dec  2.85M 1161 XXXX 2455```
```06Dec  2.85M 1311 XXXX 2174```
```15Nov  2.65M 1168 XXXX 2269```
```21Oct   2.3M 1006 XXXX 2286```
```14Oct  2.31M 1161 XXXX 1990```
```22Aug   1.9M  958 XX03 1983```
```16May  2.45M 1019 XX33 2404```
```13May  2.05M 1042 XX42 1967```
```22Apr     2M 1019 XX33 1963```
```03Apr   2.2M 1161 XXXX 1895```
```19Mar     4M 1501 XX29 2665```
```19Mar 2.275M  998 XX94 2280```
```14Mar 2.643M 1522 XX37 1737```
```07Mar   2.5M 1076 XX44 2323```
```05Mar  2.23M 1021 XX74 2184```
```06Feb  2.05M 1104 XXXX 1857```
_Source: DLD, Databot_
_BUA - built-up area, sq.ft._
_P/sf - price per sq.ft._
_B - bedrooms; O - office_
_M - million, K- thousand_
_S - studio, R - shop_
_*Max 30 latest transactions_
www.trydatabot.com</t>
  </si>
  <si>
    <t>Al Tajer Residence</t>
  </si>
  <si>
    <t>1007209, *MARKET</t>
  </si>
  <si>
    <t>*MARKET*
*SNAPSHOT*
*AL TAJER RESIDENCE*
_Area: Downtown_
_Type: 1 bedroom apartment_
*Price dynamics, Dirham/sq.ft.*
_(M - median value)_
```3132|                   * *```
```    |                      ```
```    |                      ```
```    |                      ```
```    |               *      ```
```    |            ***       ```
```2368|---------------------M```
```    | *     * *        * * ```
```    |    **     *     *    ```
```    |      * * *           ```
```1949|* **            *     ```
```____|______________________```
```    |May2024        Dec2025```
_Source: see table below_
*Latest sales transactions*
```Date   Price  BUA Type P/sf```
```------------2025-----------```
```10Dec     3M  958 XX03 3132```
```22Oct 2.525M 1036 XXXX 2437```
```14Oct  2.95M  958 XXXX 3079```
```03Oct 2.575M 1064 XXXX 2420```
```11Aug   2.4M 1037 XXXX 2314```
```23Jul   2.5M 1283 XXXX 1949```
```21Jul  3.07M 1161 XXXX 2644```
```04Jul   2.7M 1042 XXXX 2591```
```03Jul 2.576M 1005 XXXX 2563```
```19Jun   2.2M  873 XXXX 2520```
```25Apr  2.79M 1185 XXXX 2354```
```18Mar  2.83M 1344 XXXX 2106```
```17Mar  2.45M 1029 XXXX 2381```
```10Jan     3M 1412 XXXX 2125```
```------------2024-----------```
```13Dec  2.85M 1161 XXXX 2455```
```06Dec  2.85M 1311 XXXX 2174```
```15Nov  2.65M 1168 XXXX 2269```
```21Oct   2.3M 1006 XXXX 2286```
```14Oct  2.31M 1161 XXXX 1990```
```22Aug   1.9M  958 XX03 1983```
```16May  2.45M 1019 XX33 2404```
```13May  2.05M 1042 XX42 1967```
```22Apr     2M 1019 XX33 1963```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</si>
  <si>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1007212, *SALES*</t>
  </si>
  <si>
    <t>*SALES*
*TRANSACTIONS**
*AL TAJER RESIDENCE*
_Area: Downtown_
_Type: 2 bedroom apartment_
```Date   Price  BUA Type P/sf```
```------------2026-----------```
```19Jan   4.5M 1557 XXXX 2890```
```------------2025-----------```
```27Oct  6.15M 2652 XXXX 2319```
```22Oct   4.7M 1434 XXXX 3278```
```03Oct  3.75M 1434 XXXX 2615```
```19Sep 7.325M 2355 XXXX 3110```
```02Sep   3.6M 1392 XXXX 2586```
```01Jul 3.925M 1499 XXXX 2618```
```16Jun  3.65M 1469 XXXX 2485```
```04Jun  6.45M 2344 XXXX 2752```
```26May     4M 1395 XXXX 2867```
```15May   3.9M 2974 XXXX 1311```
```10Feb   3.2M 1437 XXXX 2227```
```05Feb  3.64M 1481 XXXX 2458```
```03Feb 3.285M 1540 XX02 2133```
```14Jan  5.55M 2541 XXXX 2184```
```14Jan  3.95M 1437 XXXX 2749```
```------------2024-----------```
```19Aug   3.7M 1398 XXXX 2647```
```09Jul  3.05M 1398 XXXX 2182```
```05Jun  3.55M 1450 XXXX 2448```
```22May     3M 1557 XX30 1927```
```15May  3.55M 1450 XXXX 2448```
```26Apr 3.585M 1418 XXXX 2528```
```04Apr  3.47M 1419 XXXX 2445```
```14Mar  2.85M 1419 XXXX 2008```
```12Mar   2.8M 1425 XX21 1965```
```07Mar   5.9M 2355 XX79 2505```
```------------2023-----------```
```11Dec   3.6M 2215 XX12 1625```
```30Oct   3.5M 1409 XXXX 2484```
```12Sep   3.5M 1969 XX53 1778```
```13Jul   3.4M 2082 XXXX 1633```
_Source: DLD, Databot_
_BUA - built-up area, sq.ft._
_P/sf - price per sq.ft._
_B - bedrooms; O - office_
_M - million, K- thousand_
_S - studio, R - shop_
_*Max 30 latest transactions_
www.trydatabot.com</t>
  </si>
  <si>
    <t>1007213, *MARKET</t>
  </si>
  <si>
    <t>*MARKET*
*SNAPSHOT*
*AL TAJER RESIDENCE*
_Area: Downtown_
_Type: 2 bedroom apartment_
*Price dynamics, Dirham/sq.ft.*
_(M - median value)_
```3278|                   *  ```
```    |                 *    ```
```    |            *        *```
```    |     **      * *  *   ```
```2507|---------------------M```
```    |** *     *    * *     ```
```    |          *         * ```
```    |    *  **             ```
```    |  *                   ```
```    |                      ```
```1311|           *          ```
```____|______________________```
```    |Apr2024        Jan2026```
_Source: see table below_
*Latest sales transactions*
```Date   Price  BUA Type P/sf```
```------------2026-----------```
```19Jan   4.5M 1557 XXXX 2890```
```------------2025-----------```
```27Oct  6.15M 2652 XXXX 2319```
```22Oct   4.7M 1434 XXXX 3278```
```03Oct  3.75M 1434 XXXX 2615```
```19Sep 7.325M 2355 XXXX 3110```
```02Sep   3.6M 1392 XXXX 2586```
```01Jul 3.925M 1499 XXXX 2618```
```16Jun  3.65M 1469 XXXX 2485```
```04Jun  6.45M 2344 XXXX 2752```
```26May     4M 1395 XXXX 2867```
```15May   3.9M 2974 XXXX 1311```
```10Feb   3.2M 1437 XXXX 2227```
```05Feb  3.64M 1481 XXXX 2458```
```03Feb 3.285M 1540 XX02 2133```
```14Jan  5.55M 2541 XXXX 2184```
```14Jan  3.95M 1437 XXXX 2749```
```------------2024-----------```
```19Aug   3.7M 1398 XXXX 2647```
```09Jul  3.05M 1398 XXXX 2182```
```05Jun  3.55M 1450 XXXX 2448```
```22May     3M 1557 XX30 1927```
```15May  3.55M 1450 XXXX 2448```
```26Apr 3.585M 1418 XXXX 2528```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</si>
  <si>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1007216, *SALES*</t>
  </si>
  <si>
    <t>*SALES*
*TRANSACTIONS**
*AL TAJER RESIDENCE*
_Area: Downtown_
_Type: 3 bedroom apartment_
```Date   Price  BUA Type P/sf```
```------------2025-----------```
```13Aug   9.2M 2198 XXXX 4186```
```24Feb   8.8M 2198 XXXX 4004```
```------------2020-----------```
```20Sep  3.95M 2678 XX63 1475```
_Source: DLD, Databot_
_BUA - built-up area, sq.ft._
_P/sf - price per sq.ft._
_B - bedrooms; O - office_
_M - million, K- thousand_
_S - studio, R - shop_
_*Max 30 latest transactions_
www.trydatabot.com</t>
  </si>
  <si>
    <t>1007217, *MARKET</t>
  </si>
  <si>
    <t>*MARKET*
*SNAPSHOT*
*AL TAJER RESIDENCE*
_Area: Downtown_
_Type: 3 bedroom apartment_
*Price dynamics, Dirham/sq.ft.*
_(M - median value)_
```4186|                     *```
```4004|----------------------```
```    |                    * ```
```    |                      ```
```    |                      ```
```    |                      ```
```    |                      ```
```    |                      ```
```    |                      ```
```    |                      ```
```1475|                   *  ```
```____|______________________```
```    |Sep2020        Aug2025```
_Source: see table below_
*Latest sales transactions*
```Date   Price  BUA Type P/sf```
```------------2025-----------```
```13Aug   9.2M 2198 XXXX 4186```
```24Feb   8.8M 2198 XXXX 4004```
```------------2020-----------```
```20Sep  3.95M 2678 XX63 1475```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</si>
  <si>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1007253, *SALES*</t>
  </si>
  <si>
    <t>*SALES*
*TRANSACTIONS**
*AL TAJER RESIDENCE*
_Area: Downtown_
_All types/bedrooms_
```Date    Price   BUA  Type B```
```------------2026-----------```
```19Jan    4.5M  1557  XXXX 2```
```------------2025-----------```
```10Dec      3M   958  XX03 1```
```27Oct   6.15M  2652  XXXX 2```
```22Oct  2.525M  1036  XXXX 1```
```22Oct    4.7M  1434  XXXX 2```
```14Oct   2.95M   958  XXXX 1```
```03Oct  2.575M  1064  XXXX 1```
```03Oct   3.75M  1434  XXXX 2```
```19Sep  7.325M  2355  XXXX 2```
```02Sep    3.6M  1392  XXXX 2```
```13Aug    9.2M  2198  XXXX 3```
```11Aug    2.4M  1037  XXXX 1```
```23Jul    2.5M  1283  XXXX 1```
```21Jul   3.07M  1161  XXXX 1```
```04Jul    2.7M  1042  XXXX 1```
```03Jul  2.576M  1005  XXXX 1```
```01Jul  3.925M  1499  XXXX 2```
```19Jun    2.2M   873  XXXX 1```
```16Jun   3.65M  1469  XXXX 2```
```04Jun   6.45M  2344  XXXX 2```
```26May      4M  1395  XXXX 2```
```15May    3.9M  2974  XXXX 2```
```25Apr   2.79M  1185  XXXX 1```
```18Mar   2.83M  1344  XXXX 1```
```17Mar   2.45M  1029  XXXX 1```
```24Feb    8.8M  2198  XXXX 3```
```10Feb    3.2M  1437  XXXX 2```
```05Feb   3.64M  1481  XXXX 2```
```03Feb  3.285M  1540  XX02 2```
```14Jan   5.55M  2541  XXXX 2```
_Source: DLD, Databot_
_BUA - built-up area, sq.ft._
_P/sf - price per sq.ft._
_B - bedrooms; O - office_
_M - million, K- thousand_
_S - studio, R - shop_
_*Max 30 latest transactions_
www.trydatabot.com</t>
  </si>
  <si>
    <t>1007254, Tajer, Altajer, *BUILDI</t>
  </si>
  <si>
    <t xml:space="preserve">*BUILDING*
*PROFILE*
*AL TAJER RESIDENCE*
_Area: Downtown_
_Tap&amp;hold to copy a reply_
```-------------------------```
```Report              Reply```
```-------------------------```
*1 B/R*
```Sales, ROI        1007208```
```Price chart       1007209```
```Rentals               n/a```
*2 B/R*
```Sales, ROI        1007212```
```Price chart       1007213```
```Rentals               n/a```
*3 B/R*
```Sales, ROI        1007216```
```Price chart       1007217```
```Rentals               n/a```
*All types/bedrooms*
```Sales, ROI        1007253```
```Rentals               n/a```
</t>
  </si>
  <si>
    <t>1007272, *SALES*</t>
  </si>
  <si>
    <t>*SALES*
*TRANSACTIONS**
*ARMANI RESIDENCES*
_Area: Downtown_
_Type: 1 bedroom apartment_
```Date   Price  BUA Type P/sf```
```------------2023-----------```
```30Oct   3.1M 1011 XX02 3066```
```11Aug 5.183M 1184 XX13 4377```
```25Jul     4M 1185 XX10 3376```
```21Jun     5M 1049 XX01 4766```
```13Jun  2.55M 1011 XX02 2522```
```19May 2.775M  986 XX17 2814```
```13Mar 5.165M 1185 XX10 4359```
```01Mar   3.1M 1049 XX01 2955```
```07Feb  4.84M 1185 XX16 4084```
```02Feb 3.982M 1011 XX02 3939```
```11Jan  4.84M 1183 XX03 4091```
```06Jan   3.5M 1185 XX10 2954```
```04Jan 4.666M 1183 XX03 3944```
```04Jan 4.655M 1183 XX03 3935```
```04Jan 4.864M 1183 XX03 4111```
```02Jan 2.441M 1185 XX16 2060```
```------------2022-----------```
```30Nov 4.131M 1051 XX14 3931```
```15Nov 5.201M 1184 XX13 4393```
```31Oct   3.5M 1044 XX18 3352```
```03Oct   3.5M 1185 XX10 2954```
```12Sep     3M 1185 XX10 2532```
```01Sep 4.906M 1184 XX13 4143```
```30Aug  1.85M 1051 XX14 1760```
```23Aug 5.128M 1184 XX13 4331```
```15Aug 5.256M 1185 XX10 4435```
```15Aug   3.5M 1051 XX14 3330```
```20Jul   3.7M 1183 XX03 3128```
```14Jul   3.5M 1049 XX01 3337```
```04Jul   4.5M 1181 XX08 3810```
```24Jun 4.062M 1182 XX05 3437```
_Source: DLD, Databot_
_BUA - built-up area, sq.ft._
_P/sf - price per sq.ft._
_B - bedrooms; O - office_
_M - million, K- thousand_
_S - studio, R - shop_
_*Max 30 latest transactions_
www.trydatabot.com</t>
  </si>
  <si>
    <t>Armani Residences</t>
  </si>
  <si>
    <t>1007273, *MARKET</t>
  </si>
  <si>
    <t>*MARKET*
*SNAPSHOT*
*ARMANI RESIDENCES*
_Area: Downtown_
_Type: 1 bedroom apartment_
*Price dynamics, Dirham/sq.ft.*
_(M - median value)_
```4766|                  *   ```
```    |    *               * ```
```    |*      *   *   *      ```
```3933|---------------------M```
```    |     *  **  **        ```
```    |                      ```
```    |   *               *  ```
```    |                     *```
```    |  *       *   * *     ```
```    | *               *    ```
```2060|      *               ```
```____|______________________```
```    |Sep2022        Oct2023```
_Source: see table below_
*Latest sales transactions*
```Date   Price  BUA Type P/sf```
```------------2023-----------```
```30Oct   3.1M 1011 XX02 3066```
```11Aug 5.183M 1184 XX13 4377```
```25Jul     4M 1185 XX10 3376```
```21Jun     5M 1049 XX01 4766```
```13Jun  2.55M 1011 XX02 2522```
```19May 2.775M  986 XX17 2814```
```13Mar 5.165M 1185 XX10 4359```
```01Mar   3.1M 1049 XX01 2955```
```07Feb  4.84M 1185 XX16 4084```
```02Feb 3.982M 1011 XX02 3939```
```11Jan  4.84M 1183 XX03 4091```
```06Jan   3.5M 1185 XX10 2954```
```04Jan 4.666M 1183 XX03 3944```
```04Jan 4.655M 1183 XX03 3935```
```04Jan 4.864M 1183 XX03 4111```
```02Jan 2.441M 1185 XX16 2060```
```------------2022-----------```
```30Nov 4.131M 1051 XX14 3931```
```15Nov 5.201M 1184 XX13 4393```
```31Oct   3.5M 1044 XX18 3352```
```03Oct   3.5M 1185 XX10 2954```
```12Sep     3M 1185 XX10 2532```
```01Sep 4.906M 1184 XX13 4143```
```30Aug  1.85M 1051 XX14 1760```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</si>
  <si>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1007276, *SALES*</t>
  </si>
  <si>
    <t>*SALES*
*TRANSACTIONS**
*ARMANI RESIDENCES*
_Area: Downtown_
_Type: 2 bedroom apartment_
```Date   Price  BUA Type P/sf```
```------------2023-----------```
```31Aug  7.85M 1926 XX06 4076```
```16Mar    10M 1926 XXXX 5192```
```02Feb  8.25M 2174 XX04 3795```
```------------2022-----------```
```30Nov   6.5M 1926 XX12 3375```
```18Nov   5.9M 1926 XX12 3063```
```03Oct     8M 2174 XX04 3680```
```30Sep     8M 1926 XX07 4154```
```12Aug   4.3M 1926 XX07 2233```
```24Jun 10.23M 2058 XX11 4972```
```24Jan   7.9M 1926 XX07 4102```
```------------2021-----------```
```22Nov 7.041M 2058 XX11 3421```
```24Oct   6.9M 1926 XX12 3583```
```06Oct   6.5M 1926 XX12 3375```
```13Jun 7.079M 1926 XX12 3675```
```11Jun 7.349M 2058 XX11 3571```
```25Feb   4.1M 1926 XX12 2129```
```------------2020-----------```
```15Nov   5.7M 2174 XX04 2622```
```------------2019-----------```
```18Mar 6.863M 1926 XX12 3563```
```------------2018-----------```
```05Sep     7M 1926 XX07 3634```
```16Apr   7.5M 1926 XX07 3894```
_Source: DLD, Databot_
_BUA - built-up area, sq.ft._
_P/sf - price per sq.ft._
_B - bedrooms; O - office_
_M - million, K- thousand_
_S - studio, R - shop_
_*Max 30 latest transactions_
www.trydatabot.com</t>
  </si>
  <si>
    <t>1007277, *MARKET</t>
  </si>
  <si>
    <t>*MARKET*
*SNAPSHOT*
*ARMANI RESIDENCES*
_Area: Downtown_
_Type: 2 bedroom apartment_
*Price dynamics, Dirham/sq.ft.*
_(M - median value)_
```5192|                    * ```
```    |             *        ```
```    |                      ```
```    |               *      ```
```    |  *         *        *```
```3609|---------------------M```
```    |   **  ** *     *  *  ```
```    |         * *      *   ```
```    |                 *    ```
```    |     *                ```
```2129|      *       *       ```
```____|______________________```
```    |Apr2018        Aug2023```
_Source: see table below_
*Latest sales transactions*
```Date   Price  BUA Type P/sf```
```------------2023-----------```
```31Aug  7.85M 1926 XX06 4076```
```16Mar    10M 1926 XXXX 5192```
```02Feb  8.25M 2174 XX04 3795```
```------------2022-----------```
```30Nov   6.5M 1926 XX12 3375```
```18Nov   5.9M 1926 XX12 3063```
```03Oct     8M 2174 XX04 3680```
```30Sep     8M 1926 XX07 4154```
```12Aug   4.3M 1926 XX07 2233```
```24Jun 10.23M 2058 XX11 4972```
```24Jan   7.9M 1926 XX07 4102```
```------------2021-----------```
```22Nov 7.041M 2058 XX11 3421```
```24Oct   6.9M 1926 XX12 3583```
```06Oct   6.5M 1926 XX12 3375```
```13Jun 7.079M 1926 XX12 3675```
```11Jun 7.349M 2058 XX11 3571```
```25Feb   4.1M 1926 XX12 2129```
```------------2020-----------```
```15Nov   5.7M 2174 XX04 2622```
```------------2019-----------```
```18Mar 6.863M 1926 XX12 3563```
```------------2018-----------```
```05Sep     7M 1926 XX07 3634```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</si>
  <si>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1007317, *SALES*</t>
  </si>
  <si>
    <t>*SALES*
*TRANSACTIONS**
*ARMANI RESIDENCES*
_Area: Downtown_
_All types/bedrooms_
```Date    Price   BUA  Type B```
```------------2023-----------```
```30Oct    3.1M  1011  XX02 1```
```31Aug   7.85M  1926  XX06 2```
```11Aug  5.183M  1184  XX13 1```
```25Jul      4M  1185  XX10 1```
```21Jun      5M  1049  XX01 1```
```13Jun   2.55M  1011  XX02 1```
```19May  2.775M   986  XX17 1```
```16Mar     10M  1926  XXXX 2```
```13Mar  5.165M  1185  XX10 1```
```01Mar    3.1M  1049  XX01 1```
```07Feb   4.84M  1185  XX16 1```
```02Feb   8.25M  2174  XX04 2```
```02Feb  3.982M  1011  XX02 1```
```11Jan   4.84M  1183  XX03 1```
```06Jan    3.5M  1185  XX10 1```
```04Jan  4.666M  1183  XX03 1```
```04Jan  4.655M  1183  XX03 1```
```04Jan  4.864M  1183  XX03 1```
```02Jan  2.441M  1185  XX16 1```
```------------2022-----------```
```30Nov    6.5M  1926  XX12 2```
```30Nov  4.131M  1051  XX14 1```
```18Nov    5.9M  1926  XX12 2```
```15Nov  5.201M  1184  XX13 1```
```31Oct    3.5M  1044  XX18 1```
```03Oct      8M  2174  XX04 2```
```03Oct    3.5M  1185  XX10 1```
```30Sep      8M  1926  XX07 2```
```12Sep      3M  1185  XX10 1```
```01Sep  4.906M  1184  XX13 1```
```30Aug   1.85M  1051  XX14 1```
_Source: DLD, Databot_
_BUA - built-up area, sq.ft._
_P/sf - price per sq.ft._
_B - bedrooms; O - office_
_M - million, K- thousand_
_S - studio, R - shop_
_*Max 30 latest transactions_
www.trydatabot.com</t>
  </si>
  <si>
    <t>1007318, by code - other areas, *BUILDI</t>
  </si>
  <si>
    <t xml:space="preserve">*BUILDING*
*PROFILE*
*ARMANI RESIDENCES*
_Area: Downtown_
_Tap&amp;hold to copy a reply_
```-------------------------```
```Report              Reply```
```-------------------------```
*1 B/R*
```Sales, ROI        1007272```
```Price chart       1007273```
```Rentals               n/a```
*2 B/R*
```Sales, ROI        1007276```
```Price chart       1007277```
```Rentals               n/a```
*All types/bedrooms*
```Sales, ROI        1007317```
```Rentals               n/a```
</t>
  </si>
  <si>
    <t>1007336, *SALES*</t>
  </si>
  <si>
    <t>*SALES*
*TRANSACTIONS**
*ATTAREEN RESIDENCES*
_Area: Downtown_
_Type: 1 bedroom apartment_
```Date   Price  BUA Type P/sf```
```------------2025-----------```
```13May   3.6M 1545 XXXX 2330```
```24Mar     2M  994 XXXX 2012```
```13Jan  2.95M 1048 XXXX 2815```
```------------2024-----------```
```23Aug  3.15M  991 XXXX 3179```
```21Mar 2.468M 1179 XX10 2093```
```29Jan 2.585M 1248 XX11 2071```
```------------2023-----------```
```05Sep  1.95M 1064 XX13 1833```
```18Jul  3.38M 1545 XXXX 2188```
```15Jun  3.05M 1384 XXXX 2204```
```10May  2.15M 1248 XX11 1723```
```23Feb   1.9M 1284 XX12 1480```
```------------2022-----------```
```30Jun  1.75M  991 XX11 1766```
```------------2021-----------```
```07Oct   1.7M 1056 XX13 1610```
```------------2020-----------```
```29Nov 1.525M 1545 XX04  987```
```25Nov  1.24M 1179 XX10 1052```
```25Nov 1.241M 1248 XX11  994```
```25Oct 1.305M 1284 XX12 1016```
```17Sep 1.445M 1384 XX04 1044```
```03May   1.3M  956 XX12 1360```
```------------2018-----------```
```22Mar  1.69M  990 XX11 1707```
_Source: DLD, Databot_
_BUA - built-up area, sq.ft._
_P/sf - price per sq.ft._
_B - bedrooms; O - office_
_M - million, K- thousand_
_S - studio, R - shop_
_*Max 30 latest transactions_
www.trydatabot.com</t>
  </si>
  <si>
    <t>Attareen Residences</t>
  </si>
  <si>
    <t>1007337, *MARKET</t>
  </si>
  <si>
    <t>*MARKET*
*SNAPSHOT*
*ATTAREEN RESIDENCES*
_Area: Downtown_
_Type: 1 bedroom apartment_
*Price dynamics, Dirham/sq.ft.*
_(M - median value)_
```3179|                  *   ```
```    |                      ```
```    |                   *  ```
```    |                      ```
```    |             *       *```
```    |              * **  * ```
```    |          *    *      ```
```1745|---------------------M```
```    |  *      *  *         ```
```    |   *       *          ```
```987 |    *****             ```
```____|______________________```
```    |Mar2018        May2025```
_Source: see table below_
*Latest sales transactions*
```Date   Price  BUA Type P/sf```
```------------2025-----------```
```13May   3.6M 1545 XXXX 2330```
```24Mar     2M  994 XXXX 2012```
```13Jan  2.95M 1048 XXXX 2815```
```------------2024-----------```
```23Aug  3.15M  991 XXXX 3179```
```21Mar 2.468M 1179 XX10 2093```
```29Jan 2.585M 1248 XX11 2071```
```------------2023-----------```
```05Sep  1.95M 1064 XX13 1833```
```18Jul  3.38M 1545 XXXX 2188```
```15Jun  3.05M 1384 XXXX 2204```
```10May  2.15M 1248 XX11 1723```
```23Feb   1.9M 1284 XX12 1480```
```------------2022-----------```
```30Jun  1.75M  991 XX11 1766```
```------------2021-----------```
```07Oct   1.7M 1056 XX13 1610```
```------------2020-----------```
```29Nov 1.525M 1545 XX04  987```
```25Nov  1.24M 1179 XX10 1052```
```25Nov 1.241M 1248 XX11  994```
```25Oct 1.305M 1284 XX12 1016```
```17Sep 1.445M 1384 XX04 1044```
```03May   1.3M  956 XX12 1360```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</si>
  <si>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1007340, *SALES*</t>
  </si>
  <si>
    <t>*SALES*
*TRANSACTIONS**
*ATTAREEN RESIDENCES*
_Area: Downtown_
_Type: 2 bedroom apartment_
```Date   Price  BUA Type P/sf```
```------------2025-----------```
```18Nov    10M 3794 XXXX 2636```
```15Sep 6.091M 3909 XXXX 1558```
```12Sep   5.3M 1743 XXXX 3041```
```09Sep  5.55M 3909 XXXX 1420```
```28Aug  4.17M 2591 XXXX 1609```
```28Aug  3.75M 1849 XXXX 2028```
```20Aug  5.35M 2210 XXXX 2421```
```05Aug 5.061M 3169 XXXX 1597```
```30Jul   4.5M 2055 XXXX 2190```
```30Jul   3.5M 1745 XXXX 2006```
```17Apr   3.6M 2055 XXXX 1752```
```14Mar 3.878M 2210 XXXX 1755```
```05Feb   4.2M 1927 XXXX 2180```
```------------2024-----------```
```04Nov   3.7M 1739 XXXX 2128```
```23Oct 3.425M 1851 XXXX 1850```
```24Apr 3.375M 1738 XXXX 1942```
```05Feb  9.98M 3750 XX32 2661```
```------------2023-----------```
```30Nov   3.6M 2101 XX16 1713```
```22Nov  4.85M 2028 XX09 2392```
```13Jul  7.25M 3794 XXXX 1911```
```13Jun     4M 3909 XX20 1023```
```13Jun   3.4M 3169 XXXX 1073```
```13Jun   2.6M 1745 XX07 1490```
```13Jun   2.7M 1849 XXXX 1460```
```13Jun   2.6M 2591 XX18 1003```
```13Jun   2.5M 2210 XX17 1131```
```13Jun   2.7M 2055 XX06 1314```
```------------2022-----------```
```25Nov   4.2M 2048 XX33 2051```
```06Sep  4.54M 3700 XX22 1227```
```11Mar   4.5M 3308 XX02 1360```
_Source: DLD, Databot_
_BUA - built-up area, sq.ft._
_P/sf - price per sq.ft._
_B - bedrooms; O - office_
_M - million, K- thousand_
_S - studio, R - shop_
_*Max 30 latest transactions_
www.trydatabot.com</t>
  </si>
  <si>
    <t>1007341, *MARKET</t>
  </si>
  <si>
    <t>*MARKET*
*SNAPSHOT*
*ATTAREEN RESIDENCES*
_Area: Downtown_
_Type: 2 bedroom apartment_
*Price dynamics, Dirham/sq.ft.*
_(M - median value)_
```3041|                   *  ```
```    |                      ```
```    |     *               *```
```    |   *           *      ```
```    |         *   *        ```
```    |      * *   *   *     ```
```1927|---------------------M```
```    |  *    *  **          ```
```    |    *         *  *  * ```
```    |                  *   ```
```1023|**                    ```
```____|______________________```
```    |Jun2023        Nov2025```
_Source: see table below_
*Latest sales transactions*
```Date   Price  BUA Type P/sf```
```------------2025-----------```
```18Nov    10M 3794 XXXX 2636```
```15Sep 6.091M 3909 XXXX 1558```
```12Sep   5.3M 1743 XXXX 3041```
```09Sep  5.55M 3909 XXXX 1420```
```28Aug  4.17M 2591 XXXX 1609```
```28Aug  3.75M 1849 XXXX 2028```
```20Aug  5.35M 2210 XXXX 2421```
```05Aug 5.061M 3169 XXXX 1597```
```30Jul   4.5M 2055 XXXX 2190```
```30Jul   3.5M 1745 XXXX 2006```
```17Apr   3.6M 2055 XXXX 1752```
```14Mar 3.878M 2210 XXXX 1755```
```05Feb   4.2M 1927 XXXX 2180```
```------------2024-----------```
```04Nov   3.7M 1739 XXXX 2128```
```23Oct 3.425M 1851 XXXX 1850```
```24Apr 3.375M 1738 XXXX 1942```
```05Feb  9.98M 3750 XX32 2661```
```------------2023-----------```
```30Nov   3.6M 2101 XX16 1713```
```22Nov  4.85M 2028 XX09 2392```
```13Jul  7.25M 3794 XXXX 1911```
```13Jun     4M 3909 XX20 1023```
```13Jun   3.4M 3169 XXXX 1073```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</si>
  <si>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1007344, *SALES*</t>
  </si>
  <si>
    <t>*SALES*
*TRANSACTIONS**
*ATTAREEN RESIDENCES*
_Area: Downtown_
_Type: 3 bedroom apartment_
```Date   Price  BUA Type P/sf```
```------------2024-----------```
```25Mar  10.7M 3826 XXXX 2797```
```16Jan 10.92M 3826 XXXX 2853```
_Source: DLD, Databot_
_BUA - built-up area, sq.ft._
_P/sf - price per sq.ft._
_B - bedrooms; O - office_
_M - million, K- thousand_
_S - studio, R - shop_
_*Max 30 latest transactions_
www.trydatabot.com</t>
  </si>
  <si>
    <t>1007345, *MARKET</t>
  </si>
  <si>
    <t>*MARKET*
*SNAPSHOT*
*ATTAREEN RESIDENCES*
_Area: Downtown_
_Type: 3 bedroom apartment_
*Price dynamics, Dirham/sq.ft.*
_(M - median value)_
```2853|                    * ```
```    |                      ```
```    |                      ```
```    |                      ```
```    |                      ```
```2825|---------------------M```
```    |                      ```
```    |                      ```
```    |                      ```
```    |                      ```
```2797|                     *```
```____|______________________```
```    |Jan2024        Mar2024```
_Source: see table below_
*Latest sales transactions*
```Date   Price  BUA Type P/sf```
```------------2024-----------```
```25Mar  10.7M 3826 XXXX 2797```
```16Jan 10.92M 3826 XXXX 2853```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</si>
  <si>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1007381, *SALES*</t>
  </si>
  <si>
    <t>*SALES*
*TRANSACTIONS**
*ATTAREEN RESIDENCES*
_Area: Downtown_
_All types/bedrooms_
```Date    Price   BUA  Type B```
```------------2025-----------```
```18Nov     10M  3794  XXXX 2```
```15Sep  6.091M  3909  XXXX 2```
```12Sep    5.3M  1743  XXXX 2```
```09Sep   5.55M  3909  XXXX 2```
```28Aug   4.17M  2591  XXXX 2```
```28Aug   3.75M  1849  XXXX 2```
```20Aug   5.35M  2210  XXXX 2```
```05Aug  5.061M  3169  XXXX 2```
```30Jul    4.5M  2055  XXXX 2```
```30Jul    3.5M  1745  XXXX 2```
```13May    3.6M  1545  XXXX 1```
```17Apr    3.6M  2055  XXXX 2```
```24Mar      2M   994  XXXX 1```
```14Mar  3.878M  2210  XXXX 2```
```05Feb    4.2M  1927  XXXX 2```
```13Jan   2.95M  1048  XXXX 1```
```------------2024-----------```
```04Nov    3.7M  1739  XXXX 2```
```23Oct  3.425M  1851  XXXX 2```
```23Aug   3.15M   991  XXXX 1```
```24Apr  3.375M  1738  XXXX 2```
```25Mar   10.7M  3826  XXXX 3```
```21Mar  2.468M  1179  XX10 1```
```05Feb   9.98M  3750  XX32 2```
```29Jan  2.585M  1248  XX11 1```
```16Jan  10.92M  3826  XXXX 3```
```------------2023-----------```
```30Nov    3.6M  2101  XX16 2```
```22Nov   4.85M  2028  XX09 2```
```05Sep   1.95M  1064  XX13 1```
```18Jul   3.38M  1545  XXXX 1```
```13Jul   7.25M  3794  XXXX 2```
_Source: DLD, Databot_
_BUA - built-up area, sq.ft._
_P/sf - price per sq.ft._
_B - bedrooms; O - office_
_M - million, K- thousand_
_S - studio, R - shop_
_*Max 30 latest transactions_
www.trydatabot.com</t>
  </si>
  <si>
    <t>1007382, Attareen, Atareen, Attaren, *BUILDI</t>
  </si>
  <si>
    <t xml:space="preserve">*BUILDING*
*PROFILE*
*ATTAREEN RESIDENCES*
_Area: Downtown_
_Tap&amp;hold to copy a reply_
```-------------------------```
```Report              Reply```
```-------------------------```
*1 B/R*
```Sales, ROI        1007336```
```Price chart       1007337```
```Rentals               n/a```
*2 B/R*
```Sales, ROI        1007340```
```Price chart       1007341```
```Rentals               n/a```
*3 B/R*
```Sales, ROI        1007344```
```Price chart       1007345```
```Rentals               n/a```
*All types/bedrooms*
```Sales, ROI        1007381```
```Rentals               n/a```
</t>
  </si>
  <si>
    <t>1007404, *SALES*</t>
  </si>
  <si>
    <t>*SALES*
*TRANSACTIONS (RESALE)**
*BACCARAT RESIDENCE T1*
_Area: Downtown_
_Type: 2 bedroom apartment_
```Date   Price  BUA Type P/sf```
```------------2025-----------```
```05May 23.38M 2031 XX03  12K```
```22Apr  15.1M 2031 XX03 7435```
```31Mar 18.87M 2031 XX03 9289```
```04Mar  15.6M 2031 XX03 7681```
```------------2024-----------```
```13Dec 18.98M 2679 XX02 7086```
```31Oct  18.5M 2680 XX02 6903```
```21Oct 20.72M 2031 XX03  10K```
```04Jul 16.85M 2679 XX02 6290```
```27Jun 19.88M 2679 XXXX 7422```
_Source: DLD, Databot_
_BUA - built-up area, sq.ft._
_P/sf - price per sq.ft._
_B - bedrooms; O - office_
_M - million, K- thousand_
_S - studio, R - shop_
_*Max 30 latest transactions_
www.trydatabot.com</t>
  </si>
  <si>
    <t>Baccarat Residence T1</t>
  </si>
  <si>
    <t>1007405, *MARKET</t>
  </si>
  <si>
    <t>*MARKET*
*SNAPSHOT*
*BACCARAT RESIDENCE T1*
_Area: Downtown_
_Type: 2 bedroom apartment_
*Price dynamics, Dirham/sq.ft.*
_(M - median value)_
```11512|                     *```
```    |                      ```
```    |                      ```
```    |               *      ```
```    |                   *  ```
```    |                      ```
```    |                      ```
```    |                  *   ```
```7435|---------------------M```
```    |             *  **  * ```
```6290|              *       ```
```____|______________________```
```    |Jun2024        May2025```
_Source: see table below_
*Latest sales transactions*
```Date   Price  BUA Type P/sf```
```------------2025-----------```
```05May 23.38M 2031 XX03  12K```
```22Apr  15.1M 2031 XX03 7435```
```31Mar 18.87M 2031 XX03 9289```
```04Mar  15.6M 2031 XX03 7681```
```------------2024-----------```
```13Dec 18.98M 2679 XX02 7086```
```31Oct  18.5M 2680 XX02 6903```
```21Oct 20.72M 2031 XX03  10K```
```04Jul 16.85M 2679 XX02 6290```
```27Jun 19.88M 2679 XXXX 7422```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</si>
  <si>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1007407, *RESELL</t>
  </si>
  <si>
    <t>*RESELL*
*VS PRIMARY*
*BACCARAT RESIDENCE T1*
_Area: Downtown_
_Type: 2 bedroom apartment_
*Price dynamics, Dirham/sq.ft.*
_(x - primary; * - resell)_
```11512|                     *```
```    |                      ```
```    |               *      ```
```    |                      ```
```9216|        x          *  ```
```    |                      ```
```    |          x           ```
```    |             *    * * ```
```    |                **    ```
```5769|         x    *       ```
```____|______________________```
```    |Dec1899        May2025```
_Source: see a table below_
*Latest resell transactions*
```Date   Price  BUA Type P/sf```
```------------2025-----------```
```05May 23.38M 2031 XX03  12K```
```22Apr  15.1M 2031 XX03 7435```
```31Mar 18.87M 2031 XX03 9289```
```04Mar  15.6M 2031 XX03 7681```
```------------2024-----------```
```13Dec 18.98M 2679 XX02 7086```
```31Oct  18.5M 2680 XX02 6903```
```21Oct 20.72M 2031 XX03  10K```
```04Jul 16.85M 2679 XX02 6290```
```27Jun 19.88M 2679 XXXX 7422```
*Latest primary transactions*
```------------2025-----------```
```04Mar 16.19M 2031 XX03 7972```
```------------2024-----------```
```24Sep 15.46M 2680 XX02 5769```
```08Jul 18.62M 2031 XX03 9166```
_Source: DLD, Databot_
_BUA - built-up area, sq.ft._
_P/sf - price per sq.ft._
_B - bedrooms; O - office_
_M - million, K- thousand_
_S - studio, R - shop_
www.trydatabot.com</t>
  </si>
  <si>
    <t>1007408, *SALES*</t>
  </si>
  <si>
    <t>*SALES*
*TRANSACTIONS (RESALE)**
*BACCARAT RESIDENCE T1*
_Area: Downtown_
_Type: 3 bedroom apartment_
```Date   Price  BUA Type P/sf```
```------------2025-----------```
```29Jul  27.5M 3793 XX02 7250```
```16Jul 27.88M 3794 XX02 7349```
```21May  30.8M 4215 XX01 7306```
```11Feb    27M 3793 XXXX 7118```
```------------2024-----------```
```19Jul 33.15M 4208 XX01 7879```
```04Jul 33.65M 4210 XX01 7992```
```04Jul 32.21M 4211 XX01 7650```
_Source: DLD, Databot_
_BUA - built-up area, sq.ft._
_P/sf - price per sq.ft._
_B - bedrooms; O - office_
_M - million, K- thousand_
_S - studio, R - shop_
_*Max 30 latest transactions_
www.trydatabot.com</t>
  </si>
  <si>
    <t>1007409, *MARKET</t>
  </si>
  <si>
    <t>*MARKET*
*SNAPSHOT*
*BACCARAT RESIDENCE T1*
_Area: Downtown_
_Type: 3 bedroom apartment_
*Price dynamics, Dirham/sq.ft.*
_(M - median value)_
```7992|                *     ```
```    |                 *    ```
```    |                      ```
```    |                      ```
```    |               *      ```
```    |                      ```
```    |                      ```
```7349|---------------------M```
```    |                    * ```
```    |                   * *```
```7118|                  *   ```
```____|______________________```
```    |Jul2024        Jul2025```
_Source: see table below_
*Latest sales transactions*
```Date   Price  BUA Type P/sf```
```------------2025-----------```
```29Jul  27.5M 3793 XX02 7250```
```16Jul 27.88M 3794 XX02 7349```
```21May  30.8M 4215 XX01 7306```
```11Feb    27M 3793 XXXX 7118```
```------------2024-----------```
```19Jul 33.15M 4208 XX01 7879```
```04Jul 33.65M 4210 XX01 7992```
```04Jul 32.21M 4211 XX01 7650```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</si>
  <si>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1007411, *RESELL</t>
  </si>
  <si>
    <t>*RESELL*
*VS PRIMARY*
*BACCARAT RESIDENCE T1*
_Area: Downtown_
_Type: 3 bedroom apartment_
*Price dynamics, Dirham/sq.ft.*
_(x - primary; * - resell)_
```8189|   x x                ```
```    |                *     ```
```    |                 *    ```
```    | x  x          *      ```
```7497|                      ```
```    |  x                ***```
```    |      x           *   ```
```    |        x             ```
```    |          x           ```
```6462|       x x            ```
```____|______________________```
```    |Dec1899        Jul2025```
_Source: see a table below_
*Latest resell transactions*
```Date   Price  BUA Type P/sf```
```------------2025-----------```
```29Jul  27.5M 3793 XX02 7250```
```16Jul 27.88M 3794 XX02 7349```
```21May  30.8M 4215 XX01 7306```
```11Feb    27M 3793 XXXX 7118```
```------------2024-----------```
```19Jul 33.15M 4208 XX01 7879```
```04Jul 33.65M 4210 XX01 7992```
```04Jul 32.21M 4211 XX01 7650```
*Latest primary transactions*
```------------2025-----------```
```15May 25.91M 3793 XX02 6831```
```12Mar 24.97M 3793 XX02 6583```
```03Mar 26.78M 3793 XX02 7060```
```11Feb 24.51M 3793 XX02 6462```
```10Feb 27.38M 3793 XXXX 7218```
```21Jan 31.06M 3793 XX02 8189```
```------------2024-----------```
```02Oct 32.34M 4212 XX01 7677```
```20Sep 34.29M 4208 XX01 8150```
```08Jul 27.64M 3793 XX02 7288```
```24Jun 32.34M 4214 XX01 7674```
_Source: DLD, Databot_
_BUA - built-up area, sq.ft._
_P/sf - price per sq.ft._
_B - bedrooms; O - office_
_M - million, K- thousand_
_S - studio, R - shop_
www.trydatabot.com</t>
  </si>
  <si>
    <t>1007412, *SALES*</t>
  </si>
  <si>
    <t>*SALES*
*TRANSACTIONS**
*BACCARAT RESIDENCE T1*
_Area: Downtown_
_Type: 4 bedroom apartment_
```Date   Price  BUA Type P/sf```
```------------2024-----------```
```21Oct 39.55M 5247 XX01 7537```
```19Jul 50.57M 5248 XX01 9636```
```04Jul 42.33M 5247 XX01 8068```
```04Jul 43.46M 5247 XX01 8282```
_Source: DLD, Databot_
_BUA - built-up area, sq.ft._
_P/sf - price per sq.ft._
_B - bedrooms; O - office_
_M - million, K- thousand_
_S - studio, R - shop_
_*Max 30 latest transactions_
www.trydatabot.com</t>
  </si>
  <si>
    <t>1007413, *MARKET</t>
  </si>
  <si>
    <t>*MARKET*
*SNAPSHOT*
*BACCARAT RESIDENCE T1*
_Area: Downtown_
_Type: 4 bedroom apartment_
*Price dynamics, Dirham/sq.ft.*
_(M - median value)_
```9636|                    * ```
```    |                      ```
```    |                      ```
```    |                      ```
```    |                      ```
```    |                      ```
```    |                  *   ```
```8175|---------------------M```
```    |                   *  ```
```    |                      ```
```7537|                     *```
```____|______________________```
```    |Jul2024        Oct2024```
_Source: see table below_
*Latest sales transactions*
```Date   Price  BUA Type P/sf```
```------------2024-----------```
```21Oct 39.55M 5247 XX01 7537```
```19Jul 50.57M 5248 XX01 9636```
```04Jul 42.33M 5247 XX01 8068```
```04Jul 43.46M 5247 XX01 8282```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</si>
  <si>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1007445, *SALES*</t>
  </si>
  <si>
    <t>*SALES*
*TRANSACTIONS (RESALE)**
*BACCARAT RESIDENCE T1*
_Area: Downtown_
_All types/bedrooms_
```Date    Price   BUA  Type B```
```------------2025-----------```
```29Jul   27.5M  3793  XX02 3```
```16Jul  27.88M  3794  XX02 3```
```21May   30.8M  4215  XX01 3```
```05May  23.38M  2031  XX03 2```
```22Apr   15.1M  2031  XX03 2```
```31Mar  18.87M  2031  XX03 2```
```04Mar   15.6M  2031  XX03 2```
```11Feb     27M  3793  XXXX 3```
```------------2024-----------```
```13Dec  18.98M  2679  XX02 2```
```31Oct   18.5M  2680  XX02 2```
```21Oct  39.55M  5247  XX01 4```
```21Oct  20.72M  2031  XX03 2```
```19Jul  50.57M  5248  XX01 4```
```19Jul  33.15M  4208  XX01 3```
```04Jul  42.33M  5247  XX01 4```
```04Jul  43.46M  5247  XX01 4```
```04Jul  33.65M  4210  XX01 3```
```04Jul  32.21M  4211  XX01 3```
```04Jul  16.85M  2679  XX02 2```
```27Jun  19.88M  2679  XXXX 2```
_Source: DLD, Databot_
_BUA - built-up area, sq.ft._
_P/sf - price per sq.ft._
_B - bedrooms; O - office_
_M - million, K- thousand_
_S - studio, R - shop_
_*Max 30 latest transactions_
www.trydatabot.com</t>
  </si>
  <si>
    <t>1007446, by code, Baccarat 1, *BUILDI</t>
  </si>
  <si>
    <t xml:space="preserve">*BUILDING*
*PROFILE*
*BACCARAT RESIDENCE T1*
_Area: Downtown_
_Tap&amp;hold to copy a reply_
```-------------------------```
```Report              Reply```
```-------------------------```
*2 B/R*
```Resell, ROI       1007404```
```Primary sales     1007449```
```Price chart       1007405```
```Rentals               n/a```
```Appreciation      1007407```
*3 B/R*
```Resell, ROI       1007408```
```Primary sales     1007450```
```Price chart       1007409```
```Rentals               n/a```
```Appreciation      1007411```
*4 B/R*
```Sales, ROI        1007412```
```Price chart       1007413```
```Rentals               n/a```
*All types/bedrooms*
```Resell, ROI       1007445```
```Primary sales     1007459```
```Rentals               n/a```
</t>
  </si>
  <si>
    <t>1007449, *SALES*</t>
  </si>
  <si>
    <t>*SALES*
*TRANSACTIONS (PRIMARY)**
*BACCARAT RESIDENCE T1*
_Area: Downtown_
_Type: 2 bedroom apartment_
```Date   Price  BUA Type P/sf```
```------------2025-----------```
```04Mar 16.19M 2031 XX03 7972```
```------------2024-----------```
```24Sep 15.46M 2680 XX02 5769```
```08Jul 18.62M 2031 XX03 9166```
_Source: DLD, Databot_
_BUA - built-up area, sq.ft._
_P/sf - price per sq.ft._
_B - bedrooms; O - office_
_M - million, K- thousand_
_S - studio, R - shop_
_*Max 20 latest transactions_
www.trydatabot.com</t>
  </si>
  <si>
    <t>1007450, *SALES*</t>
  </si>
  <si>
    <t>*SALES*
*TRANSACTIONS (PRIMARY)**
*BACCARAT RESIDENCE T1*
_Area: Downtown_
_Type: 3 bedroom apartment_
```Date   Price  BUA Type P/sf```
```------------2025-----------```
```15May 25.91M 3793 XX02 6831```
```12Mar 24.97M 3793 XX02 6583```
```03Mar 26.78M 3793 XX02 7060```
```11Feb 24.51M 3793 XX02 6462```
```10Feb 27.38M 3793 XXXX 7218```
```21Jan 31.06M 3793 XX02 8189```
```------------2024-----------```
```02Oct 32.34M 4212 XX01 7677```
```20Sep 34.29M 4208 XX01 8150```
```08Jul 27.64M 3793 XX02 7288```
```24Jun 32.34M 4214 XX01 7674```
_Source: DLD, Databot_
_BUA - built-up area, sq.ft._
_P/sf - price per sq.ft._
_B - bedrooms; O - office_
_M - million, K- thousand_
_S - studio, R - shop_
_*Max 20 latest transactions_
www.trydatabot.com</t>
  </si>
  <si>
    <t>1007459, *SALES*</t>
  </si>
  <si>
    <t>*SALES*
*TRANSACTIONS (PRIMARY)**
*BACCARAT RESIDENCE T1*
_Area: Downtown_
_All types/bedrooms_
```Date    Price   BUA  Type B```
```------------2025-----------```
```15May  25.91M  3793  XX02 3```
```12Mar  24.97M  3793  XX02 3```
```04Mar  16.19M  2031  XX03 2```
```03Mar  26.78M  3793  XX02 3```
```11Feb  24.51M  3793  XX02 3```
```10Feb  27.38M  3793  XXXX 3```
```21Jan  31.06M  3793  XX02 3```
```------------2024-----------```
```02Oct  32.34M  4212  XX01 3```
```24Sep  15.46M  2680  XX02 2```
```20Sep  34.29M  4208  XX01 3```
```08Jul  18.62M  2031  XX03 2```
```08Jul  27.64M  3793  XX02 3```
```24Jun  32.34M  4214  XX01 3```
_Source: DLD, Databot_
_BUA - built-up area, sq.ft._
_P/sf - price per sq.ft._
_B - bedrooms; O - office_
_M - million, K- thousand_
_S - studio, R - shop_
_*Max 20 latest transactions_
www.trydatabot.com</t>
  </si>
  <si>
    <t>1007472, *SALES*</t>
  </si>
  <si>
    <t>*SALES*
*TRANSACTIONS (RESALE)**
*BACCARAT RESIDENCE T2*
_Area: Downtown_
_Type: 3 bedroom apartment_
```Date   Price  BUA Type P/sf```
```------------2026-----------```
```07Jan 21.61M 4191 XX02 5156```
```05Jan    20M 4479 XX01 4465```
```------------2025-----------```
```03Oct    20M 4429 XX01 4516```
```27May    22M 4353 XX01 5054```
```11Feb  22.5M 3830 XX01 5875```
```------------2024-----------```
```29Nov 21.95M 4137 XXXX 5307```
_Source: DLD, Databot_
_BUA - built-up area, sq.ft._
_P/sf - price per sq.ft._
_B - bedrooms; O - office_
_M - million, K- thousand_
_S - studio, R - shop_
_*Max 30 latest transactions_
www.trydatabot.com</t>
  </si>
  <si>
    <t>Baccarat Residence T2</t>
  </si>
  <si>
    <t>1007473, *MARKET</t>
  </si>
  <si>
    <t>*MARKET*
*SNAPSHOT*
*BACCARAT RESIDENCE T2*
_Area: Downtown_
_Type: 3 bedroom apartment_
*Price dynamics, Dirham/sq.ft.*
_(M - median value)_
```5875|                 *    ```
```    |                      ```
```    |                      ```
```    |                      ```
```    |                *     ```
```5105|---------------------M```
```    |                     *```
```    |                  *   ```
```    |                      ```
```    |                      ```
```4465|                   ** ```
```____|______________________```
```    |Nov2024        Jan2026```
_Source: see table below_
*Latest sales transactions*
```Date   Price  BUA Type P/sf```
```------------2026-----------```
```07Jan 21.61M 4191 XX02 5156```
```05Jan    20M 4479 XX01 4465```
```------------2025-----------```
```03Oct    20M 4429 XX01 4516```
```27May    22M 4353 XX01 5054```
```11Feb  22.5M 3830 XX01 5875```
```------------2024-----------```
```29Nov 21.95M 4137 XXXX 5307```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</si>
  <si>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1007475, *RESELL</t>
  </si>
  <si>
    <t>*RESELL*
*VS PRIMARY*
*BACCARAT RESIDENCE T2*
_Area: Downtown_
_Type: 3 bedroom apartment_
*Price dynamics, Dirham/sq.ft.*
_(x - primary; * - resell)_
```6257|     x                ```
```    | x                    ```
```    |         x       *    ```
```    |  x                   ```
```5541|x  xx                 ```
```    |        x       *     ```
```    |      x   x          *```
```    |       x          *   ```
```    |                      ```
```4465|                   ** ```
```____|______________________```
```    |Dec1899        Jan2026```
_Source: see a table below_
*Latest resell transactions*
```Date   Price  BUA Type P/sf```
```------------2026-----------```
```07Jan 21.61M 4191 XX02 5156```
```05Jan    20M 4479 XX01 4465```
```------------2025-----------```
```03Oct    20M 4429 XX01 4516```
```27May    22M 4353 XX01 5054```
```11Feb  22.5M 3830 XX01 5875```
```------------2024-----------```
```29Nov 21.95M 4137 XXXX 5307```
*Latest primary transactions*
```------------2025-----------```
```06Oct  22.5M 4324 XX01 5203```
```03Oct  24.2M 4118 XX02 5875```
```27May 23.41M 4294 XX02 5451```
```24Apr 21.91M 4390 XX01 4992```
```10Mar 22.66M 4298 XX01 5272```
```28Feb 26.84M 4290 XX02 6257```
```13Feb 23.21M 4140 XX01 5606```
```12Feb 22.63M 4141 XX01 5464```
```10Feb 23.87M 4145 XX01 5758```
```21Jan 23.64M 3894 XX01 6072```
```21Jan 22.72M 4140 XXXX 5487```
```21Jan 24.02M 4140 XXXX 5802```
```21Jan 23.18M 3840 XX01 6038```
```21Jan 25.26M 4309 XX02 5863```
```------------2024-----------```
_Source: DLD, Databot_
_BUA - built-up area, sq.ft._
_P/sf - price per sq.ft._
_B - bedrooms; O - office_
_M - million, K- thousand_
_S - studio, R - shop_
www.trydatabot.com</t>
  </si>
  <si>
    <t>1007476, *SALES*</t>
  </si>
  <si>
    <t>*SALES*
*TRANSACTIONS**
*BACCARAT RESIDENCE T2*
_Area: Downtown_
_Type: 4 bedroom apartment_
```Date   Price  BUA Type P/sf```
```------------2026-----------```
```05Jan 27.79M 4801 XX02 5789```
```------------2025-----------```
```17Nov 27.57M 5000 XX02 5514```
```05Nov 28.31M 4890 XX02 5789```
```28Jul 29.39M 5105 XX02 5757```
```------------2024-----------```
```20Nov 58.72M 9657 XX01 6080```
_Source: DLD, Databot_
_BUA - built-up area, sq.ft._
_P/sf - price per sq.ft._
_B - bedrooms; O - office_
_M - million, K- thousand_
_S - studio, R - shop_
_*Max 30 latest transactions_
www.trydatabot.com</t>
  </si>
  <si>
    <t>1007477, *MARKET</t>
  </si>
  <si>
    <t>*MARKET*
*SNAPSHOT*
*BACCARAT RESIDENCE T2*
_Area: Downtown_
_Type: 4 bedroom apartment_
*Price dynamics, Dirham/sq.ft.*
_(M - median value)_
```6080|                 *    ```
```    |                      ```
```    |                      ```
```    |                      ```
```    |                      ```
```5789|---------------------M```
```    |                   * *```
```    |                  *   ```
```    |                      ```
```    |                      ```
```5514|                    * ```
```____|______________________```
```    |Nov2024        Jan2026```
_Source: see table below_
*Latest sales transactions*
```Date   Price  BUA Type P/sf```
```------------2026-----------```
```05Jan 27.79M 4801 XX02 5789```
```------------2025-----------```
```17Nov 27.57M 5000 XX02 5514```
```05Nov 28.31M 4890 XX02 5789```
```28Jul 29.39M 5105 XX02 5757```
```------------2024-----------```
```20Nov 58.72M 9657 XX01 6080```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</si>
  <si>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1007509, *SALES*</t>
  </si>
  <si>
    <t>*SALES*
*TRANSACTIONS (RESALE)**
*BACCARAT RESIDENCE T2*
_Area: Downtown_
_All types/bedrooms_
```Date    Price   BUA  Type B```
```------------2026-----------```
```07Jan  21.61M  4191  XX02 3```
```05Jan     20M  4479  XX01 3```
```05Jan  27.79M  4801  XX02 4```
```------------2025-----------```
```17Nov  27.57M  5000  XX02 4```
```05Nov  28.31M  4890  XX02 4```
```03Oct     20M  4429  XX01 3```
```28Jul  29.39M  5105  XX02 4```
```27May     22M  4353  XX01 3```
```11Feb   22.5M  3830  XX01 3```
```------------2024-----------```
```29Nov  21.95M  4137  XXXX 3```
```20Nov  58.72M  9657  XX01 4```
_Source: DLD, Databot_
_BUA - built-up area, sq.ft._
_P/sf - price per sq.ft._
_B - bedrooms; O - office_
_M - million, K- thousand_
_S - studio, R - shop_
_*Max 30 latest transactions_
www.trydatabot.com</t>
  </si>
  <si>
    <t>1007510, by code, Baccarat 2, *BUILDI</t>
  </si>
  <si>
    <t xml:space="preserve">*BUILDING*
*PROFILE*
*BACCARAT RESIDENCE T2*
_Area: Downtown_
_Tap&amp;hold to copy a reply_
```-------------------------```
```Report              Reply```
```-------------------------```
*3 B/R*
```Resell, ROI       1007472```
```Primary sales     1007514```
```Price chart       1007473```
```Rentals               n/a```
```Appreciation      1007475```
*4 B/R*
```Sales, ROI        1007476```
```Price chart       1007477```
```Rentals               n/a```
*All types/bedrooms*
```Resell, ROI       1007509```
```Primary sales     1007523```
```Rentals               n/a```
</t>
  </si>
  <si>
    <t>1007514, *SALES*</t>
  </si>
  <si>
    <t>*SALES*
*TRANSACTIONS (PRIMARY)**
*BACCARAT RESIDENCE T2*
_Area: Downtown_
_Type: 3 bedroom apartment_
```Date   Price  BUA Type P/sf```
```------------2025-----------```
```06Oct  22.5M 4324 XX01 5203```
```03Oct  24.2M 4118 XX02 5875```
```27May 23.41M 4294 XX02 5451```
```24Apr 21.91M 4390 XX01 4992```
```10Mar 22.66M 4298 XX01 5272```
```28Feb 26.84M 4290 XX02 6257```
```13Feb 23.21M 4140 XX01 5606```
```12Feb 22.63M 4141 XX01 5464```
```10Feb 23.87M 4145 XX01 5758```
```21Jan 23.64M 3894 XX01 6072```
```21Jan 22.72M 4140 XXXX 5487```
```21Jan 24.02M 4140 XXXX 5802```
```21Jan 23.18M 3840 XX01 6038```
```21Jan 25.26M 4309 XX02 5863```
```------------2024-----------```
```23Dec 22.42M 4148 XX01 5405```
```23Dec 21.28M 3865 XX01 5507```
```23Dec 23.89M 4354 XX02 5487```
```26Nov    25M 4315 XX02 5794```
```26Nov  23.6M 4301 XX02 5488```
_Source: DLD, Databot_
_BUA - built-up area, sq.ft._
_P/sf - price per sq.ft._
_B - bedrooms; O - office_
_M - million, K- thousand_
_S - studio, R - shop_
_*Max 20 latest transactions_
www.trydatabot.com</t>
  </si>
  <si>
    <t>1007523, *SALES*</t>
  </si>
  <si>
    <t>*SALES*
*TRANSACTIONS (PRIMARY)**
*BACCARAT RESIDENCE T2*
_Area: Downtown_
_All types/bedrooms_
```Date    Price   BUA  Type B```
```------------2025-----------```
```06Oct   22.5M  4324  XX01 3```
```03Oct   24.2M  4118  XX02 3```
```27May  23.41M  4294  XX02 3```
```24Apr  21.91M  4390  XX01 3```
```10Mar  22.66M  4298  XX01 3```
```28Feb  26.84M  4290  XX02 3```
```13Feb  23.21M  4140  XX01 3```
```12Feb  22.63M  4141  XX01 3```
```10Feb  23.87M  4145  XX01 3```
```21Jan  23.64M  3894  XX01 3```
```21Jan  22.72M  4140  XXXX 3```
```21Jan  24.02M  4140  XXXX 3```
```21Jan  23.18M  3840  XX01 3```
```21Jan  25.26M  4309  XX02 3```
```------------2024-----------```
```23Dec  22.42M  4148  XX01 3```
```23Dec  21.28M  3865  XX01 3```
```23Dec  23.89M  4354  XX02 3```
```26Nov     25M  4315  XX02 3```
```26Nov   23.6M  4301  XX02 3```
_Source: DLD, Databot_
_BUA - built-up area, sq.ft._
_P/sf - price per sq.ft._
_B - bedrooms; O - office_
_M - million, K- thousand_
_S - studio, R - shop_
_*Max 20 latest transactions_
www.trydatabot.com</t>
  </si>
  <si>
    <t>1007532, *SALES*</t>
  </si>
  <si>
    <t>*SALES*
*TRANSACTIONS (RESALE)**
*BACCARAT RESIDENCE T1+T2*
_Area: Downtown_
_Type: 2 bedroom apartment_
```Date   Price  BUA Type P/sf```
```------------2025-----------```
```05May 23.38M 2031 XX03  12K```
```22Apr  15.1M 2031 XX03 7435```
```31Mar 18.87M 2031 XX03 9289```
```04Mar  15.6M 2031 XX03 7681```
```------------2024-----------```
```13Dec 18.98M 2679 XX02 7086```
```31Oct  18.5M 2680 XX02 6903```
```21Oct 20.72M 2031 XX03  10K```
```04Jul 16.85M 2679 XX02 6290```
```27Jun 19.88M 2679 XXXX 7422```
_Source: DLD, Databot_
_BUA - built-up area, sq.ft._
_P/sf - price per sq.ft._
_B - bedrooms; O - office_
_M - million, K- thousand_
_S - studio, R - shop_
_*Max 30 latest transactions_
www.trydatabot.com</t>
  </si>
  <si>
    <t>Baccarat Residence T1+T2</t>
  </si>
  <si>
    <t>1007533, *MARKET</t>
  </si>
  <si>
    <t>*MARKET*
*SNAPSHOT*
*BACCARAT RESIDENCE T1+T2*
_Area: Downtown_
_Type: 2 bedroom apartment_
*Price dynamics, Dirham/sq.ft.*
_(M - median value)_
```11512|                     *```
```    |                      ```
```    |                      ```
```    |               *      ```
```    |                   *  ```
```    |                      ```
```    |                      ```
```    |                  *   ```
```7435|---------------------M```
```    |             *  **  * ```
```6290|              *       ```
```____|______________________```
```    |Jun2024        May2025```
_Source: see table below_
*Latest sales transactions*
```Date   Price  BUA Type P/sf```
```------------2025-----------```
```05May 23.38M 2031 XX03  12K```
```22Apr  15.1M 2031 XX03 7435```
```31Mar 18.87M 2031 XX03 9289```
```04Mar  15.6M 2031 XX03 7681```
```------------2024-----------```
```13Dec 18.98M 2679 XX02 7086```
```31Oct  18.5M 2680 XX02 6903```
```21Oct 20.72M 2031 XX03  10K```
```04Jul 16.85M 2679 XX02 6290```
```27Jun 19.88M 2679 XXXX 7422```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</si>
  <si>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1007535, *RESELL</t>
  </si>
  <si>
    <t>*RESELL*
*VS PRIMARY*
*BACCARAT RESIDENCE T1+T2*
_Area: Downtown_
_Type: 2 bedroom apartment_
*Price dynamics, Dirham/sq.ft.*
_(x - primary; * - resell)_
```11512|                     *```
```    |                      ```
```    |               *      ```
```    |                      ```
```9216|        x          *  ```
```    |                      ```
```    |          x           ```
```    |             *    * * ```
```    |                **    ```
```5769|         x    *       ```
```____|______________________```
```    |Dec1899        May2025```
_Source: see a table below_
*Latest resell transactions*
```Date   Price  BUA Type P/sf```
```------------2025-----------```
```05May 23.38M 2031 XX03  12K```
```22Apr  15.1M 2031 XX03 7435```
```31Mar 18.87M 2031 XX03 9289```
```04Mar  15.6M 2031 XX03 7681```
```------------2024-----------```
```13Dec 18.98M 2679 XX02 7086```
```31Oct  18.5M 2680 XX02 6903```
```21Oct 20.72M 2031 XX03  10K```
```04Jul 16.85M 2679 XX02 6290```
```27Jun 19.88M 2679 XXXX 7422```
*Latest primary transactions*
```------------2025-----------```
```04Mar 16.19M 2031 XX03 7972```
```------------2024-----------```
```24Sep 15.46M 2680 XX02 5769```
```08Jul 18.62M 2031 XX03 9166```
_Source: DLD, Databot_
_BUA - built-up area, sq.ft._
_P/sf - price per sq.ft._
_B - bedrooms; O - office_
_M - million, K- thousand_
_S - studio, R - shop_
www.trydatabot.com</t>
  </si>
  <si>
    <t>1007536, *SALES*</t>
  </si>
  <si>
    <t>*SALES*
*TRANSACTIONS (RESALE)**
*BACCARAT RESIDENCE T1+T2*
_Area: Downtown_
_Type: 3 bedroom apartment_
```Date   Price  BUA Type P/sf```
```------------2026-----------```
```07Jan 21.61M 4191 XX02 5156```
```05Jan    20M 4479 XX01 4465```
```------------2025-----------```
```03Oct    20M 4429 XX01 4516```
```29Jul  27.5M 3793 XX02 7250```
```16Jul 27.88M 3794 XX02 7349```
```27May    22M 4353 XX01 5054```
```21May  30.8M 4215 XX01 7306```
```11Feb  22.5M 3830 XX01 5875```
```11Feb    27M 3793 XXXX 7118```
```------------2024-----------```
```29Nov 21.95M 4137 XXXX 5307```
```19Jul 33.15M 4208 XX01 7879```
```04Jul 33.65M 4210 XX01 7992```
```04Jul 32.21M 4211 XX01 7650```
_Source: DLD, Databot_
_BUA - built-up area, sq.ft._
_P/sf - price per sq.ft._
_B - bedrooms; O - office_
_M - million, K- thousand_
_S - studio, R - shop_
_*Max 30 latest transactions_
www.trydatabot.com</t>
  </si>
  <si>
    <t>1007537, *MARKET</t>
  </si>
  <si>
    <t>*MARKET*
*SNAPSHOT*
*BACCARAT RESIDENCE T1+T2*
_Area: Downtown_
_Type: 3 bedroom apartment_
*Price dynamics, Dirham/sq.ft.*
_(M - median value)_
```7992|          **          ```
```    |         *            ```
```7118|---------------------M```
```    |             * * **   ```
```    |                      ```
```    |                      ```
```    |                      ```
```    |              *       ```
```    |                      ```
```    |            *   *    *```
```4465|                   ** ```
```____|______________________```
```    |Jul2024        Jan2026```
_Source: see table below_
*Latest sales transactions*
```Date   Price  BUA Type P/sf```
```------------2026-----------```
```07Jan 21.61M 4191 XX02 5156```
```05Jan    20M 4479 XX01 4465```
```------------2025-----------```
```03Oct    20M 4429 XX01 4516```
```29Jul  27.5M 3793 XX02 7250```
```16Jul 27.88M 3794 XX02 7349```
```27May    22M 4353 XX01 5054```
```21May  30.8M 4215 XX01 7306```
```11Feb  22.5M 3830 XX01 5875```
```11Feb    27M 3793 XXXX 7118```
```------------2024-----------```
```29Nov 21.95M 4137 XXXX 5307```
```19Jul 33.15M 4208 XX01 7879```
```04Jul 33.65M 4210 XX01 7992```
```04Jul 32.21M 4211 XX01 7650```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</si>
  <si>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1007539, *RESELL</t>
  </si>
  <si>
    <t>*RESELL*
*VS PRIMARY*
*BACCARAT RESIDENCE T1+T2*
_Area: Downtown_
_Type: 3 bedroom apartment_
*Price dynamics, Dirham/sq.ft.*
_(x - primary; * - resell)_
```7879|           *          ```
```    |                      ```
```    |   x         * * **   ```
```    |       x              ```
```6515|     x                ```
```    |  x                   ```
```    |         x    *       ```
```    |xx      x             ```
```    |    x x   x *   *    *```
```4465|                   ** ```
```____|______________________```
```    |Jul2024        Jan2026```
_Source: see a table below_
*Latest resell transactions*
```Date   Price  BUA Type P/sf```
```------------2026-----------```
```07Jan 21.61M 4191 XX02 5156```
```05Jan    20M 4479 XX01 4465```
```------------2025-----------```
```03Oct    20M 4429 XX01 4516```
```29Jul  27.5M 3793 XX02 7250```
```16Jul 27.88M 3794 XX02 7349```
```27May    22M 4353 XX01 5054```
```21May  30.8M 4215 XX01 7306```
```11Feb  22.5M 3830 XX01 5875```
```11Feb    27M 3793 XXXX 7118```
```------------2024-----------```
```29Nov 21.95M 4137 XXXX 5307```
```19Jul 33.15M 4208 XX01 7879```
```04Jul 33.65M 4210 XX01 7992```
```04Jul 32.21M 4211 XX01 7650```
*Latest primary transactions*
```------------2025-----------```
```06Oct  22.5M 4324 XX01 5203```
```03Oct  24.2M 4118 XX02 5875```
```27May 23.41M 4294 XX02 5451```
```15May 25.91M 3793 XX02 6831```
```24Apr 21.91M 4390 XX01 4992```
```12Mar 24.97M 3793 XX02 6583```
```10Mar 22.66M 4298 XX01 5272```
```03Mar 26.78M 3793 XX02 7060```
```28Feb 26.84M 4290 XX02 6257```
```13Feb 23.21M 4140 XX01 5606```
```12Feb 22.63M 4141 XX01 5464```
```11Feb 24.51M 3793 XX02 6462```
```10Feb 27.38M 3793 XXXX 7218```
```10Feb 23.87M 4145 XX01 5758```
```21Jan 31.06M 3793 XX02 8189```
_Source: DLD, Databot_
_BUA - built-up area, sq.ft._
_P/sf - price per sq.ft._
_B - bedrooms; O - office_
_M - million, K- thousand_
_S - studio, R - shop_
www.trydatabot.com</t>
  </si>
  <si>
    <t>1007540, *SALES*</t>
  </si>
  <si>
    <t>*SALES*
*TRANSACTIONS**
*BACCARAT RESIDENCE T1+T2*
_Area: Downtown_
_Type: 4 bedroom apartment_
```Date   Price  BUA Type P/sf```
```------------2026-----------```
```05Jan 27.79M 4801 XX02 5789```
```------------2025-----------```
```17Nov 27.57M 5000 XX02 5514```
```05Nov 28.31M 4890 XX02 5789```
```28Jul 29.39M 5105 XX02 5757```
```------------2024-----------```
```20Nov 58.72M 9657 XX01 6080```
```21Oct 39.55M 5247 XX01 7537```
```19Jul 50.57M 5248 XX01 9636```
```04Jul 42.33M 5247 XX01 8068```
```04Jul 43.46M 5247 XX01 8282```
_Source: DLD, Databot_
_BUA - built-up area, sq.ft._
_P/sf - price per sq.ft._
_B - bedrooms; O - office_
_M - million, K- thousand_
_S - studio, R - shop_
_*Max 30 latest transactions_
www.trydatabot.com</t>
  </si>
  <si>
    <t>1007541, *MARKET</t>
  </si>
  <si>
    <t>*MARKET*
*SNAPSHOT*
*BACCARAT RESIDENCE T1+T2*
_Area: Downtown_
_Type: 4 bedroom apartment_
*Price dynamics, Dirham/sq.ft.*
_(M - median value)_
```9636|               *      ```
```    |                      ```
```    |                      ```
```    |             *        ```
```    |              *       ```
```    |                *     ```
```    |                      ```
```    |                      ```
```6080|---------------------M```
```    |                 *    ```
```5514|                  ****```
```____|______________________```
```    |Jul2024        Jan2026```
_Source: see table below_
*Latest sales transactions*
```Date   Price  BUA Type P/sf```
```------------2026-----------```
```05Jan 27.79M 4801 XX02 5789```
```------------2025-----------```
```17Nov 27.57M 5000 XX02 5514```
```05Nov 28.31M 4890 XX02 5789```
```28Jul 29.39M 5105 XX02 5757```
```------------2024-----------```
```20Nov 58.72M 9657 XX01 6080```
```21Oct 39.55M 5247 XX01 7537```
```19Jul 50.57M 5248 XX01 9636```
```04Jul 42.33M 5247 XX01 8068```
```04Jul 43.46M 5247 XX01 8282```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</si>
  <si>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1007573, *SALES*</t>
  </si>
  <si>
    <t>*SALES*
*TRANSACTIONS (RESALE)**
*BACCARAT RESIDENCE T1+T2*
_Area: Downtown_
_All types/bedrooms_
```Date    Price   BUA  Type B```
```------------2026-----------```
```07Jan  21.61M  4191  XX02 3```
```05Jan     20M  4479  XX01 3```
```05Jan  27.79M  4801  XX02 4```
```------------2025-----------```
```17Nov  27.57M  5000  XX02 4```
```05Nov  28.31M  4890  XX02 4```
```03Oct     20M  4429  XX01 3```
```29Jul   27.5M  3793  XX02 3```
```28Jul  29.39M  5105  XX02 4```
```16Jul  27.88M  3794  XX02 3```
```27May     22M  4353  XX01 3```
```21May   30.8M  4215  XX01 3```
```05May  23.38M  2031  XX03 2```
```22Apr   15.1M  2031  XX03 2```
```31Mar  18.87M  2031  XX03 2```
```04Mar   15.6M  2031  XX03 2```
```11Feb   22.5M  3830  XX01 3```
```11Feb     27M  3793  XXXX 3```
```------------2024-----------```
```13Dec  18.98M  2679  XX02 2```
```29Nov  21.95M  4137  XXXX 3```
```20Nov  58.72M  9657  XX01 4```
```31Oct   18.5M  2680  XX02 2```
```21Oct  39.55M  5247  XX01 4```
```21Oct  20.72M  2031  XX03 2```
```19Jul  50.57M  5248  XX01 4```
```19Jul  33.15M  4208  XX01 3```
```04Jul  42.33M  5247  XX01 4```
```04Jul  43.46M  5247  XX01 4```
```04Jul  33.65M  4210  XX01 3```
```04Jul  32.21M  4211  XX01 3```
```04Jul  16.85M  2679  XX02 2```
_Source: DLD, Databot_
_BUA - built-up area, sq.ft._
_P/sf - price per sq.ft._
_B - bedrooms; O - office_
_M - million, K- thousand_
_S - studio, R - shop_
_*Max 30 latest transactions_
www.trydatabot.com</t>
  </si>
  <si>
    <t>1007574, by code, *BUILDI</t>
  </si>
  <si>
    <t xml:space="preserve">*BUILDING*
*PROFILE*
*BACCARAT RESIDENCE T1+T2*
_Area: Downtown_
_Tap&amp;hold to copy a reply_
```-------------------------```
```Report              Reply```
```-------------------------```
*2 B/R*
```Resell, ROI       1007532```
```Primary sales     1007577```
```Price chart       1007533```
```Rentals               n/a```
```Appreciation      1007535```
*3 B/R*
```Resell, ROI       1007536```
```Primary sales     1007578```
```Price chart       1007537```
```Rentals               n/a```
```Appreciation      1007539```
*4 B/R*
```Sales, ROI        1007540```
```Price chart       1007541```
```Rentals               n/a```
*All types/bedrooms*
```Resell, ROI       1007573```
```Primary sales     1007587```
```Rentals               n/a```
</t>
  </si>
  <si>
    <t>1007577, *SALES*</t>
  </si>
  <si>
    <t>*SALES*
*TRANSACTIONS (PRIMARY)**
*BACCARAT RESIDENCE T1+T2*
_Area: Downtown_
_Type: 2 bedroom apartment_
```Date   Price  BUA Type P/sf```
```------------2025-----------```
```04Mar 16.19M 2031 XX03 7972```
```------------2024-----------```
```24Sep 15.46M 2680 XX02 5769```
```08Jul 18.62M 2031 XX03 9166```
_Source: DLD, Databot_
_BUA - built-up area, sq.ft._
_P/sf - price per sq.ft._
_B - bedrooms; O - office_
_M - million, K- thousand_
_S - studio, R - shop_
_*Max 20 latest transactions_
www.trydatabot.com</t>
  </si>
  <si>
    <t>1007578, *SALES*</t>
  </si>
  <si>
    <t>*SALES*
*TRANSACTIONS (PRIMARY)**
*BACCARAT RESIDENCE T1+T2*
_Area: Downtown_
_Type: 3 bedroom apartment_
```Date   Price  BUA Type P/sf```
```------------2025-----------```
```06Oct  22.5M 4324 XX01 5203```
```03Oct  24.2M 4118 XX02 5875```
```27May 23.41M 4294 XX02 5451```
```15May 25.91M 3793 XX02 6831```
```24Apr 21.91M 4390 XX01 4992```
```12Mar 24.97M 3793 XX02 6583```
```10Mar 22.66M 4298 XX01 5272```
```03Mar 26.78M 3793 XX02 7060```
```28Feb 26.84M 4290 XX02 6257```
```13Feb 23.21M 4140 XX01 5606```
```12Feb 22.63M 4141 XX01 5464```
```11Feb 24.51M 3793 XX02 6462```
```10Feb 27.38M 3793 XXXX 7218```
```10Feb 23.87M 4145 XX01 5758```
```21Jan 31.06M 3793 XX02 8189```
```21Jan 23.64M 3894 XX01 6072```
```21Jan 22.72M 4140 XXXX 5487```
```21Jan 24.02M 4140 XXXX 5802```
```21Jan 23.18M 3840 XX01 6038```
```21Jan 25.26M 4309 XX02 5863```
_Source: DLD, Databot_
_BUA - built-up area, sq.ft._
_P/sf - price per sq.ft._
_B - bedrooms; O - office_
_M - million, K- thousand_
_S - studio, R - shop_
_*Max 20 latest transactions_
www.trydatabot.com</t>
  </si>
  <si>
    <t>1007587, *SALES*</t>
  </si>
  <si>
    <t>*SALES*
*TRANSACTIONS (PRIMARY)**
*BACCARAT RESIDENCE T1+T2*
_Area: Downtown_
_All types/bedrooms_
```Date    Price   BUA  Type B```
```------------2025-----------```
```06Oct   22.5M  4324  XX01 3```
```03Oct   24.2M  4118  XX02 3```
```27May  23.41M  4294  XX02 3```
```15May  25.91M  3793  XX02 3```
```24Apr  21.91M  4390  XX01 3```
```12Mar  24.97M  3793  XX02 3```
```10Mar  22.66M  4298  XX01 3```
```04Mar  16.19M  2031  XX03 2```
```03Mar  26.78M  3793  XX02 3```
```28Feb  26.84M  4290  XX02 3```
```13Feb  23.21M  4140  XX01 3```
```12Feb  22.63M  4141  XX01 3```
```11Feb  24.51M  3793  XX02 3```
```10Feb  27.38M  3793  XXXX 3```
```10Feb  23.87M  4145  XX01 3```
```21Jan  31.06M  3793  XX02 3```
```21Jan  23.64M  3894  XX01 3```
```21Jan  22.72M  4140  XXXX 3```
```21Jan  24.02M  4140  XXXX 3```
```21Jan  23.18M  3840  XX01 3```
_Source: DLD, Databot_
_BUA - built-up area, sq.ft._
_P/sf - price per sq.ft._
_B - bedrooms; O - office_
_M - million, K- thousand_
_S - studio, R - shop_
_*Max 20 latest transactions_
www.trydatabot.com</t>
  </si>
  <si>
    <t>1007592, *SALES*</t>
  </si>
  <si>
    <r>
      <rPr/>
      <t xml:space="preserve">*SALES*
*TRANSACTIONS (RESALE)**
*BAHWAN TOWER*
_Area: Downtown_
_Type: 1 bedroom apartment_
_Gross ROI=6.46% (confidence: low)_
_Median annual rent=110K_
```Date   Price  BUA Type P/sf```
```------------2025-----------```
```17Oct  1.75M 1068 XXXX 1639```
```25Sep 1.625M  982 XXXX 1655```
```01Sep 1.675M 1057 XX04 1585```
```01May  1.65M 1057 XX04 1561```
```06Jan  1.85M 1234 XX06 1499```
```------------2024-----------```
```28Oct   1.6M 1057 XX04 1514```
```31Jan  1.58M 1068 XX03 1479```
```------------2023-----------```
```26Oct  1.46M  982 XX05 1487```
```06Sep   1.4M 1068 XX03 1311```
```07Jul   1.4M 1068 XX03 1311```
```------------2021-----------```
```30Sep  1.12M 1057 XX04 1060```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</si>
  <si>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Bahwan Tower</t>
  </si>
  <si>
    <t>1007593, *MARKET</t>
  </si>
  <si>
    <t>*MARKET*
*SNAPSHOT*
*BAHWAN TOWER*
_Area: Downtown_
_Type: 1 bedroom apartment_
*Price dynamics, Dirham/sq.ft.*
_(M - median value)_
```1655|                    **```
```    |                   *  ```
```    |                * *   ```
```1499|---------------------M```
```    |              ** *    ```
```    |                      ```
```    |                      ```
```    |            **        ```
```    |                      ```
```    |                      ```
```1060|           *          ```
```____|______________________```
```    |Sep2021        Oct2025```
_Source: see table below_
*Latest sales transactions*
```Date   Price  BUA Type P/sf```
```------------2025-----------```
```17Oct  1.75M 1068 XXXX 1639```
```25Sep 1.625M  982 XXXX 1655```
```01Sep 1.675M 1057 XX04 1585```
```01May  1.65M 1057 XX04 1561```
```06Jan  1.85M 1234 XX06 1499```
```------------2024-----------```
```28Oct   1.6M 1057 XX04 1514```
```31Jan  1.58M 1068 XX03 1479```
```------------2023-----------```
```26Oct  1.46M  982 XX05 1487```
```06Sep   1.4M 1068 XX03 1311```
```07Jul   1.4M 1068 XX03 1311```
```------------2021-----------```
```30Sep  1.12M 1057 XX04 1060```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</si>
  <si>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1007594, *NEW RE</t>
  </si>
  <si>
    <t>*NEW RENT*
*CONTRACTS**
_(renewals are not included)_
*BAHWAN TOWER*
_Area: Downtown_
_Type: 1 bedroom apartment_
```Date  Price   BUA  Type D/s```
```------------2026-----------```
```07Jan  110K   980  XXXX 112```
```------------2025-----------```
```01Dec  100K  1066  XXXX  94```
```10Nov  126K  1066  XXXX 118```
```17Oct  110K  1066  XXXX 103```
```08Oct   85K  1055  XXXX  81```
```19Aug  110K  1066  XXXX 103```
```05Aug  105K  1055  XXXX 100```
```01Aug   95K   980  XXXX  97```
```01Aug  105K   980  XXXX 107```
```15Jul  108K   980  XXXX 110```
```01Apr  105K  1055  XXXX 100```
```01Feb  115K   980  XXXX 117```
```------------2024-----------```
```28Dec  100K  1044  XXXX  96```
```25Nov  120K  1066  XXXX 113```
```10Nov  125K  1066  XXXX 117```
```30Oct  125K  1055  XXXX 118```
```22Aug  120K  1055  XXXX 114```
```21Aug  111K  1066  XXXX 104```
```01Jul  110K  1066  XXXX 103```
```01Jul  105K  1055  XXXX 100```
_Source: DLD, Databot_
_BUA - built-up area, sq.ft._
_P/sf - price per sq.ft._
_B - bedrooms; O - office_
_M - million, K- thousand_
_S - studio, R - shop_
_*20 latest contracts_
www.trydatabot.com</t>
  </si>
  <si>
    <t>1007595, *RESELL</t>
  </si>
  <si>
    <t>*RESELL*
*VS PRIMARY*
*BAHWAN TOWER*
_Area: Downtown_
_Type: 1 bedroom apartment_
*Price dynamics, Dirham/sq.ft.*
_(x - primary; * - resell)_
```1655|                    **```
```    |                  **  ```
```    |                **    ```
```    |              **      ```
```1399|                      ```
```    |            **        ```
```    |                      ```
```    |                      ```
```    |        x             ```
```1011|xxxxxxxx xx*          ```
```____|______________________```
```    |Sep2021        Oct2025```
_Source: see a table below_
*Latest resell transactions*
```Date   Price  BUA Type P/sf```
```------------2025-----------```
```17Oct  1.75M 1068 XXXX 1639```
```25Sep 1.625M  982 XXXX 1655```
```01Sep 1.675M 1057 XX04 1585```
```01May  1.65M 1057 XX04 1561```
```06Jan  1.85M 1234 XX06 1499```
```------------2024-----------```
```28Oct   1.6M 1057 XX04 1514```
```31Jan  1.58M 1068 XX03 1479```
```------------2023-----------```
```26Oct  1.46M  982 XX05 1487```
```06Sep   1.4M 1068 XX03 1311```
```07Jul   1.4M 1068 XX03 1311```
```------------2021-----------```
```30Sep  1.12M 1057 XX04 1060```
*Latest primary transactions*
```------------2022-----------```
```17Oct  1.26M 1234 XX06 1021```
```10Mar  1.11M 1057 XX04 1050```
```28Feb 1.154M 1049 XX05 1100```
```14Jan 1.021M  982 XX05 1040```
```11Jan 1.021M  982 XX05 1040```
```11Jan 1.021M  982 XX05 1040```
```11Jan 1.021M  982 XX05 1040```
```11Jan 1.021M  982 XX05 1040```
```------------2021-----------```
```26Dec 1.031M  982 XX05 1050```
```30Nov 992.8K  982 XX05 1011```
```24Nov  1.11M 1057 XX04 1050```
```18Nov 1.058M 1057 XX04 1001```
```03Oct 1.068M 1057 XX04 1010```
```05Sep   1.1M 1057 XX04 1041```
_Source: DLD, Databot_
_BUA - built-up area, sq.ft._
_P/sf - price per sq.ft._
_B - bedrooms; O - office_
_M - million, K- thousand_
_S - studio, R - shop_
www.trydatabot.com</t>
  </si>
  <si>
    <t>1007596, *SALES*</t>
  </si>
  <si>
    <r>
      <rPr/>
      <t xml:space="preserve">*SALES*
*TRANSACTIONS (RESALE)**
*BAHWAN TOWER*
_Area: Downtown_
_Type: 2 bedroom apartment_
_Gross ROI=6.4%_
_Median annual rent=160K_
```Date   Price  BUA Type P/sf```
```------------2025-----------```
```11Dec   2.8M 1677 XX09 1670```
```18Sep  2.54M 1509 XXXX 1683```
```20Jun   2.5M 1509 XX02 1657```
```22May  2.45M 1517 XX06 1615```
```17Feb  2.45M 1509 XX02 1624```
```------------2024-----------```
```20Dec 2.402M 1517 XX06 1583```
```10Dec  2.75M 2528 XX01 1088```
```14Nov   2.3M 1517 XX06 1516```
```13Nov   2.7M 1517 XX06 1780```
```28Jun     2M 1531 XX08 1306```
```04Mar  2.35M 1517 XX06 1549```
```29Jan   2.9M 1509 XX02 1922```
```11Jan  2.54M 2528 XX01 1005```
```------------2023-----------```
```18Dec   2.2M 1509 XX02 1458```
```28Nov  2.96M 2254 XX02 1313```
```13Nov 2.275M 1677 XX09 1357```
```06Nov 2.395M 1509 XX02 1587```
```19Sep  2.25M 1677 XX09 1342```
```24Aug 2.275M 1509 XX02 1508```
```02Aug 2.315M 1509 XX02 1534```
```01Aug   2.1M 1531 XX08 1372```
```12Jul 1.041M 1517 XX06  686```
```03May  2.09M 1677 XX09 1246```
```17Apr  2.24M 2254 XX02  994```
```------------2022-----------```
```13Oct 2.075M 1509 XX02 1375```
```17Mar   1.9M 1517 XX06 1252```
```------------2020-----------```
```27Dec   1.5M 1531 XX08  980```
```------------2019-----------```
```24Jan 2.255M 1509 XX02 1494```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</si>
  <si>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1007597, *MARKET</t>
  </si>
  <si>
    <t>*MARKET*
*SNAPSHOT*
*BAHWAN TOWER*
_Area: Downtown_
_Type: 2 bedroom apartment_
*Price dynamics, Dirham/sq.ft.*
_(M - median value)_
```1922|          *           ```
```    |             *        ```
```    |                 *****```
```1525|---------------------M```
```    |  ** *     *  * *     ```
```    | *      *             ```
```    |    * **    *         ```
```    |                      ```
```    |         *     *      ```
```    |                      ```
```686 |*                     ```
```____|______________________```
```    |Jul2023        Dec2025```
_Source: see table below_
*Latest sales transactions*
```Date   Price  BUA Type P/sf```
```------------2025-----------```
```11Dec   2.8M 1677 XX09 1670```
```18Sep  2.54M 1509 XXXX 1683```
```20Jun   2.5M 1509 XX02 1657```
```22May  2.45M 1517 XX06 1615```
```17Feb  2.45M 1509 XX02 1624```
```------------2024-----------```
```20Dec 2.402M 1517 XX06 1583```
```10Dec  2.75M 2528 XX01 1088```
```14Nov   2.3M 1517 XX06 1516```
```13Nov   2.7M 1517 XX06 1780```
```28Jun     2M 1531 XX08 1306```
```04Mar  2.35M 1517 XX06 1549```
```29Jan   2.9M 1509 XX02 1922```
```11Jan  2.54M 2528 XX01 1005```
```------------2023-----------```
```18Dec   2.2M 1509 XX02 1458```
```28Nov  2.96M 2254 XX02 1313```
```13Nov 2.275M 1677 XX09 1357```
```06Nov 2.395M 1509 XX02 1587```
```19Sep  2.25M 1677 XX09 1342```
```24Aug 2.275M 1509 XX02 1508```
```02Aug 2.315M 1509 XX02 1534```
```01Aug   2.1M 1531 XX08 1372```
```12Jul 1.041M 1517 XX06  686```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</si>
  <si>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1007598, *NEW RE</t>
  </si>
  <si>
    <t>*NEW RENT*
*CONTRACTS**
_(renewals are not included)_
*BAHWAN TOWER*
_Area: Downtown_
_Type: 2 bedroom apartment_
```Date  Price   BUA  Type D/s```
```------------2026-----------```
```01Jan  179K  2530  XXXX  71```
```------------2025-----------```
```21Nov  160K  1679  XXXX  95```
```19Nov  175K  1679  XXXX 104```
```22Oct  175K  1507  XXXX 116```
```21Oct  165K  1518  XXXX 109```
```06Oct  160K  1528  XXXX 105```
```01Oct  160K  1679  XXXX  95```
```19Sep  155K  1518  XXXX 102```
```15Aug  165K  1507  XXXX 109```
```15Aug  145K  1528  XXXX  95```
```01Aug  160K  1507  XXXX 106```
```18Jul  145K  1518  XXXX  96```
```20Jun  150K  1507  XXXX 100```
```01Jun  150K  1518  XXXX  99```
```01May  240K  1528  XXXX 157```
```01Apr  160K  1679  XXXX  95```
```01Apr  137K  1518  XXXX  90```
```17Mar  175K  1507  XXXX 116```
```19Feb  175K  1507  XXXX 116```
```16Feb  158K  1518  XXXX 104```
_Source: DLD, Databot_
_BUA - built-up area, sq.ft._
_P/sf - price per sq.ft._
_B - bedrooms; O - office_
_M - million, K- thousand_
_S - studio, R - shop_
_*20 latest contracts_
www.trydatabot.com</t>
  </si>
  <si>
    <t>1007599, *RESELL</t>
  </si>
  <si>
    <t>*RESELL*
*VS PRIMARY*
*BAHWAN TOWER*
_Area: Downtown_
_Type: 2 bedroom apartment_
*Price dynamics, Dirham/sq.ft.*
_(x - primary; * - resell)_
```1780|             *        ```
```    |                    **```
```    |                 ***  ```
```    |           *  * *     ```
```1472|                      ```
```    |                      ```
```    |            *         ```
```    |                      ```
```    |                      ```
```1012|xxxxxxxxxxx           ```
```____|______________________```
```    |Feb2022        Dec2025```
_Source: see a table below_
*Latest resell transactions*
```Date   Price  BUA Type P/sf```
```------------2025-----------```
```11Dec   2.8M 1677 XX09 1670```
```18Sep  2.54M 1509 XXXX 1683```
```20Jun   2.5M 1509 XX02 1657```
```22May  2.45M 1517 XX06 1615```
```17Feb  2.45M 1509 XX02 1624```
```------------2024-----------```
```20Dec 2.402M 1517 XX06 1583```
```10Dec  2.75M 2528 XX01 1088```
```14Nov   2.3M 1517 XX06 1516```
```13Nov   2.7M 1517 XX06 1780```
```28Jun     2M 1531 XX08 1306```
```04Mar  2.35M 1517 XX06 1549```
```29Jan   2.9M 1509 XX02 1922```
```11Jan  2.54M 2528 XX01 1005```
```------------2023-----------```
```18Dec   2.2M 1509 XX02 1458```
```28Nov  2.96M 2254 XX02 1313```
```13Nov 2.275M 1677 XX09 1357```
*Latest primary transactions*
```------------2022-----------```
```23May 1.592M 1531 XX08 1040```
```12May 1.761M 1677 XX09 1050```
```10May 1.717M 1677 XX09 1024```
```18Apr 1.535M 1517 XX06 1012```
```13Apr 1.744M 1677 XX09 1040```
```16Mar 1.761M 1677 XX09 1050```
```09Mar 1.761M 1677 XX09 1050```
```09Mar 1.593M 1517 XX06 1050```
```03Mar 1.608M 1531 XX08 1050```
```03Mar 1.608M 1531 XX08 1050```
```08Feb 1.608M 1531 XX08 1051```
```31Jan 1.773M 1713 XX04 1035```
```24Jan 1.761M 1677 XX09 1050```
```18Jan 1.548M 1517 XX06 1020```
```17Jan 1.593M 1517 XX06 1050```
_Source: DLD, Databot_
_BUA - built-up area, sq.ft._
_P/sf - price per sq.ft._
_B - bedrooms; O - office_
_M - million, K- thousand_
_S - studio, R - shop_
www.trydatabot.com</t>
  </si>
  <si>
    <t>1007600, *SALES*</t>
  </si>
  <si>
    <r>
      <rPr/>
      <t xml:space="preserve">*SALES*
*TRANSACTIONS (RESALE)**
*BAHWAN TOWER*
_Area: Downtown_
_Type: 3 bedroom apartment_
```Date   Price  BUA Type P/sf```
```------------2025-----------```
```27Aug   3.9M 2037 XX07 1915```
```18Jun   4.1M 2153 XX01 1904```
```30Jan   4.1M 2037 XX07 2013```
```------------2022-----------```
```26May   2.6M 2037 XX07 1276```
```------------2021-----------```
```22Dec  2.85M 2037 XX07 1399```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</si>
  <si>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1007601, *MARKET</t>
  </si>
  <si>
    <t>*MARKET*
*SNAPSHOT*
*BAHWAN TOWER*
_Area: Downtown_
_Type: 3 bedroom apartment_
*Price dynamics, Dirham/sq.ft.*
_(M - median value)_
```2013|                   *  ```
```1904|----------------------```
```    |                    **```
```    |                      ```
```    |                      ```
```    |                      ```
```    |                      ```
```    |                      ```
```    |                      ```
```    |                 *    ```
```1276|                  *   ```
```____|______________________```
```    |Dec2021        Aug2025```
_Source: see table below_
*Latest sales transactions*
```Date   Price  BUA Type P/sf```
```------------2025-----------```
```27Aug   3.9M 2037 XX07 1915```
```18Jun   4.1M 2153 XX01 1904```
```30Jan   4.1M 2037 XX07 2013```
```------------2022-----------```
```26May   2.6M 2037 XX07 1276```
```------------2021-----------```
```22Dec  2.85M 2037 XX07 1399```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</si>
  <si>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1007602, *NEW RE</t>
  </si>
  <si>
    <t>*NEW RENT*
*CONTRACTS**
_(renewals are not included)_
*BAHWAN TOWER*
_Area: Downtown_
_Type: 3 bedroom apartment_
```Date  Price   BUA  Type D/s```
```------------2025-----------```
```17Nov  230K  2034  XXXX 113```
```13Aug  250K  2034  XXXX 123```
```20Jun  255K  2034  XXXX 125```
```------------2024-----------```
```07Nov  222K  2153  XXXX 103```
```26Apr  220K  2153  XXXX 102```
```01Apr  225K  2153  XXXX 105```
```01Feb  225K  2034  XXXX 111```
```------------2023-----------```
```15Dec  196K  2034  XXXX  96```
```04Sep  225K  2034  XXXX 111```
```01Sep  220K  2034  XXXX 108```
```01Apr  220K  2034  XXXX 108```
```24Jan  164K  2153  XXXX  76```
```------------2022-----------```
```20Dec  185K  2034  XXXX  91```
```15Dec  175K  2034  XXXX  86```
```15Dec  190K  2034  XXXX  93```
```17Nov  141K  2034  XXXX  69```
```01Sep  230K  2153  XXXX 107```
```01Jul  152K  2680  XXXX  57```
```25Apr  141K  2034  XXXX  70```
```------------2021-----------```
```20Nov  126K  2034  XXXX  62```
_Source: DLD, Databot_
_BUA - built-up area, sq.ft._
_P/sf - price per sq.ft._
_B - bedrooms; O - office_
_M - million, K- thousand_
_S - studio, R - shop_
_*20 latest contracts_
www.trydatabot.com</t>
  </si>
  <si>
    <t>1007603, *RESELL</t>
  </si>
  <si>
    <t>*RESELL*
*VS PRIMARY*
*BAHWAN TOWER*
_Area: Downtown_
_Type: 3 bedroom apartment_
*Price dynamics, Dirham/sq.ft.*
_(x - primary; * - resell)_
```2013|                   *  ```
```    |                    **```
```    |                      ```
```    |                      ```
```1621|                      ```
```    |                      ```
```    |                 *    ```
```    |                      ```
```    |                  *   ```
```1031|xxxxxxxxxxx           ```
```____|______________________```
```    |Dec1899        Aug2025```
_Source: see a table below_
*Latest resell transactions*
```Date   Price  BUA Type P/sf```
```------------2025-----------```
```27Aug   3.9M 2037 XX07 1915```
```18Jun   4.1M 2153 XX01 1904```
```30Jan   4.1M 2037 XX07 2013```
```------------2022-----------```
```26May   2.6M 2037 XX07 1276```
```------------2021-----------```
```22Dec  2.85M 2037 XX07 1399```
*Latest primary transactions*
```------------2022-----------```
```11Apr  2.78M 2682 XX03 1037```
```------------2021-----------```
```03Oct   2.1M 2037 XX07 1031```
```06Sep 2.159M 2037 XX07 1060```
```02Sep   2.1M 2037 XX07 1031```
```02Aug 2.159M 2037 XX07 1060```
```01Aug  2.12M 2037 XX07 1041```
```26Jul 2.176M 2037 XX07 1068```
```13Jul 2.129M 2037 XX07 1045```
```01Jul   2.3M 2153 XX01 1068```
```22Jun 2.139M 2037 XX07 1050```
```06Jun  2.22M 2037 XX07 1090```
```14Apr  2.22M 2037 XX07 1090```
```------------2020-----------```
```10Dec 2.358M 2153 XX01 1095```
_Source: DLD, Databot_
_BUA - built-up area, sq.ft._
_P/sf - price per sq.ft._
_B - bedrooms; O - office_
_M - million, K- thousand_
_S - studio, R - shop_
www.trydatabot.com</t>
  </si>
  <si>
    <t>1007622, *NEW RE</t>
  </si>
  <si>
    <t>*NEW RENT*
*CONTRACTS**
_(renewals are not included)_
*BAHWAN TOWER*
_Area: Downtown_
_Type: shop_
```Date  Price   BUA  Type D/s```
```------------2025-----------```
```01Sep  975K  2605  XXXX 374```
```01Aug  265K  1098  XXXX 241```
```------------2024-----------```
```10Jul  858K  2605  XXXX 329```
```------------2023-----------```
```01Aug  240K  1098  XXXX 219```
```------------2020-----------```
```01Nov  647K  3617  XXXX 179```
```------------2019-----------```
```01Aug  210K  1098  XXXX 191```
```------------2018-----------```
```20Dec  442K  2605  XXXX 170```
```01Nov  604K  3617  XXXX 167```
_Source: DLD, Databot_
_BUA - built-up area, sq.ft._
_P/sf - price per sq.ft._
_B - bedrooms; O - office_
_M - million, K- thousand_
_S - studio, R - shop_
_*20 latest contracts_
www.trydatabot.com</t>
  </si>
  <si>
    <t>1007636, *NEW RE</t>
  </si>
  <si>
    <t>*NEW RENT*
*CONTRACTS**
_(renewals are not included)_
*BAHWAN TOWER*
_Area: Downtown_
_All types/bedrooms_
```Date    Price   BUA Type  B```
```------------2026-----------```
```07Jan    110K   980 XXXX  1```
```01Jan  179.4K  2530 XXXX  2```
```------------2025-----------```
```01Dec    100K  1066 XXXX  1```
```21Nov    160K  1679 XXXX  2```
```19Nov    175K  1679 XXXX  2```
```17Nov    230K  2034 XXXX  3```
```10Nov    126K  1066 XXXX  1```
```22Oct    175K  1507 XXXX  2```
```21Oct    165K  1518 XXXX  2```
```17Oct    110K  1066 XXXX  1```
```08Oct     85K  1055 XXXX  1```
```06Oct    160K  1528 XXXX  2```
```01Oct    160K  1679 XXXX  2```
```19Sep    155K  1518 XXXX  2```
```01Sep    975K  2605 XXXX  R```
```19Aug    110K  1066 XXXX  1```
```15Aug    165K  1507 XXXX  2```
```15Aug    145K  1528 XXXX  2```
```13Aug    250K  2034 XXXX  3```
```05Aug    105K  1055 XXXX  1```
_Source: DLD, Databot_
_BUA - built-up area, sq.ft._
_P/sf - price per sq.ft._
_B - bedrooms; O - office_
_M - million, K- thousand_
_S - studio, R - shop_
_*20 latest contracts_
www.trydatabot.com</t>
  </si>
  <si>
    <t>1007637, *SALES*</t>
  </si>
  <si>
    <t>*SALES*
*TRANSACTIONS (RESALE)**
*BAHWAN TOWER*
_Area: Downtown_
_All types/bedrooms_
```Date    Price   BUA  Type B```
```------------2025-----------```
```11Dec    2.8M  1677  XX09 2```
```17Oct   1.75M  1068  XXXX 1```
```25Sep  1.625M   982  XXXX 1```
```18Sep   2.54M  1509  XXXX 2```
```01Sep  1.675M  1057  XX04 1```
```27Aug    3.9M  2037  XX07 3```
```20Jun    2.5M  1509  XX02 2```
```18Jun    4.1M  2153  XX01 3```
```22May   2.45M  1517  XX06 2```
```01May   1.65M  1057  XX04 1```
```17Feb   2.45M  1509  XX02 2```
```30Jan    4.1M  2037  XX07 3```
```06Jan   1.85M  1234  XX06 1```
```------------2024-----------```
```20Dec  2.402M  1517  XX06 2```
```10Dec   2.75M  2528  XX01 2```
```14Nov    2.3M  1517  XX06 2```
```13Nov    2.7M  1517  XX06 2```
```28Oct    1.6M  1057  XX04 1```
```28Jun      2M  1531  XX08 2```
```04Mar   2.35M  1517  XX06 2```
```31Jan   1.58M  1068  XX03 1```
```29Jan    2.9M  1509  XX02 2```
```11Jan   2.54M  2528  XX01 2```
```------------2023-----------```
```18Dec    2.2M  1509  XX02 2```
```28Nov   2.96M  2254  XX02 2```
```13Nov  2.275M  1677  XX09 2```
```06Nov  2.395M  1509  XX02 2```
```26Oct   1.46M   982  XX05 1```
```19Sep   2.25M  1677  XX09 2```
```06Sep    1.4M  1068  XX03 1```
_Source: DLD, Databot_
_BUA - built-up area, sq.ft._
_P/sf - price per sq.ft._
_B - bedrooms; O - office_
_M - million, K- thousand_
_S - studio, R - shop_
_*Max 30 latest transactions_
www.trydatabot.com</t>
  </si>
  <si>
    <t>1007638, Bahwan, *BUILDI</t>
  </si>
  <si>
    <t xml:space="preserve">*BUILDING*
*PROFILE*
*BAHWAN TOWER*
_Area: Downtown_
_Tap&amp;hold to copy a reply_
```-------------------------```
```Report              Reply```
```-------------------------```
*1 B/R*
```Resell, ROI       1007592```
```Primary sales     1007640```
```Price chart       1007593```
```Rentals           1007594```
```Appreciation      1007595```
*2 B/R*
```Resell, ROI       1007596```
```Primary sales     1007641```
```Price chart       1007597```
```Rentals           1007598```
```Appreciation      1007599```
*3 B/R*
```Resell, ROI       1007600```
```Primary sales     1007642```
```Price chart       1007601```
```Rentals           1007602```
```Appreciation      1007603```
*Shop*
```Primary sales     1007647```
*All types/bedrooms*
```Resell, ROI       1007637```
```Primary sales     1007651```
```Rentals           1007636```
</t>
  </si>
  <si>
    <t>1007640, *SALES*</t>
  </si>
  <si>
    <t>*SALES*
*TRANSACTIONS (PRIMARY)**
*BAHWAN TOWER*
_Area: Downtown_
_Type: 1 bedroom apartment_
```Date   Price  BUA Type P/sf```
```------------2022-----------```
```17Oct  1.26M 1234 XX06 1021```
```10Mar  1.11M 1057 XX04 1050```
```28Feb 1.154M 1049 XX05 1100```
```14Jan 1.021M  982 XX05 1040```
```11Jan 1.021M  982 XX05 1040```
```11Jan 1.021M  982 XX05 1040```
```11Jan 1.021M  982 XX05 1040```
```11Jan 1.021M  982 XX05 1040```
```------------2021-----------```
```26Dec 1.031M  982 XX05 1050```
```30Nov 992.8K  982 XX05 1011```
```24Nov  1.11M 1057 XX04 1050```
```18Nov 1.058M 1057 XX04 1001```
```03Oct 1.068M 1057 XX04 1010```
```05Sep   1.1M 1057 XX04 1041```
```02Sep  1.05M 1057 XX04  993```
```02Aug 1.075M 1057 XX04 1017```
```01Jul 991.8K  982 XX05 1010```
```16Jun 1.148M 1068 XX03 1075```
```24May  1.02M  982 XX05 1039```
```22Apr 1.148M 1068 XX03 1075```
_Source: DLD, Databot_
_BUA - built-up area, sq.ft._
_P/sf - price per sq.ft._
_B - bedrooms; O - office_
_M - million, K- thousand_
_S - studio, R - shop_
_*Max 20 latest transactions_
www.trydatabot.com</t>
  </si>
  <si>
    <t>1007641, *SALES*</t>
  </si>
  <si>
    <t>*SALES*
*TRANSACTIONS (PRIMARY)**
*BAHWAN TOWER*
_Area: Downtown_
_Type: 2 bedroom apartment_
```Date   Price  BUA Type P/sf```
```------------2022-----------```
```23May 1.592M 1531 XX08 1040```
```12May 1.761M 1677 XX09 1050```
```10May 1.717M 1677 XX09 1024```
```18Apr 1.535M 1517 XX06 1012```
```13Apr 1.744M 1677 XX09 1040```
```16Mar 1.761M 1677 XX09 1050```
```09Mar 1.761M 1677 XX09 1050```
```09Mar 1.593M 1517 XX06 1050```
```03Mar 1.608M 1531 XX08 1050```
```03Mar 1.608M 1531 XX08 1050```
```08Feb 1.608M 1531 XX08 1051```
```31Jan 1.773M 1713 XX04 1035```
```24Jan 1.761M 1677 XX09 1050```
```18Jan 1.548M 1517 XX06 1020```
```17Jan 1.593M 1517 XX06 1050```
```10Jan 1.741M 1677 XX09 1038```
```06Jan 1.608M 1531 XX08 1051```
```------------2021-----------```
```12Dec 1.593M 1517 XX06 1050```
```28Nov 1.608M 1531 XX08 1050```
```24Nov 1.593M 1517 XX06 1050```
_Source: DLD, Databot_
_BUA - built-up area, sq.ft._
_P/sf - price per sq.ft._
_B - bedrooms; O - office_
_M - million, K- thousand_
_S - studio, R - shop_
_*Max 20 latest transactions_
www.trydatabot.com</t>
  </si>
  <si>
    <t>1007642, *SALES*</t>
  </si>
  <si>
    <t>*SALES*
*TRANSACTIONS (PRIMARY)**
*BAHWAN TOWER*
_Area: Downtown_
_Type: 3 bedroom apartment_
```Date   Price  BUA Type P/sf```
```------------2022-----------```
```11Apr  2.78M 2682 XX03 1037```
```------------2021-----------```
```03Oct   2.1M 2037 XX07 1031```
```06Sep 2.159M 2037 XX07 1060```
```02Sep   2.1M 2037 XX07 1031```
```02Aug 2.159M 2037 XX07 1060```
```01Aug  2.12M 2037 XX07 1041```
```26Jul 2.176M 2037 XX07 1068```
```13Jul 2.129M 2037 XX07 1045```
```01Jul   2.3M 2153 XX01 1068```
```22Jun 2.139M 2037 XX07 1050```
```06Jun  2.22M 2037 XX07 1090```
```14Apr  2.22M 2037 XX07 1090```
```------------2020-----------```
```10Dec 2.358M 2153 XX01 1095```
```------------2018-----------```
```22Feb  3.15M 2153 XX01 1463```
_Source: DLD, Databot_
_BUA - built-up area, sq.ft._
_P/sf - price per sq.ft._
_B - bedrooms; O - office_
_M - million, K- thousand_
_S - studio, R - shop_
_*Max 20 latest transactions_
www.trydatabot.com</t>
  </si>
  <si>
    <t>1007647, *SALES*</t>
  </si>
  <si>
    <t>*SALES*
*TRANSACTIONS (PRIMARY)**
*BAHWAN TOWER*
_Area: Downtown_
_Type: shop_
```Date   Price  BUA Type P/sf```
```------------2018-----------```
```12Feb  5.98M 3613 XXXX 1655```
_Source: DLD, Databot_
_BUA - built-up area, sq.ft._
_P/sf - price per sq.ft._
_B - bedrooms; O - office_
_M - million, K- thousand_
_S - studio, R - shop_
_*Max 20 latest transactions_
www.trydatabot.com</t>
  </si>
  <si>
    <t>1007651, *SALES*</t>
  </si>
  <si>
    <t>*SALES*
*TRANSACTIONS (PRIMARY)**
*BAHWAN TOWER*
_Area: Downtown_
_All types/bedrooms_
```Date    Price   BUA  Type B```
```------------2022-----------```
```17Oct   1.26M  1234  XX06 1```
```23May  1.592M  1531  XX08 2```
```12May  1.761M  1677  XX09 2```
```10May  1.717M  1677  XX09 2```
```18Apr  1.535M  1517  XX06 2```
```13Apr  1.744M  1677  XX09 2```
```11Apr   2.78M  2682  XX03 3```
```16Mar  1.761M  1677  XX09 2```
```10Mar   1.11M  1057  XX04 1```
```09Mar  1.761M  1677  XX09 2```
```09Mar  1.593M  1517  XX06 2```
```03Mar  1.608M  1531  XX08 2```
```03Mar  1.608M  1531  XX08 2```
```28Feb  1.154M  1049  XX05 1```
```08Feb  1.608M  1531  XX08 2```
```31Jan  1.773M  1713  XX04 2```
```24Jan  1.761M  1677  XX09 2```
```18Jan  1.548M  1517  XX06 2```
```17Jan  1.593M  1517  XX06 2```
```14Jan  1.021M   982  XX05 1```
_Source: DLD, Databot_
_BUA - built-up area, sq.ft._
_P/sf - price per sq.ft._
_B - bedrooms; O - office_
_M - million, K- thousand_
_S - studio, R - shop_
_*Max 20 latest transactions_
www.trydatabot.com</t>
  </si>
  <si>
    <t>1007656, *SALES*</t>
  </si>
  <si>
    <r>
      <rPr/>
      <t xml:space="preserve">*SALES*
*TRANSACTIONS (RESALE)**
*BELLEVUE TOWERS T1*
_Area: Downtown_
_Type: 1 bedroom apartment_
```Date   Price  BUA Type P/sf```
```------------2025-----------```
```17Nov   2.4M 1356 XX05 1770```
```03Nov   1.7M  885 XX09 1921```
```25Aug   1.4M  877 XX08 1596```
```24Jul   1.7M  877 XX07 1938```
```09May  1.35M  617 XXXX 2188```
```21Apr  1.75M  877 XX08 1995```
```------------2024-----------```
```10Dec   1.4M  617 XXXX 2269```
```19Nov  1.73M  877 XX07 1973```
```18Sep  1.62M  877 XX08 1847```
```31May   1.3M  617 XXXX 2107```
```16May  1.63M  885 XX09 1842```
```06May   1.6M  885 XX09 1808```
```28Mar   1.5M  885 XX09 1695```
```22Feb  1.65M  885 XX09 1864```
```22Jan   1.2M  877 XX07 1368```
```09Jan  1.67M  877 XX07 1904```
```------------2023-----------```
```14Dec 1.576M  877 XX07 1797```
```16Nov 1.825M 1287 XX08 1418```
```01Nov  1.55M  885 XX09 1751```
```19Sep  2.05M 1362 XX04 1505```
```13Sep 1.608M  885 XX09 1817```
```08Sep   1.2M  617 XXXX 1945```
```08Sep 1.597M  885 XX09 1805```
```07Jun 1.133M  617 XXXX 1836```
```22May   1.3M  617 XXXX 2107```
```11Apr 1.256M  877 XX07 1432```
```22Mar  1.28M  617 XXXX 2075```
```20Mar  1.45M  877 XX07 1653```
```01Feb  1.08M  617 XXXX 1750```
```02Jan 1.286M 1287 XX08  999```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</si>
  <si>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Bellevue Towers T1</t>
  </si>
  <si>
    <t>1007657, *MARKET</t>
  </si>
  <si>
    <t>*MARKET*
*SNAPSHOT*
*BELLEVUE TOWERS T1*
_Area: Downtown_
_Type: 1 bedroom apartment_
*Price dynamics, Dirham/sq.ft.*
_(M - median value)_
```2269|               *      ```
```    |                 *    ```
```    |            *         ```
```    |              * *     ```
```    |*     *           * * ```
```1845|---------------------M```
```    | *   *    ** *        ```
```    |   *     *           *```
```    |                   *  ```
```    |  *                   ```
```1368|    *  *              ```
```____|______________________```
```    |Sep2023        Nov2025```
_Source: see table below_
*Latest sales transactions*
```Date   Price  BUA Type P/sf```
```------------2025-----------```
```17Nov   2.4M 1356 XX05 1770```
```03Nov   1.7M  885 XX09 1921```
```25Aug   1.4M  877 XX08 1596```
```24Jul   1.7M  877 XX07 1938```
```09May  1.35M  617 XXXX 2188```
```21Apr  1.75M  877 XX08 1995```
```------------2024-----------```
```10Dec   1.4M  617 XXXX 2269```
```19Nov  1.73M  877 XX07 1973```
```18Sep  1.62M  877 XX08 1847```
```31May   1.3M  617 XXXX 2107```
```16May  1.63M  885 XX09 1842```
```06May   1.6M  885 XX09 1808```
```28Mar   1.5M  885 XX09 1695```
```22Feb  1.65M  885 XX09 1864```
```22Jan   1.2M  877 XX07 1368```
```09Jan  1.67M  877 XX07 1904```
```------------2023-----------```
```14Dec 1.576M  877 XX07 1797```
```16Nov 1.825M 1287 XX08 1418```
```01Nov  1.55M  885 XX09 1751```
```19Sep  2.05M 1362 XX04 1505```
```13Sep 1.608M  885 XX09 1817```
```08Sep   1.2M  617 XXXX 1945```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</si>
  <si>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1007659, *RESELL</t>
  </si>
  <si>
    <t>*RESELL*
*VS PRIMARY*
*BELLEVUE TOWERS T1*
_Area: Downtown_
_Type: 1 bedroom apartment_
*Price dynamics, Dirham/sq.ft.*
_(x - primary; * - resell)_
```2269|               *      ```
```    |            *    *    ```
```    |              * *     ```
```    |             *    * * ```
```1785|           *         *```
```    |                      ```
```    |                   *  ```
```    |                      ```
```    |                      ```
```1057|          x           ```
```____|______________________```
```    |Dec1899        Nov2025```
_Source: see a table below_
*Latest resell transactions*
```Date   Price  BUA Type P/sf```
```------------2025-----------```
```17Nov   2.4M 1356 XX05 1770```
```03Nov   1.7M  885 XX09 1921```
```25Aug   1.4M  877 XX08 1596```
```24Jul   1.7M  877 XX07 1938```
```09May  1.35M  617 XXXX 2188```
```21Apr  1.75M  877 XX08 1995```
```------------2024-----------```
```10Dec   1.4M  617 XXXX 2269```
```19Nov  1.73M  877 XX07 1973```
```18Sep  1.62M  877 XX08 1847```
```31May   1.3M  617 XXXX 2107```
```16May  1.63M  885 XX09 1842```
```06May   1.6M  885 XX09 1808```
```28Mar   1.5M  885 XX09 1695```
```22Feb  1.65M  885 XX09 1864```
```22Jan   1.2M  877 XX07 1368```
```09Jan  1.67M  877 XX07 1904```
```------------2023-----------```
*Latest primary transactions*
```------------2025-----------```
```17Feb 1.666M 1576 XXXX 1057```</t>
  </si>
  <si>
    <t>1007660, *SALES*</t>
  </si>
  <si>
    <r>
      <rPr/>
      <t xml:space="preserve">*SALES*
*TRANSACTIONS**
*BELLEVUE TOWERS T1*
_Area: Downtown_
_Type: 2 bedroom apartment_
```Date   Price  BUA Type P/sf```
```------------2025-----------```
```24Nov 2.875M 1289 XX05 2230```
```20Nov  2.75M 1292 XX02 2128```
```13Nov  2.75M 1292 XX02 2128```
```08May  2.85M 1289 XX05 2211```
```05May   2.6M 1024 XXXX 2539```
```27Mar   2.8M 1289 XX05 2172```
```24Feb 3.335M 1296 XX03 2573```
```24Feb   2.8M 1283 XX04 2182```
```05Feb  2.35M 1292 XX02 1819```
```14Jan  2.75M 1283 XX04 2143```
```------------2024-----------```
```18Nov   2.8M 1296 XX03 2160```
```04Sep 2.925M 1296 XX03 2257```
```09Aug   2.7M 1283 XX04 2104```
```18Jul  3.27M 1292 XX02 2531```
```16Jul   2.7M 1289 XX05 2095```
```02Jul   2.7M 1289 XX05 2095```
```11Jun 2.375M 1292 XX02 1838```
```04Jun   2.3M 1024 XXXX 2246```
```24Apr  2.55M 1289 XX05 1978```
```22Apr   2.1M 1024 XXXX 2051```
```01Apr 2.475M 1024 XXXX 2417```
```01Apr 2.835M 1944 XX05 1458```
```21Mar  2.15M 1024 XXXX 2100```
```29Feb   2.1M 1024 XXXX 2051```
```22Jan   2.2M 1296 XX03 1698```
```------------2023-----------```
```16Nov  2.55M 1296 XX03 1968```
```10Nov 2.607M 1296 XX03 2012```
```07Nov 2.684M 1289 XX05 2082```
```02Nov 2.544M 1296 XX03 1963```
```19Oct   1.9M 1024 XXXX 1855```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</si>
  <si>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1007661, *MARKET</t>
  </si>
  <si>
    <t>*MARKET*
*SNAPSHOT*
*BELLEVUE TOWERS T1*
_Area: Downtown_
_Type: 2 bedroom apartment_
*Price dynamics, Dirham/sq.ft.*
_(M - median value)_
```2573|        *      * *    ```
```    | *                    ```
```    |                      ```
```    |    *     *   *   *  *```
```2152|---------------------M```
```    |      ** * **   *  ** ```
```    |  **                  ```
```    |                      ```
```    |     *       *        ```
```    |                      ```
```1458|*                     ```
```____|______________________```
```    |Apr2024        Nov2025```
_Source: see table below_
*Latest sales transactions*
```Date   Price  BUA Type P/sf```
```------------2025-----------```
```24Nov 2.875M 1289 XX05 2230```
```20Nov  2.75M 1292 XX02 2128```
```13Nov  2.75M 1292 XX02 2128```
```08May  2.85M 1289 XX05 2211```
```05May   2.6M 1024 XXXX 2539```
```27Mar   2.8M 1289 XX05 2172```
```24Feb 3.335M 1296 XX03 2573```
```24Feb   2.8M 1283 XX04 2182```
```05Feb  2.35M 1292 XX02 1819```
```14Jan  2.75M 1283 XX04 2143```
```------------2024-----------```
```18Nov   2.8M 1296 XX03 2160```
```04Sep 2.925M 1296 XX03 2257```
```09Aug   2.7M 1283 XX04 2104```
```18Jul  3.27M 1292 XX02 2531```
```16Jul   2.7M 1289 XX05 2095```
```02Jul   2.7M 1289 XX05 2095```
```11Jun 2.375M 1292 XX02 1838```
```04Jun   2.3M 1024 XXXX 2246```
```24Apr  2.55M 1289 XX05 1978```
```22Apr   2.1M 1024 XXXX 2051```
```01Apr 2.475M 1024 XXXX 2417```
```01Apr 2.835M 1944 XX05 1458```
```21Mar  2.15M 1024 XXXX 2100```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</si>
  <si>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1007664, *SALES*</t>
  </si>
  <si>
    <t>*SALES*
*TRANSACTIONS (RESALE)**
*BELLEVUE TOWERS T1*
_Area: Downtown_
_Type: 3 bedroom apartment_
```Date   Price  BUA Type P/sf```
```------------2025-----------```
```26Nov  3.85M 1715 XX01 2245```
```30Oct   8.7M 2783 XX01 3126```
```24Apr  3.75M 1715 XX01 2187```
```28Feb     8M 2783 XX01 2875```
```14Feb 4.395M 1715 XX01 2563```
```22Jan   4.7M 4006 XX01 1173```
```------------2024-----------```
```15Mar   3.6M 1715 XX01 2099```
```15Feb  3.58M 1715 XX01 2087```
```13Feb   3.6M 1715 XX01 2099```
```07Feb   4.1M 4006 XX01 1023```
```26Jan 5.875M 2783 XX01 2111```
```11Jan   3.6M 1715 XX01 2099```
```------------2023-----------```
```30Nov  3.55M 1715 XX01 2070```
```02Nov 3.449M 1715 XX01 2011```
```13Sep 3.693M 1715 XX01 2153```
```26May   3.6M 1715 XX01 2099```
```22May 5.782M 3018 XX01 1916```
```09May  3.75M 2239 XX03 1675```
```24Apr 3.228M 1715 XX01 1882```
```------------2022-----------```
```08Aug 3.125M 1715 XX01 1822```
```------------2021-----------```
```13Dec 3.387M 1716 XX01 1974```
```04Oct   3.5M 1715 XX01 2041```
```05Aug 2.986M 1715 XX01 1741```
```04Aug 2.994M 1715 XX01 1746```
```04Aug 3.032M 1715 XX01 1768```
```22Mar 2.979M 1715 XX01 1737```
```03Jan 3.309M 1715 XX01 1929```
```------------2020-----------```
```19Jul 3.176M 1715 XX01 1852```
```16Apr 3.017M 1715 XX01 1759```
```16Apr  3.01M 1715 XX01 1755```
_Source: DLD, Databot_
_BUA - built-up area, sq.ft._
_P/sf - price per sq.ft._
_B - bedrooms; O - office_
_M - million, K- thousand_
_S - studio, R - shop_
_*Max 30 latest transactions_
www.trydatabot.com</t>
  </si>
  <si>
    <t>1007665, *MARKET</t>
  </si>
  <si>
    <t>*MARKET*
*SNAPSHOT*
*BELLEVUE TOWERS T1*
_Area: Downtown_
_Type: 3 bedroom apartment_
*Price dynamics, Dirham/sq.ft.*
_(M - median value)_
```3126|                    * ```
```    |                  *   ```
```    |                      ```
```    |                 *    ```
```    |                   * *```
```2093|---------------------M```
```    |**    ****** ***      ```
```    |  ** *                ```
```    |    *                 ```
```    |                      ```
```1023|            *   *     ```
```____|______________________```
```    |Oct2021        Nov2025```
_Source: see table below_
*Latest sales transactions*
```Date   Price  BUA Type P/sf```
```------------2025-----------```
```26Nov  3.85M 1715 XX01 2245```
```30Oct   8.7M 2783 XX01 3126```
```24Apr  3.75M 1715 XX01 2187```
```28Feb     8M 2783 XX01 2875```
```14Feb 4.395M 1715 XX01 2563```
```22Jan   4.7M 4006 XX01 1173```
```------------2024-----------```
```15Mar   3.6M 1715 XX01 2099```
```15Feb  3.58M 1715 XX01 2087```
```13Feb   3.6M 1715 XX01 2099```
```07Feb   4.1M 4006 XX01 1023```
```26Jan 5.875M 2783 XX01 2111```
```11Jan   3.6M 1715 XX01 2099```
```------------2023-----------```
```30Nov  3.55M 1715 XX01 2070```
```02Nov 3.449M 1715 XX01 2011```
```13Sep 3.693M 1715 XX01 2153```
```26May   3.6M 1715 XX01 2099```
```22May 5.782M 3018 XX01 1916```
```09May  3.75M 2239 XX03 1675```
```24Apr 3.228M 1715 XX01 1882```
```------------2022-----------```
```08Aug 3.125M 1715 XX01 1822```
```------------2021-----------```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</si>
  <si>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1007667, *RESELL</t>
  </si>
  <si>
    <t>*RESELL*
*VS PRIMARY*
*BELLEVUE TOWERS T1*
_Area: Downtown_
_Type: 3 bedroom apartment_
*Price dynamics, Dirham/sq.ft.*
_(x - primary; * - resell)_
```3126|                    * ```
```    |                  *   ```
```    |                      ```
```    |                 *    ```
```2286|                   * *```
```    |          x* ***      ```
```    |                      ```
```    |                      ```
```    |                      ```
```1023|            *   *     ```
```____|______________________```
```    |Dec1899        Nov2025```
_Source: see a table below_
*Latest resell transactions*
```Date   Price  BUA Type P/sf```
```------------2025-----------```
```26Nov  3.85M 1715 XX01 2245```
```30Oct   8.7M 2783 XX01 3126```
```24Apr  3.75M 1715 XX01 2187```
```28Feb     8M 2783 XX01 2875```
```14Feb 4.395M 1715 XX01 2563```
```22Jan   4.7M 4006 XX01 1173```
```------------2024-----------```
```15Mar   3.6M 1715 XX01 2099```
```15Feb  3.58M 1715 XX01 2087```
```13Feb   3.6M 1715 XX01 2099```
```07Feb   4.1M 4006 XX01 1023```
```26Jan 5.875M 2783 XX01 2111```
```11Jan   3.6M 1715 XX01 2099```
```------------2023-----------```
```30Nov  3.55M 1715 XX01 2070```
```02Nov 3.449M 1715 XX01 2011```
```13Sep 3.693M 1715 XX01 2153```
```26May   3.6M 1715 XX01 2099```
*Latest primary transactions*
```------------2025-----------```
```10Feb 3.716M 1715 XX01 2167```</t>
  </si>
  <si>
    <t>1007701, *SALES*</t>
  </si>
  <si>
    <t>*SALES*
*TRANSACTIONS (RESALE)**
*BELLEVUE TOWERS T1*
_Area: Downtown_
_All types/bedrooms_
```Date    Price   BUA  Type B```
```------------2025-----------```
```26Nov   3.85M  1715  XX01 3```
```24Nov  2.875M  1289  XX05 2```
```20Nov   2.75M  1292  XX02 2```
```17Nov    2.4M  1356  XX05 1```
```13Nov   2.75M  1292  XX02 2```
```03Nov    1.7M   885  XX09 1```
```30Oct    8.7M  2783  XX01 3```
```25Aug    1.4M   877  XX08 1```
```24Jul    1.7M   877  XX07 1```
```09May   1.35M   617  XXXX 1```
```08May   2.85M  1289  XX05 2```
```05May    2.6M  1024  XXXX 2```
```24Apr   3.75M  1715  XX01 3```
```21Apr   1.75M   877  XX08 1```
```27Mar    2.8M  1289  XX05 2```
```28Feb      8M  2783  XX01 3```
```24Feb  3.335M  1296  XX03 2```
```24Feb    2.8M  1283  XX04 2```
```14Feb  4.395M  1715  XX01 3```
```05Feb   2.35M  1292  XX02 2```
```22Jan    4.7M  4006  XX01 3```
```14Jan   2.75M  1283  XX04 2```
```------------2024-----------```
```10Dec    1.4M   617  XXXX 1```
```19Nov   1.73M   877  XX07 1```
```18Nov    2.8M  1296  XX03 2```
```18Sep   1.62M   877  XX08 1```
```04Sep  2.925M  1296  XX03 2```
```09Aug    2.7M  1283  XX04 2```
```18Jul   3.27M  1292  XX02 2```
```16Jul    2.7M  1289  XX05 2```
_Source: DLD, Databot_
_BUA - built-up area, sq.ft._
_P/sf - price per sq.ft._
_B - bedrooms; O - office_
_M - million, K- thousand_
_S - studio, R - shop_
_*Max 30 latest transactions_
www.trydatabot.com</t>
  </si>
  <si>
    <t>1007702, by code, *BUILDI</t>
  </si>
  <si>
    <t xml:space="preserve">*BUILDING*
*PROFILE*
*BELLEVUE TOWERS T1*
_Area: Downtown_
_Tap&amp;hold to copy a reply_
```-------------------------```
```Report              Reply```
```-------------------------```
*1 B/R*
```Resell, ROI       1007656```
```Primary sales     1007704```
```Price chart       1007657```
```Rentals               n/a```
```Appreciation      1007659```
*2 B/R*
```Sales, ROI        1007660```
```Price chart       1007661```
```Rentals               n/a```
*3 B/R*
```Resell, ROI       1007664```
```Primary sales     1007706```
```Price chart       1007665```
```Rentals               n/a```
```Appreciation      1007667```
*All types/bedrooms*
```Resell, ROI       1007701```
```Primary sales     1007715```
```Rentals               n/a```
</t>
  </si>
  <si>
    <t>1007704, *SALES*</t>
  </si>
  <si>
    <t>*SALES*
*TRANSACTIONS (PRIMARY)**
*BELLEVUE TOWERS T1*
_Area: Downtown_
_Type: 1 bedroom apartment_
```Date   Price  BUA Type P/sf```
```------------2025-----------```
```17Feb 1.666M 1576 XXXX 1057```
_Source: DLD, Databot_
_BUA - built-up area, sq.ft._
_P/sf - price per sq.ft._
_B - bedrooms; O - office_
_M - million, K- thousand_
_S - studio, R - shop_
_*Max 20 latest transactions_
www.trydatabot.com</t>
  </si>
  <si>
    <t>1007706, *SALES*</t>
  </si>
  <si>
    <t>*SALES*
*TRANSACTIONS (PRIMARY)**
*BELLEVUE TOWERS T1*
_Area: Downtown_
_Type: 3 bedroom apartment_
```Date   Price  BUA Type P/sf```
```------------2025-----------```
```10Feb 3.716M 1715 XX01 2167```
_Source: DLD, Databot_
_BUA - built-up area, sq.ft._
_P/sf - price per sq.ft._
_B - bedrooms; O - office_
_M - million, K- thousand_
_S - studio, R - shop_
_*Max 20 latest transactions_
www.trydatabot.com</t>
  </si>
  <si>
    <t>1007715, *SALES*</t>
  </si>
  <si>
    <t>*SALES*
*TRANSACTIONS (PRIMARY)**
*BELLEVUE TOWERS T1*
_Area: Downtown_
_All types/bedrooms_
```Date    Price   BUA  Type B```
```------------2025-----------```
```17Feb  1.666M  1576  XXXX 1```
```10Feb  3.716M  1715  XX01 3```
_Source: DLD, Databot_
_BUA - built-up area, sq.ft._
_P/sf - price per sq.ft._
_B - bedrooms; O - office_
_M - million, K- thousand_
_S - studio, R - shop_
_*Max 20 latest transactions_
www.trydatabot.com</t>
  </si>
  <si>
    <t>1007720, *SALES*</t>
  </si>
  <si>
    <t>*SALES*
*TRANSACTIONS**
*BELLEVUE TOWERS T2*
_Area: Downtown_
_Type: 1 bedroom apartment_
```Date   Price  BUA Type P/sf```
```------------2026-----------```
```14Jan 1.425M  548 XXXX 2600```
```------------2025-----------```
```15Dec   2.2M  855 XX06 2573```
```15Dec   1.8M  802 XX03 2244```
```10Nov     2M  855 XX06 2339```
```09Sep   1.5M  548 XXXX 2737```
```06Aug   2.1M  806 XX04 2605```
```22Jul  1.65M  852 XX01 1937```
```10Jul  2.25M  806 XX04 2792```
```08Jul  2.15M  806 XX04 2667```
```03Jul  1.59M  852 XX01 1866```
```27May 2.125M  877 XX05 2423```
```12May 2.155M  855 XX06 2520```
```14Apr   1.5M  852 XX01 1761```
```28Mar  1.35M  548 XXXX 2464```
```25Mar 1.095M  548 XXXX 1998```
```21Mar   2.2M  877 XX05 2509```
```12Mar   2.1M  806 XX04 2605```
```04Mar 1.825M  802 XX03 2276```
```07Feb   2.1M  877 XX05 2395```
```29Jan  1.62M 1065 XXXX 1521```
```------------2024-----------```
```25Dec  1.53M  855 XX06 1789```
```28Nov  1.62M  708 XXXX 2288```
```21Oct  1.43M  548 XXXX 2609```
```21Oct  1.15M  548 XXXX 2099```
```30Sep  2.05M  806 XX04 2543```
```24Sep   2.5M  877 XX05 2851```
```29Aug  1.59M  852 XX01 1866```
```08Jul 1.525M  852 XX01 1790```
```03Jul 1.725M  877 XX05 1967```
```21May   1.5M  708 XXXX 2119```
_Source: DLD, Databot_
_BUA - built-up area, sq.ft._
_P/sf - price per sq.ft._
_B - bedrooms; O - office_
_M - million, K- thousand_
_S - studio, R - shop_
_*Max 30 latest transactions_
www.trydatabot.com</t>
  </si>
  <si>
    <t>Bellevue Towers T2</t>
  </si>
  <si>
    <t>1007721, *MARKET</t>
  </si>
  <si>
    <t>*MARKET*
*SNAPSHOT*
*BELLEVUE TOWERS T2*
_Area: Downtown_
_Type: 1 bedroom apartment_
*Price dynamics, Dirham/sq.ft.*
_(M - median value)_
```2792|              *  *    ```
```    |     *       *  *     ```
```    |      *   *         **```
```2409|---------------------M```
```    |   *    *  *          ```
```    |*   *             **  ```
```    |                      ```
```    |       *              ```
```    |            *  *      ```
```    | *       *            ```
```1521|  *                   ```
```____|______________________```
```    |Nov2024        Jan2026```
_Source: see table below_
*Latest sales transactions*
```Date   Price  BUA Type P/sf```
```------------2026-----------```
```14Jan 1.425M  548 XXXX 2600```
```------------2025-----------```
```15Dec   2.2M  855 XX06 2573```
```15Dec   1.8M  802 XX03 2244```
```10Nov     2M  855 XX06 2339```
```09Sep   1.5M  548 XXXX 2737```
```06Aug   2.1M  806 XX04 2605```
```22Jul  1.65M  852 XX01 1937```
```10Jul  2.25M  806 XX04 2792```
```08Jul  2.15M  806 XX04 2667```
```03Jul  1.59M  852 XX01 1866```
```27May 2.125M  877 XX05 2423```
```12May 2.155M  855 XX06 2520```
```14Apr   1.5M  852 XX01 1761```
```28Mar  1.35M  548 XXXX 2464```
```25Mar 1.095M  548 XXXX 1998```
```21Mar   2.2M  877 XX05 2509```
```12Mar   2.1M  806 XX04 2605```
```04Mar 1.825M  802 XX03 2276```
```07Feb   2.1M  877 XX05 2395```
```29Jan  1.62M 1065 XXXX 1521```
```------------2024-----------```
```25Dec  1.53M  855 XX06 1789```
```28Nov  1.62M  708 XXXX 2288```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</si>
  <si>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1007724, *SALES*</t>
  </si>
  <si>
    <t>*SALES*
*TRANSACTIONS**
*BELLEVUE TOWERS T2*
_Area: Downtown_
_Type: 2 bedroom apartment_
```Date   Price  BUA Type P/sf```
```------------2023-----------```
```28Dec   2.8M 1971 XX03 1421```
```------------2021-----------```
```06Sep 2.469M 1971 XX03 1253```
_Source: DLD, Databot_
_BUA - built-up area, sq.ft._
_P/sf - price per sq.ft._
_B - bedrooms; O - office_
_M - million, K- thousand_
_S - studio, R - shop_
_*Max 30 latest transactions_
www.trydatabot.com</t>
  </si>
  <si>
    <t>1007725, *MARKET</t>
  </si>
  <si>
    <t>*MARKET*
*SNAPSHOT*
*BELLEVUE TOWERS T2*
_Area: Downtown_
_Type: 2 bedroom apartment_
*Price dynamics, Dirham/sq.ft.*
_(M - median value)_
```1421|                     *```
```    |                      ```
```    |                      ```
```    |                      ```
```    |                      ```
```1337|---------------------M```
```    |                      ```
```    |                      ```
```    |                      ```
```    |                      ```
```1253|                    * ```
```____|______________________```
```    |Sep2021        Dec2023```
_Source: see table below_
*Latest sales transactions*
```Date   Price  BUA Type P/sf```
```------------2023-----------```
```28Dec   2.8M 1971 XX03 1421```
```------------2021-----------```
```06Sep 2.469M 1971 XX03 1253```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</si>
  <si>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1007728, *SALES*</t>
  </si>
  <si>
    <t>*SALES*
*TRANSACTIONS**
*BELLEVUE TOWERS T2*
_Area: Downtown_
_Type: 3 bedroom apartment_
```Date   Price  BUA Type P/sf```
```------------2025-----------```
```24Jul     5M 2506 XX02 1995```
```07May 6.566M 2366 XX02 2775```
```------------2024-----------```
```15May  4.95M 2506 XX02 1975```
```------------2021-----------```
```04Aug 5.337M 2979 XX01 1792```
```------------2020-----------```
```15Jul 5.281M 2787 XX01 1895```
```12Jan  4.75M 2506 XX02 1895```
```------------2018-----------```
```04Jun 4.482M 2366 XX02 1894```
_Source: DLD, Databot_
_BUA - built-up area, sq.ft._
_P/sf - price per sq.ft._
_B - bedrooms; O - office_
_M - million, K- thousand_
_S - studio, R - shop_
_*Max 30 latest transactions_
www.trydatabot.com</t>
  </si>
  <si>
    <t>1007729, *MARKET</t>
  </si>
  <si>
    <t>*MARKET*
*SNAPSHOT*
*BELLEVUE TOWERS T2*
_Area: Downtown_
_Type: 3 bedroom apartment_
*Price dynamics, Dirham/sq.ft.*
_(M - median value)_
```2775|                    * ```
```    |                      ```
```    |                      ```
```    |                      ```
```    |                      ```
```    |                      ```
```    |                      ```
```    |                      ```
```1895|---------------------M```
```    |               *** * *```
```1792|                  *   ```
```____|______________________```
```    |Jun2018        Jul2025```
_Source: see table below_
*Latest sales transactions*
```Date   Price  BUA Type P/sf```
```------------2025-----------```
```24Jul     5M 2506 XX02 1995```
```07May 6.566M 2366 XX02 2775```
```------------2024-----------```
```15May  4.95M 2506 XX02 1975```
```------------2021-----------```
```04Aug 5.337M 2979 XX01 1792```
```------------2020-----------```
```15Jul 5.281M 2787 XX01 1895```
```12Jan  4.75M 2506 XX02 1895```
```------------2018-----------```
```04Jun 4.482M 2366 XX02 1894```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</si>
  <si>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1007765, *SALES*</t>
  </si>
  <si>
    <t>*SALES*
*TRANSACTIONS**
*BELLEVUE TOWERS T2*
_Area: Downtown_
_All types/bedrooms_
```Date    Price   BUA  Type B```
```------------2026-----------```
```14Jan  1.425M   548  XXXX 1```
```------------2025-----------```
```15Dec    2.2M   855  XX06 1```
```15Dec    1.8M   802  XX03 1```
```10Nov      2M   855  XX06 1```
```09Sep    1.5M   548  XXXX 1```
```06Aug    2.1M   806  XX04 1```
```24Jul      5M  2506  XX02 3```
```22Jul   1.65M   852  XX01 1```
```10Jul   2.25M   806  XX04 1```
```08Jul   2.15M   806  XX04 1```
```03Jul   1.59M   852  XX01 1```
```27May  2.125M   877  XX05 1```
```12May  2.155M   855  XX06 1```
```07May  6.566M  2366  XX02 3```
```14Apr    1.5M   852  XX01 1```
```28Mar   1.35M   548  XXXX 1```
```25Mar  1.095M   548  XXXX 1```
```21Mar    2.2M   877  XX05 1```
```12Mar    2.1M   806  XX04 1```
```04Mar  1.825M   802  XX03 1```
```07Feb    2.1M   877  XX05 1```
```29Jan   1.62M  1065  XXXX 1```
```------------2024-----------```
```25Dec   1.53M   855  XX06 1```
```28Nov   1.62M   708  XXXX 1```
```21Oct   1.43M   548  XXXX 1```
```21Oct   1.15M   548  XXXX 1```
```30Sep   2.05M   806  XX04 1```
```24Sep    2.5M   877  XX05 1```
```29Aug   1.59M   852  XX01 1```
```08Jul  1.525M   852  XX01 1```
_Source: DLD, Databot_
_BUA - built-up area, sq.ft._
_P/sf - price per sq.ft._
_B - bedrooms; O - office_
_M - million, K- thousand_
_S - studio, R - shop_
_*Max 30 latest transactions_
www.trydatabot.com</t>
  </si>
  <si>
    <t>1007766, by code, *BUILDI</t>
  </si>
  <si>
    <t xml:space="preserve">*BUILDING*
*PROFILE*
*BELLEVUE TOWERS T2*
_Area: Downtown_
_Tap&amp;hold to copy a reply_
```-------------------------```
```Report              Reply```
```-------------------------```
*1 B/R*
```Sales, ROI        1007720```
```Price chart       1007721```
```Rentals               n/a```
*2 B/R*
```Sales, ROI        1007724```
```Price chart       1007725```
```Rentals               n/a```
*3 B/R*
```Sales, ROI        1007728```
```Price chart       1007729```
```Rentals               n/a```
*All types/bedrooms*
```Sales, ROI        1007765```
```Rentals               n/a```
</t>
  </si>
  <si>
    <t>1007784, *SALES*</t>
  </si>
  <si>
    <t>*SALES*
*TRANSACTIONS (RESALE)**
*BELLEVUE TOWERS T1+T2*
_Area: Downtown_
_Type: 1 bedroom apartment_
```Date   Price  BUA Type P/sf```
```------------2026-----------```
```14Jan 1.425M  548 XXXX 2600```
```------------2025-----------```
```15Dec   2.2M  855 XX06 2573```
```15Dec   1.8M  802 XX03 2244```
```17Nov   2.4M 1356 XX05 1770```
```10Nov     2M  855 XX06 2339```
```03Nov   1.7M  885 XX09 1921```
```09Sep   1.5M  548 XXXX 2737```
```25Aug   1.4M  877 XX08 1596```
```06Aug   2.1M  806 XX04 2605```
```24Jul   1.7M  877 XX07 1938```
```22Jul  1.65M  852 XX01 1937```
```10Jul  2.25M  806 XX04 2792```
```08Jul  2.15M  806 XX04 2667```
```03Jul  1.59M  852 XX01 1866```
```27May 2.125M  877 XX05 2423```
```12May 2.155M  855 XX06 2520```
```09May  1.35M  617 XXXX 2188```
```21Apr  1.75M  877 XX08 1995```
```14Apr   1.5M  852 XX01 1761```
```28Mar  1.35M  548 XXXX 2464```
```25Mar 1.095M  548 XXXX 1998```
```21Mar   2.2M  877 XX05 2509```
```12Mar   2.1M  806 XX04 2605```
```04Mar 1.825M  802 XX03 2276```
```07Feb   2.1M  877 XX05 2395```
```29Jan  1.62M 1065 XXXX 1521```
```------------2024-----------```
```25Dec  1.53M  855 XX06 1789```
```10Dec   1.4M  617 XXXX 2269```
```28Nov  1.62M  708 XXXX 2288```
```19Nov  1.73M  877 XX07 1973```
_Source: DLD, Databot_
_BUA - built-up area, sq.ft._
_P/sf - price per sq.ft._
_B - bedrooms; O - office_
_M - million, K- thousand_
_S - studio, R - shop_
_*Max 30 latest transactions_
www.trydatabot.com</t>
  </si>
  <si>
    <t>Bellevue Towers T1+T2</t>
  </si>
  <si>
    <t>1007785, *MARKET</t>
  </si>
  <si>
    <t>*MARKET*
*SNAPSHOT*
*BELLEVUE TOWERS T1+T2*
_Area: Downtown_
_Type: 1 bedroom apartment_
*Price dynamics, Dirham/sq.ft.*
_(M - median value)_
```2792|          *    *      ```
```    |         *            ```
```    |*     *      *      **```
```    |  *    *              ```
```2292|---------------------M```
```    |                 *    ```
```    |     *             *  ```
```    |                      ```
```    | *  *      **   *     ```
```    |   *    *         *   ```
```1596|              *       ```
```____|______________________```
```    |Mar2025        Jan2026```
_Source: see table below_
*Latest sales transactions*
```Date   Price  BUA Type P/sf```
```------------2026-----------```
```14Jan 1.425M  548 XXXX 2600```
```------------2025-----------```
```15Dec   2.2M  855 XX06 2573```
```15Dec   1.8M  802 XX03 2244```
```17Nov   2.4M 1356 XX05 1770```
```10Nov     2M  855 XX06 2339```
```03Nov   1.7M  885 XX09 1921```
```09Sep   1.5M  548 XXXX 2737```
```25Aug   1.4M  877 XX08 1596```
```06Aug   2.1M  806 XX04 2605```
```24Jul   1.7M  877 XX07 1938```
```22Jul  1.65M  852 XX01 1937```
```10Jul  2.25M  806 XX04 2792```
```08Jul  2.15M  806 XX04 2667```
```03Jul  1.59M  852 XX01 1866```
```27May 2.125M  877 XX05 2423```
```12May 2.155M  855 XX06 2520```
```09May  1.35M  617 XXXX 2188```
```21Apr  1.75M  877 XX08 1995```
```14Apr   1.5M  852 XX01 1761```
```28Mar  1.35M  548 XXXX 2464```
```25Mar 1.095M  548 XXXX 1998```
```21Mar   2.2M  877 XX05 2509```
```12Mar   2.1M  806 XX04 2605```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</si>
  <si>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1007787, *RESELL</t>
  </si>
  <si>
    <t>*RESELL*
*VS PRIMARY*
*BELLEVUE TOWERS T1+T2*
_Area: Downtown_
_Type: 1 bedroom apartment_
*Price dynamics, Dirham/sq.ft.*
_(x - primary; * - resell)_
```2737|               *      ```
```    |             *      **```
```    |                 *    ```
```    |                   *  ```
```2065|                      ```
```    |           **   *     ```
```    |                  *   ```
```    |              *       ```
```    |                      ```
```1057|          x           ```
```____|______________________```
```    |Dec1899        Jan2026```
_Source: see a table below_
*Latest resell transactions*
```Date   Price  BUA Type P/sf```
```------------2026-----------```
```14Jan 1.425M  548 XXXX 2600```
```------------2025-----------```
```15Dec   2.2M  855 XX06 2573```
```15Dec   1.8M  802 XX03 2244```
```17Nov   2.4M 1356 XX05 1770```
```10Nov     2M  855 XX06 2339```
```03Nov   1.7M  885 XX09 1921```
```09Sep   1.5M  548 XXXX 2737```
```25Aug   1.4M  877 XX08 1596```
```06Aug   2.1M  806 XX04 2605```
```24Jul   1.7M  877 XX07 1938```
```22Jul  1.65M  852 XX01 1937```
```10Jul  2.25M  806 XX04 2792```
```08Jul  2.15M  806 XX04 2667```
```03Jul  1.59M  852 XX01 1866```
```27May 2.125M  877 XX05 2423```
```12May 2.155M  855 XX06 2520```
```09May  1.35M  617 XXXX 2188```
*Latest primary transactions*
```------------2025-----------```
```17Feb 1.666M 1576 XXXX 1057```</t>
  </si>
  <si>
    <t>1007788, *SALES*</t>
  </si>
  <si>
    <t>*SALES*
*TRANSACTIONS**
*BELLEVUE TOWERS T1+T2*
_Area: Downtown_
_Type: 2 bedroom apartment_
```Date   Price  BUA Type P/sf```
```------------2025-----------```
```24Nov 2.875M 1289 XX05 2230```
```20Nov  2.75M 1292 XX02 2128```
```13Nov  2.75M 1292 XX02 2128```
```08May  2.85M 1289 XX05 2211```
```05May   2.6M 1024 XXXX 2539```
```27Mar   2.8M 1289 XX05 2172```
```24Feb 3.335M 1296 XX03 2573```
```24Feb   2.8M 1283 XX04 2182```
```05Feb  2.35M 1292 XX02 1819```
```14Jan  2.75M 1283 XX04 2143```
```------------2024-----------```
```18Nov   2.8M 1296 XX03 2160```
```04Sep 2.925M 1296 XX03 2257```
```09Aug   2.7M 1283 XX04 2104```
```18Jul  3.27M 1292 XX02 2531```
```16Jul   2.7M 1289 XX05 2095```
```02Jul   2.7M 1289 XX05 2095```
```11Jun 2.375M 1292 XX02 1838```
```04Jun   2.3M 1024 XXXX 2246```
```24Apr  2.55M 1289 XX05 1978```
```22Apr   2.1M 1024 XXXX 2051```
```01Apr 2.475M 1024 XXXX 2417```
```01Apr 2.835M 1944 XX05 1458```
```21Mar  2.15M 1024 XXXX 2100```
```29Feb   2.1M 1024 XXXX 2051```
```22Jan   2.2M 1296 XX03 1698```
```------------2023-----------```
```28Dec   2.8M 1971 XX03 1421```
```16Nov  2.55M 1296 XX03 1968```
```10Nov 2.607M 1296 XX03 2012```
```07Nov 2.684M 1289 XX05 2082```
```02Nov 2.544M 1296 XX03 1963```
_Source: DLD, Databot_
_BUA - built-up area, sq.ft._
_P/sf - price per sq.ft._
_B - bedrooms; O - office_
_M - million, K- thousand_
_S - studio, R - shop_
_*Max 30 latest transactions_
www.trydatabot.com</t>
  </si>
  <si>
    <t>1007789, *MARKET</t>
  </si>
  <si>
    <t>*MARKET*
*SNAPSHOT*
*BELLEVUE TOWERS T1+T2*
_Area: Downtown_
_Type: 2 bedroom apartment_
*Price dynamics, Dirham/sq.ft.*
_(M - median value)_
```2573|        *      * *    ```
```    | *                    ```
```    |                      ```
```    |    *     *   *   *  *```
```2152|---------------------M```
```    |      ** * **   *  ** ```
```    |  **                  ```
```    |                      ```
```    |     *       *        ```
```    |                      ```
```1458|*                     ```
```____|______________________```
```    |Apr2024        Nov2025```
_Source: see table below_
*Latest sales transactions*
```Date   Price  BUA Type P/sf```
```------------2025-----------```
```24Nov 2.875M 1289 XX05 2230```
```20Nov  2.75M 1292 XX02 2128```
```13Nov  2.75M 1292 XX02 2128```
```08May  2.85M 1289 XX05 2211```
```05May   2.6M 1024 XXXX 2539```
```27Mar   2.8M 1289 XX05 2172```
```24Feb 3.335M 1296 XX03 2573```
```24Feb   2.8M 1283 XX04 2182```
```05Feb  2.35M 1292 XX02 1819```
```14Jan  2.75M 1283 XX04 2143```
```------------2024-----------```
```18Nov   2.8M 1296 XX03 2160```
```04Sep 2.925M 1296 XX03 2257```
```09Aug   2.7M 1283 XX04 2104```
```18Jul  3.27M 1292 XX02 2531```
```16Jul   2.7M 1289 XX05 2095```
```02Jul   2.7M 1289 XX05 2095```
```11Jun 2.375M 1292 XX02 1838```
```04Jun   2.3M 1024 XXXX 2246```
```24Apr  2.55M 1289 XX05 1978```
```22Apr   2.1M 1024 XXXX 2051```
```01Apr 2.475M 1024 XXXX 2417```
```01Apr 2.835M 1944 XX05 1458```
```21Mar  2.15M 1024 XXXX 2100```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</si>
  <si>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1007792, *SALES*</t>
  </si>
  <si>
    <t>*SALES*
*TRANSACTIONS (RESALE)**
*BELLEVUE TOWERS T1+T2*
_Area: Downtown_
_Type: 3 bedroom apartment_
```Date   Price  BUA Type P/sf```
```------------2025-----------```
```26Nov  3.85M 1715 XX01 2245```
```30Oct   8.7M 2783 XX01 3126```
```24Jul     5M 2506 XX02 1995```
```07May 6.566M 2366 XX02 2775```
```24Apr  3.75M 1715 XX01 2187```
```28Feb     8M 2783 XX01 2875```
```14Feb 4.395M 1715 XX01 2563```
```22Jan   4.7M 4006 XX01 1173```
```------------2024-----------```
```15May  4.95M 2506 XX02 1975```
```15Mar   3.6M 1715 XX01 2099```
```15Feb  3.58M 1715 XX01 2087```
```13Feb   3.6M 1715 XX01 2099```
```07Feb   4.1M 4006 XX01 1023```
```26Jan 5.875M 2783 XX01 2111```
```11Jan   3.6M 1715 XX01 2099```
```------------2023-----------```
```30Nov  3.55M 1715 XX01 2070```
```02Nov 3.449M 1715 XX01 2011```
```13Sep 3.693M 1715 XX01 2153```
```26May   3.6M 1715 XX01 2099```
```22May 5.782M 3018 XX01 1916```
```09May  3.75M 2239 XX03 1675```
```24Apr 3.228M 1715 XX01 1882```
```------------2022-----------```
```08Aug 3.125M 1715 XX01 1822```
```------------2021-----------```
```13Dec 3.387M 1716 XX01 1974```
```04Oct   3.5M 1715 XX01 2041```
```05Aug 2.986M 1715 XX01 1741```
```04Aug 2.994M 1715 XX01 1746```
```04Aug 3.032M 1715 XX01 1768```
```04Aug 5.337M 2979 XX01 1792```
```22Mar 2.979M 1715 XX01 1737```
_Source: DLD, Databot_
_BUA - built-up area, sq.ft._
_P/sf - price per sq.ft._
_B - bedrooms; O - office_
_M - million, K- thousand_
_S - studio, R - shop_
_*Max 30 latest transactions_
www.trydatabot.com</t>
  </si>
  <si>
    <t>1007793, *MARKET</t>
  </si>
  <si>
    <t>*MARKET*
*SNAPSHOT*
*BELLEVUE TOWERS T1+T2*
_Area: Downtown_
_Type: 3 bedroom apartment_
*Price dynamics, Dirham/sq.ft.*
_(M - median value)_
```3126|                    * ```
```    |                *     ```
```    |                  *   ```
```    |               *      ```
```    |                 *   *```
```2099|---------------------M```
```    |   ****** ****     *  ```
```    |* *                   ```
```    | *                    ```
```    |                      ```
```1023|         *    *       ```
```____|______________________```
```    |Apr2023        Nov2025```
_Source: see table below_
*Latest sales transactions*
```Date   Price  BUA Type P/sf```
```------------2025-----------```
```26Nov  3.85M 1715 XX01 2245```
```30Oct   8.7M 2783 XX01 3126```
```24Jul     5M 2506 XX02 1995```
```07May 6.566M 2366 XX02 2775```
```24Apr  3.75M 1715 XX01 2187```
```28Feb     8M 2783 XX01 2875```
```14Feb 4.395M 1715 XX01 2563```
```22Jan   4.7M 4006 XX01 1173```
```------------2024-----------```
```15May  4.95M 2506 XX02 1975```
```15Mar   3.6M 1715 XX01 2099```
```15Feb  3.58M 1715 XX01 2087```
```13Feb   3.6M 1715 XX01 2099```
```07Feb   4.1M 4006 XX01 1023```
```26Jan 5.875M 2783 XX01 2111```
```11Jan   3.6M 1715 XX01 2099```
```------------2023-----------```
```30Nov  3.55M 1715 XX01 2070```
```02Nov 3.449M 1715 XX01 2011```
```13Sep 3.693M 1715 XX01 2153```
```26May   3.6M 1715 XX01 2099```
```22May 5.782M 3018 XX01 1916```
```09May  3.75M 2239 XX03 1675```
```24Apr 3.228M 1715 XX01 1882```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</si>
  <si>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1007795, *RESELL</t>
  </si>
  <si>
    <t>*RESELL*
*VS PRIMARY*
*BELLEVUE TOWERS T1+T2*
_Area: Downtown_
_Type: 3 bedroom apartment_
*Price dynamics, Dirham/sq.ft.*
_(x - primary; * - resell)_
```3126|                    * ```
```    |                *     ```
```    |                  *   ```
```    |               *      ```
```2346|                      ```
```    |          x**    *   *```
```    |             *     *  ```
```    |                      ```
```    |                      ```
```1173|              *       ```
```____|______________________```
```    |Dec1899        Nov2025```
_Source: see a table below_
*Latest resell transactions*
```Date   Price  BUA Type P/sf```
```------------2025-----------```
```26Nov  3.85M 1715 XX01 2245```
```30Oct   8.7M 2783 XX01 3126```
```24Jul     5M 2506 XX02 1995```
```07May 6.566M 2366 XX02 2775```
```24Apr  3.75M 1715 XX01 2187```
```28Feb     8M 2783 XX01 2875```
```14Feb 4.395M 1715 XX01 2563```
```22Jan   4.7M 4006 XX01 1173```
```------------2024-----------```
```15May  4.95M 2506 XX02 1975```
```15Mar   3.6M 1715 XX01 2099```
```15Feb  3.58M 1715 XX01 2087```
```13Feb   3.6M 1715 XX01 2099```
```07Feb   4.1M 4006 XX01 1023```
```26Jan 5.875M 2783 XX01 2111```
```11Jan   3.6M 1715 XX01 2099```
```------------2023-----------```
```30Nov  3.55M 1715 XX01 2070```
*Latest primary transactions*
```------------2025-----------```
```10Feb 3.716M 1715 XX01 2167```</t>
  </si>
  <si>
    <t>1007829, *SALES*</t>
  </si>
  <si>
    <t>*SALES*
*TRANSACTIONS (RESALE)**
*BELLEVUE TOWERS T1+T2*
_Area: Downtown_
_All types/bedrooms_
```Date    Price   BUA  Type B```
```------------2026-----------```
```14Jan  1.425M   548  XXXX 1```
```------------2025-----------```
```15Dec    2.2M   855  XX06 1```
```15Dec    1.8M   802  XX03 1```
```26Nov   3.85M  1715  XX01 3```
```24Nov  2.875M  1289  XX05 2```
```20Nov   2.75M  1292  XX02 2```
```17Nov    2.4M  1356  XX05 1```
```13Nov   2.75M  1292  XX02 2```
```10Nov      2M   855  XX06 1```
```03Nov    1.7M   885  XX09 1```
```30Oct    8.7M  2783  XX01 3```
```09Sep    1.5M   548  XXXX 1```
```25Aug    1.4M   877  XX08 1```
```06Aug    2.1M   806  XX04 1```
```24Jul    1.7M   877  XX07 1```
```24Jul      5M  2506  XX02 3```
```22Jul   1.65M   852  XX01 1```
```10Jul   2.25M   806  XX04 1```
```08Jul   2.15M   806  XX04 1```
```03Jul   1.59M   852  XX01 1```
```27May  2.125M   877  XX05 1```
```12May  2.155M   855  XX06 1```
```09May   1.35M   617  XXXX 1```
```08May   2.85M  1289  XX05 2```
```07May  6.566M  2366  XX02 3```
```05May    2.6M  1024  XXXX 2```
```24Apr   3.75M  1715  XX01 3```
```21Apr   1.75M   877  XX08 1```
```14Apr    1.5M   852  XX01 1```
```28Mar   1.35M   548  XXXX 1```
_Source: DLD, Databot_
_BUA - built-up area, sq.ft._
_P/sf - price per sq.ft._
_B - bedrooms; O - office_
_M - million, K- thousand_
_S - studio, R - shop_
_*Max 30 latest transactions_
www.trydatabot.com</t>
  </si>
  <si>
    <t>1007830, by code, *BUILDI</t>
  </si>
  <si>
    <t xml:space="preserve">*BUILDING*
*PROFILE*
*BELLEVUE TOWERS T1+T2*
_Area: Downtown_
_Tap&amp;hold to copy a reply_
```-------------------------```
```Report              Reply```
```-------------------------```
*1 B/R*
```Resell, ROI       1007784```
```Primary sales     1007832```
```Price chart       1007785```
```Rentals               n/a```
```Appreciation      1007787```
*2 B/R*
```Sales, ROI        1007788```
```Price chart       1007789```
```Rentals               n/a```
*3 B/R*
```Resell, ROI       1007792```
```Primary sales     1007834```
```Price chart       1007793```
```Rentals               n/a```
```Appreciation      1007795```
*All types/bedrooms*
```Resell, ROI       1007829```
```Primary sales     1007843```
```Rentals               n/a```
</t>
  </si>
  <si>
    <t>1007832, *SALES*</t>
  </si>
  <si>
    <t>*SALES*
*TRANSACTIONS (PRIMARY)**
*BELLEVUE TOWERS T1+T2*
_Area: Downtown_
_Type: 1 bedroom apartment_
```Date   Price  BUA Type P/sf```
```------------2025-----------```
```17Feb 1.666M 1576 XXXX 1057```
_Source: DLD, Databot_
_BUA - built-up area, sq.ft._
_P/sf - price per sq.ft._
_B - bedrooms; O - office_
_M - million, K- thousand_
_S - studio, R - shop_
_*Max 20 latest transactions_
www.trydatabot.com</t>
  </si>
  <si>
    <t>1007834, *SALES*</t>
  </si>
  <si>
    <t>*SALES*
*TRANSACTIONS (PRIMARY)**
*BELLEVUE TOWERS T1+T2*
_Area: Downtown_
_Type: 3 bedroom apartment_
```Date   Price  BUA Type P/sf```
```------------2025-----------```
```10Feb 3.716M 1715 XX01 2167```
_Source: DLD, Databot_
_BUA - built-up area, sq.ft._
_P/sf - price per sq.ft._
_B - bedrooms; O - office_
_M - million, K- thousand_
_S - studio, R - shop_
_*Max 20 latest transactions_
www.trydatabot.com</t>
  </si>
  <si>
    <t>1007843, *SALES*</t>
  </si>
  <si>
    <t>*SALES*
*TRANSACTIONS (PRIMARY)**
*BELLEVUE TOWERS T1+T2*
_Area: Downtown_
_All types/bedrooms_
```Date    Price   BUA  Type B```
```------------2025-----------```
```17Feb  1.666M  1576  XXXX 1```
```10Feb  3.716M  1715  XX01 3```
_Source: DLD, Databot_
_BUA - built-up area, sq.ft._
_P/sf - price per sq.ft._
_B - bedrooms; O - office_
_M - million, K- thousand_
_S - studio, R - shop_
_*Max 20 latest transactions_
www.trydatabot.com</t>
  </si>
  <si>
    <t>1007848, *SALES*</t>
  </si>
  <si>
    <t>*SALES*
*TRANSACTIONS**
*BLVD HEIGHTS T1*
_Area: Downtown_
_Type: 1 bedroom apartment_
```Date   Price  BUA Type P/sf```
```------------2025-----------```
```09Dec  2.94M  891 XX04 3300```
```13Nov   2.6M  949 XX03 2740```
```06Oct   2.5M  920 XX03 2717```
```16Sep  2.45M  929 XX03 2637```
```12Sep 2.175M  867 XX04 2509```
```02Jul   2.3M  891 XX04 2581```
```19May   2.5M  930 XX03 2688```
```14Jan   1.5M  930 XX03 1613```
```07Jan   2.4M  867 XX04 2768```
```------------2024-----------```
```30Dec 2.475M  867 XX04 2855```
```21Oct  2.43M  930 XX03 2613```
```30Sep  2.35M  920 XX03 2554```
```13Aug  2.25M  891 XX04 2525```
```03Jul  2.45M  929 XX03 2637```
```31May  2.45M  930 XX03 2634```
```25Apr  2.02M  888 XX04 2275```
```04Apr   800K  867 XX04  923```
```11Mar   2.2M  891 XX04 2469```
```11Jan     2M  949 XX03 2107```
```------------2023-----------```
```14Dec     2M  888 XX04 2252```
```18Oct 1.662M  867 XX04 1917```
```18Oct 1.743M  929 XX03 1876```
```12Sep   1.9M  930 XX03 2043```
```27Jul 2.005M  867 XX04 2313```
```07Jun  2.15M  920 XX03 2337```
```06Jun  1.65M  930 XX03 1774```
```09May 2.001M  867 XX04 2308```
```------------2022-----------```
```12Dec  1.83M  929 XX03 1970```
```03Nov  1.78M  920 XX03 1935```
```17Oct   1.8M  929 XX03 1938```
_Source: DLD, Databot_
_BUA - built-up area, sq.ft._
_P/sf - price per sq.ft._
_B - bedrooms; O - office_
_M - million, K- thousand_
_S - studio, R - shop_
_*Max 30 latest transactions_
www.trydatabot.com</t>
  </si>
  <si>
    <t>Blvd Heights T1</t>
  </si>
  <si>
    <t>1007849, *MARKET</t>
  </si>
  <si>
    <t>*MARKET*
*SNAPSHOT*
*BLVD HEIGHTS T1*
_Area: Downtown_
_Type: 1 bedroom apartment_
*Price dynamics, Dirham/sq.ft.*
_(M - median value)_
```3300|                     *```
```    |                      ```
```    |            **     ** ```
```2568|---------------------M```
```    |    *  *****   ****   ```
```    |  *   *               ```
```    |   *                  ```
```    |**                    ```
```    |              *       ```
```    |                      ```
```923 |     *                ```
```____|______________________```
```    |Oct2023        Dec2025```
_Source: see table below_
*Latest sales transactions*
```Date   Price  BUA Type P/sf```
```------------2025-----------```
```09Dec  2.94M  891 XX04 3300```
```13Nov   2.6M  949 XX03 2740```
```06Oct   2.5M  920 XX03 2717```
```16Sep  2.45M  929 XX03 2637```
```12Sep 2.175M  867 XX04 2509```
```02Jul   2.3M  891 XX04 2581```
```19May   2.5M  930 XX03 2688```
```14Jan   1.5M  930 XX03 1613```
```07Jan   2.4M  867 XX04 2768```
```------------2024-----------```
```30Dec 2.475M  867 XX04 2855```
```21Oct  2.43M  930 XX03 2613```
```30Sep  2.35M  920 XX03 2554```
```13Aug  2.25M  891 XX04 2525```
```03Jul  2.45M  929 XX03 2637```
```31May  2.45M  930 XX03 2634```
```25Apr  2.02M  888 XX04 2275```
```04Apr   800K  867 XX04  923```
```11Mar   2.2M  891 XX04 2469```
```11Jan     2M  949 XX03 2107```
```------------2023-----------```
```14Dec     2M  888 XX04 2252```
```18Oct 1.662M  867 XX04 1917```
```18Oct 1.743M  929 XX03 1876```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</si>
  <si>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1007852, *SALES*</t>
  </si>
  <si>
    <t>*SALES*
*TRANSACTIONS**
*BLVD HEIGHTS T1*
_Area: Downtown_
_Type: 2 bedroom apartment_
```Date   Price  BUA Type P/sf```
```------------2026-----------```
```07Jan 3.925M 1739 XX06 2257```
```------------2025-----------```
```29Aug   3.9M 1737 XX01 2245```
```05Aug  3.95M 1662 XX02 2377```
```29Jul 3.675M 1639 XX05 2242```
```01Jul  3.85M 1664 XX02 2314```
```17Apr   6.7M 2418 XX02 2771```
```11Apr  4.09M 1741 XX01 2349```
```18Mar   3.5M 1567 XX05 2234```
```24Feb  3.75M 1567 XX05 2393```
```21Jan   4.2M 1741 XX01 2412```
```------------2024-----------```
```13Dec   3.8M 1735 XX06 2190```
```12Dec  3.58M 1665 XX02 2150```
```04Dec   4.3M 1741 XX01 2470```
```28Nov   3.7M 1567 XX05 2361```
```28Nov 4.375M 1741 XX01 2513```
```18Nov  3.45M 1639 XX05 2105```
```14Nov  3.35M 1567 XX05 2138```
```06Nov  3.75M 1668 XX02 2248```
```28Oct  3.95M 1741 XX01 2269```
```18Oct  3.54M 1639 XX05 2160```
```01Oct   3.7M 1413 XX07 2619```
```22Aug   3.5M 1632 XX05 2145```
```22Aug   3.5M 1632 XX05 2145```
```16Jul   3.8M 1665 XX02 2282```
```11Jun   3.6M 1660 XX02 2169```
```06Jun 3.575M 1413 XX07 2530```
```24May  3.85M 1739 XX06 2214```
```14May   4.1M 1737 XX01 2360```
```17Apr  3.75M 1405 XX07 2669```
```03Apr 3.425M 1667 XX02 2055```
_Source: DLD, Databot_
_BUA - built-up area, sq.ft._
_P/sf - price per sq.ft._
_B - bedrooms; O - office_
_M - million, K- thousand_
_S - studio, R - shop_
_*Max 30 latest transactions_
www.trydatabot.com</t>
  </si>
  <si>
    <t>1007853, *MARKET</t>
  </si>
  <si>
    <t>*MARKET*
*SNAPSHOT*
*BLVD HEIGHTS T1*
_Area: Downtown_
_Type: 2 bedroom apartment_
*Price dynamics, Dirham/sq.ft.*
_(M - median value)_
```2771|                *     ```
```    |                      ```
```    | *                    ```
```    |                      ```
```    |       * *            ```
```    |            *         ```
```    |        *    * *   *  ```
```    |   *             *    ```
```2263|---------------------M```
```    |    *      *  *   * **```
```2105|* *  **   *           ```
```____|______________________```
```    |Aug2024        Jan2026```
_Source: see table below_
*Latest sales transactions*
```Date   Price  BUA Type P/sf```
```------------2026-----------```
```07Jan 3.925M 1739 XX06 2257```
```------------2025-----------```
```29Aug   3.9M 1737 XX01 2245```
```05Aug  3.95M 1662 XX02 2377```
```29Jul 3.675M 1639 XX05 2242```
```01Jul  3.85M 1664 XX02 2314```
```17Apr   6.7M 2418 XX02 2771```
```11Apr  4.09M 1741 XX01 2349```
```18Mar   3.5M 1567 XX05 2234```
```24Feb  3.75M 1567 XX05 2393```
```21Jan   4.2M 1741 XX01 2412```
```------------2024-----------```
```13Dec   3.8M 1735 XX06 2190```
```12Dec  3.58M 1665 XX02 2150```
```04Dec   4.3M 1741 XX01 2470```
```28Nov   3.7M 1567 XX05 2361```
```28Nov 4.375M 1741 XX01 2513```
```18Nov  3.45M 1639 XX05 2105```
```14Nov  3.35M 1567 XX05 2138```
```06Nov  3.75M 1668 XX02 2248```
```28Oct  3.95M 1741 XX01 2269```
```18Oct  3.54M 1639 XX05 2160```
```01Oct   3.7M 1413 XX07 2619```
```22Aug   3.5M 1632 XX05 2145```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</si>
  <si>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1007856, *SALES*</t>
  </si>
  <si>
    <t>*SALES*
*TRANSACTIONS**
*BLVD HEIGHTS T1*
_Area: Downtown_
_Type: 3 bedroom apartment_
```Date   Price  BUA Type P/sf```
```------------2026-----------```
```06Jan   7.7M 2600 XXXX 2962```
```------------2025-----------```
```21Nov  6.94M 2741 XX02 2532```
```23Oct  7.35M 2630 XX01 2795```
```04Feb   5.8M 2363 XX06 2455```
```------------2024-----------```
```20Dec   6.3M 2610 XX01 2414```
```29Nov   5.9M 2363 XX06 2497```
```11Sep   5.6M 2363 XX06 2370```
```30Apr   5.9M 2610 XX01 2261```
```16Apr  6.15M 2610 XX01 2356```
```18Jan   6.1M 2523 XX04 2418```
```05Jan  5.75M 2610 XX01 2203```
```------------2023-----------```
```02Nov  5.75M 2610 XX01 2203```
```15Jun  8.25M 2610 XX01 3161```
```25May  5.85M 2615 XX01 2237```
```22Feb 6.388M 2600 XX01 2457```
```------------2022-----------```
```02Nov  4.98M 2363 XX06 2107```
```20Apr 6.199M 2363 XX06 2623```
```06Apr  4.55M 2363 XX06 1926```
```24Mar 5.635M 2610 XX01 2159```
```06Jan 5.319M 2363 XX06 2251```
```------------2021-----------```
```12Dec   5.5M 2610 XX01 2107```
```15Nov 5.814M 2600 XX01 2236```
```14Nov 5.903M 2363 XX06 2498```
```31Oct 6.028M 2610 XX01 2310```
```25Oct  5.37M 2363 XX06 2272```
```25Oct 6.002M 2825 XX01 2125```
```04Oct 5.806M 2363 XX06 2457```
```09Sep 6.096M 2630 XX01 2318```
```12Jul 5.898M 2363 XX06 2496```
```10Jun   5.5M 2610 XX01 2107```
_Source: DLD, Databot_
_BUA - built-up area, sq.ft._
_P/sf - price per sq.ft._
_B - bedrooms; O - office_
_M - million, K- thousand_
_S - studio, R - shop_
_*Max 30 latest transactions_
www.trydatabot.com</t>
  </si>
  <si>
    <t>1007857, *MARKET</t>
  </si>
  <si>
    <t>*MARKET*
*SNAPSHOT*
*BLVD HEIGHTS T1*
_Area: Downtown_
_Type: 3 bedroom apartment_
*Price dynamics, Dirham/sq.ft.*
_(M - median value)_
```3161|         *            ```
```    |                      ```
```    |                     *```
```    |                   *  ```
```    |     *                ```
```    |                *   * ```
```2363|---------------------M```
```    |       *    ** * **   ```
```    |* *     *     *       ```
```    | * *  *   **          ```
```1926|    *                 ```
```____|______________________```
```    |Nov2021        Jan2026```
_Source: see table below_
*Latest sales transactions*
```Date   Price  BUA Type P/sf```
```------------2026-----------```
```06Jan   7.7M 2600 XXXX 2962```
```------------2025-----------```
```21Nov  6.94M 2741 XX02 2532```
```23Oct  7.35M 2630 XX01 2795```
```04Feb   5.8M 2363 XX06 2455```
```------------2024-----------```
```20Dec   6.3M 2610 XX01 2414```
```29Nov   5.9M 2363 XX06 2497```
```11Sep   5.6M 2363 XX06 2370```
```30Apr   5.9M 2610 XX01 2261```
```16Apr  6.15M 2610 XX01 2356```
```18Jan   6.1M 2523 XX04 2418```
```05Jan  5.75M 2610 XX01 2203```
```------------2023-----------```
```02Nov  5.75M 2610 XX01 2203```
```15Jun  8.25M 2610 XX01 3161```
```25May  5.85M 2615 XX01 2237```
```22Feb 6.388M 2600 XX01 2457```
```------------2022-----------```
```02Nov  4.98M 2363 XX06 2107```
```20Apr 6.199M 2363 XX06 2623```
```06Apr  4.55M 2363 XX06 1926```
```24Mar 5.635M 2610 XX01 2159```
```06Jan 5.319M 2363 XX06 2251```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</si>
  <si>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1007860, *SALES*</t>
  </si>
  <si>
    <t>*SALES*
*TRANSACTIONS**
*BLVD HEIGHTS T1*
_Area: Downtown_
_Type: 4 bedroom apartment_
```Date   Price  BUA Type P/sf```
```------------2022-----------```
```09Jun 8.865M 4639 XX05 1911```
```------------2021-----------```
```13Apr 10.21M 6646 XX03 1537```
_Source: DLD, Databot_
_BUA - built-up area, sq.ft._
_P/sf - price per sq.ft._
_B - bedrooms; O - office_
_M - million, K- thousand_
_S - studio, R - shop_
_*Max 30 latest transactions_
www.trydatabot.com</t>
  </si>
  <si>
    <t>1007861, *MARKET</t>
  </si>
  <si>
    <t>*MARKET*
*SNAPSHOT*
*BLVD HEIGHTS T1*
_Area: Downtown_
_Type: 4 bedroom apartment_
*Price dynamics, Dirham/sq.ft.*
_(M - median value)_
```1911|                     *```
```    |                      ```
```    |                      ```
```    |                      ```
```    |                      ```
```1724|---------------------M```
```    |                      ```
```    |                      ```
```    |                      ```
```    |                      ```
```1537|                    * ```
```____|______________________```
```    |Apr2021        Jun2022```
_Source: see table below_
*Latest sales transactions*
```Date   Price  BUA Type P/sf```
```------------2022-----------```
```09Jun 8.865M 4639 XX05 1911```
```------------2021-----------```
```13Apr 10.21M 6646 XX03 1537```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</si>
  <si>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1007893, *SALES*</t>
  </si>
  <si>
    <t>*SALES*
*TRANSACTIONS**
*BLVD HEIGHTS T1*
_Area: Downtown_
_All types/bedrooms_
```Date    Price   BUA  Type B```
```------------2026-----------```
```07Jan  3.925M  1739  XX06 2```
```06Jan    7.7M  2600  XXXX 3```
```------------2025-----------```
```09Dec   2.94M   891  XX04 1```
```21Nov   6.94M  2741  XX02 3```
```13Nov    2.6M   949  XX03 1```
```23Oct   7.35M  2630  XX01 3```
```06Oct    2.5M   920  XX03 1```
```16Sep   2.45M   929  XX03 1```
```12Sep  2.175M   867  XX04 1```
```29Aug    3.9M  1737  XX01 2```
```05Aug   3.95M  1662  XX02 2```
```29Jul  3.675M  1639  XX05 2```
```02Jul    2.3M   891  XX04 1```
```01Jul   3.85M  1664  XX02 2```
```19May    2.5M   930  XX03 1```
```17Apr    6.7M  2418  XX02 2```
```11Apr   4.09M  1741  XX01 2```
```18Mar    3.5M  1567  XX05 2```
```24Feb   3.75M  1567  XX05 2```
```04Feb    5.8M  2363  XX06 3```
```21Jan    4.2M  1741  XX01 2```
```14Jan    1.5M   930  XX03 1```
```07Jan    2.4M   867  XX04 1```
```------------2024-----------```
```30Dec  2.475M   867  XX04 1```
```20Dec    6.3M  2610  XX01 3```
```13Dec    3.8M  1735  XX06 2```
```12Dec   3.58M  1665  XX02 2```
```04Dec    4.3M  1741  XX01 2```
```29Nov    5.9M  2363  XX06 3```
```28Nov    3.7M  1567  XX05 2```
_Source: DLD, Databot_
_BUA - built-up area, sq.ft._
_P/sf - price per sq.ft._
_B - bedrooms; O - office_
_M - million, K- thousand_
_S - studio, R - shop_
_*Max 30 latest transactions_
www.trydatabot.com</t>
  </si>
  <si>
    <t>1007894, by code, *BUILDI</t>
  </si>
  <si>
    <t xml:space="preserve">*BUILDING*
*PROFILE*
*BLVD HEIGHTS T1*
_Area: Downtown_
_Tap&amp;hold to copy a reply_
```-------------------------```
```Report              Reply```
```-------------------------```
*1 B/R*
```Sales, ROI        1007848```
```Price chart       1007849```
```Rentals               n/a```
*2 B/R*
```Sales, ROI        1007852```
```Price chart       1007853```
```Rentals               n/a```
*3 B/R*
```Sales, ROI        1007856```
```Price chart       1007857```
```Rentals               n/a```
*4 B/R*
```Sales, ROI        1007860```
```Price chart       1007861```
```Rentals               n/a```
*All types/bedrooms*
```Sales, ROI        1007893```
```Rentals               n/a```
</t>
  </si>
  <si>
    <t>1007912, *SALES*</t>
  </si>
  <si>
    <t>*SALES*
*TRANSACTIONS**
*BLVD HEIGHTS T2*
_Area: Downtown_
_Type: 1 bedroom apartment_
```Date   Price  BUA Type P/sf```
```------------2025-----------```
```25Jun   2.4M  892 XX04 2691```
```11Jun  2.45M  867 XX04 2826```
```20Jan 2.333M  888 XX04 2627```
```13Jan  2.45M  906 XX03 2704```
```------------2024-----------```
```11Nov  2.45M  867 XX04 2826```
```31Oct  2.43M  929 XX03 2616```
```19Aug   2.4M  867 XX04 2768```
```10May   2.5M  867 XX04 2884```
```02Apr 2.225M  889 XX04 2503```
```15Mar   2.3M  931 XX03 2470```
```------------2023-----------```
```22Sep  2.09M  931 XX03 2245```
```07Sep 2.175M  931 XX03 2336```
```17Jul  1.83M  889 XX04 2058```
```23Jun   2.1M  867 XX04 2422```
```03Apr  2.05M  929 XX03 2207```
```22Mar  1.88M  929 XX03 2024```
```26Jan  1.95M  867 XX04 2249```
```------------2022-----------```
```21Nov  1.85M  931 XX03 1987```
```14Oct   1.7M  929 XX03 1830```
```12Sep  1.95M  930 XX03 2097```
```07Sep   2.1M  867 XX04 2422```
```20Jul   1.6M  892 XX04 1794```
```18Jul  1.65M  931 XX03 1772```
```29Jun   1.4M  929 XX03 1507```
```27Apr 2.004M  888 XX04 2257```
```11Apr   1.6M  931 XX03 1719```
```11Mar   1.4M  892 XX04 1570```
```------------2021-----------```
```03Aug   1.5M  892 XX04 1682```
```05Jul 1.896M  931 XX03 2036```
```24May 1.927M  931 XX03 2070```
_Source: DLD, Databot_
_BUA - built-up area, sq.ft._
_P/sf - price per sq.ft._
_B - bedrooms; O - office_
_M - million, K- thousand_
_S - studio, R - shop_
_*Max 30 latest transactions_
www.trydatabot.com</t>
  </si>
  <si>
    <t>Blvd Heights T2</t>
  </si>
  <si>
    <t>1007913, *MARKET</t>
  </si>
  <si>
    <t>*MARKET*
*SNAPSHOT*
*BLVD HEIGHTS T2*
_Area: Downtown_
_Type: 1 bedroom apartment_
*Price dynamics, Dirham/sq.ft.*
_(M - median value)_
```2884|              *       ```
```    |               * *  * ```
```    |                * ** *```
```    |             *        ```
```2422|---------------------M```
```    | *      *   *         ```
```    |          *           ```
```    |     * *   *          ```
```    |  *                   ```
```    |    * *  *            ```
```1794|*  *                  ```
```____|______________________```
```    |Jul2022        Jun2025```
_Source: see table below_
*Latest sales transactions*
```Date   Price  BUA Type P/sf```
```------------2025-----------```
```25Jun   2.4M  892 XX04 2691```
```11Jun  2.45M  867 XX04 2826```
```20Jan 2.333M  888 XX04 2627```
```13Jan  2.45M  906 XX03 2704```
```------------2024-----------```
```11Nov  2.45M  867 XX04 2826```
```31Oct  2.43M  929 XX03 2616```
```19Aug   2.4M  867 XX04 2768```
```10May   2.5M  867 XX04 2884```
```02Apr 2.225M  889 XX04 2503```
```15Mar   2.3M  931 XX03 2470```
```------------2023-----------```
```22Sep  2.09M  931 XX03 2245```
```07Sep 2.175M  931 XX03 2336```
```17Jul  1.83M  889 XX04 2058```
```23Jun   2.1M  867 XX04 2422```
```03Apr  2.05M  929 XX03 2207```
```22Mar  1.88M  929 XX03 2024```
```26Jan  1.95M  867 XX04 2249```
```------------2022-----------```
```21Nov  1.85M  931 XX03 1987```
```14Oct   1.7M  929 XX03 1830```
```12Sep  1.95M  930 XX03 2097```
```07Sep   2.1M  867 XX04 2422```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</si>
  <si>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1007916, *SALES*</t>
  </si>
  <si>
    <t>*SALES*
*TRANSACTIONS**
*BLVD HEIGHTS T2*
_Area: Downtown_
_Type: 2 bedroom apartment_
```Date   Price  BUA Type P/sf```
```------------2025-----------```
```18Dec   3.8M 1660 XX02 2289```
```24Sep   3.8M 1660 XXXX 2289```
```09Sep 3.475M 1413 XX07 2459```
```03Jul   3.5M 1576 XX05 2221```
```06Mar   3.7M 1633 XX02 2266```
```19Feb  4.75M 1737 XX01 2735```
```------------2024-----------```
```18Nov   3.7M 1660 XX02 2229```
```30Oct  3.75M 1667 XX02 2250```
```25Sep   4.4M 1660 XX02 2651```
```02Sep 3.375M 1576 XX05 2141```
```22Aug  3.99M 1740 XX01 2293```
```09Jul     3M 1735 XX06 1729```
```27Jun     3M 1576 XX05 1904```
```13Jun   6.2M 2529 XX04 2452```
```30May  3.35M 1632 XX05 2053```
```21May  3.57M 1737 XX01 2055```
```21May  3.35M 1632 XX05 2053```
```10May   3.3M 1413 XX07 2335```
```22Apr  3.25M 1667 XX02 1950```
```27Mar 3.441M 1667 XX02 2064```
```08Mar  3.55M 1413 XX07 2512```
```22Feb  3.85M 1740 XX01 2213```
```24Jan 3.473M 1735 XX06 2002```
```15Jan 4.125M 1853 XX03 2226```
```------------2023-----------```
```13Dec  3.25M 1632 XX05 1991```
```29Nov  3.25M 1632 XX05 1991```
```13Nov 3.025M 1413 XX07 2141```
```09Nov  3.11M 1632 XX05 1906```
```05Oct  3.65M 1741 XX01 2096```
```28Sep   3.1M 1632 XX05 1900```
_Source: DLD, Databot_
_BUA - built-up area, sq.ft._
_P/sf - price per sq.ft._
_B - bedrooms; O - office_
_M - million, K- thousand_
_S - studio, R - shop_
_*Max 30 latest transactions_
www.trydatabot.com</t>
  </si>
  <si>
    <t>1007917, *MARKET</t>
  </si>
  <si>
    <t>*MARKET*
*SNAPSHOT*
*BLVD HEIGHTS T2*
_Area: Downtown_
_Type: 2 bedroom apartment_
*Price dynamics, Dirham/sq.ft.*
_(M - median value)_
```2735|                *     ```
```    |             *        ```
```    | *                    ```
```    |        *          *  ```
```    |    *      *        **```
```2240|---------------------M```
```    |*             ** **   ```
```    |            *         ```
```    |  *  ***              ```
```    |   *     *            ```
```1729|          *           ```
```____|______________________```
```    |Feb2024        Dec2025```
_Source: see table below_
*Latest sales transactions*
```Date   Price  BUA Type P/sf```
```------------2025-----------```
```18Dec   3.8M 1660 XX02 2289```
```24Sep   3.8M 1660 XXXX 2289```
```09Sep 3.475M 1413 XX07 2459```
```03Jul   3.5M 1576 XX05 2221```
```06Mar   3.7M 1633 XX02 2266```
```19Feb  4.75M 1737 XX01 2735```
```------------2024-----------```
```18Nov   3.7M 1660 XX02 2229```
```30Oct  3.75M 1667 XX02 2250```
```25Sep   4.4M 1660 XX02 2651```
```02Sep 3.375M 1576 XX05 2141```
```22Aug  3.99M 1740 XX01 2293```
```09Jul     3M 1735 XX06 1729```
```27Jun     3M 1576 XX05 1904```
```13Jun   6.2M 2529 XX04 2452```
```30May  3.35M 1632 XX05 2053```
```21May  3.57M 1737 XX01 2055```
```21May  3.35M 1632 XX05 2053```
```10May   3.3M 1413 XX07 2335```
```22Apr  3.25M 1667 XX02 1950```
```27Mar 3.441M 1667 XX02 2064```
```08Mar  3.55M 1413 XX07 2512```
```22Feb  3.85M 1740 XX01 2213```
```24Jan 3.473M 1735 XX06 2002```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</si>
  <si>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1007920, *SALES*</t>
  </si>
  <si>
    <t>*SALES*
*TRANSACTIONS**
*BLVD HEIGHTS T2*
_Area: Downtown_
_Type: 3 bedroom apartment_
```Date   Price  BUA Type P/sf```
```------------2025-----------```
```22May     6M 2610 XX01 2299```
```21Mar   6.3M 2354 XX06 2676```
```13Mar  5.85M 2354 XX06 2485```
```------------2024-----------```
```17Jul  6.36M 2610 XX01 2437```
```04Jul   5.7M 2354 XX06 2421```
```30May     7M 2610 XX01 2682```
```------------2023-----------```
```13Jun 2.675M 2610 XX01 1025```
```10Mar  5.35M 2610 XX01 2050```
```13Feb  5.28M 2610 XX01 2023```
```12Jan     5M 2610 XX01 1916```
```12Jan   5.4M 2600 XX01 2077```
```------------2022-----------```
```11Nov   5.4M 2354 XX06 2294```
```16Sep 6.177M 2610 XX01 2367```
```27Jul 6.225M 2610 XX01 2385```
```05Apr  4.95M 2354 XX06 2103```
```06Jan 5.286M 2354 XX06 2246```
```06Jan 5.271M 2354 XX06 2239```
```06Jan 5.304M 2354 XX06 2253```
```06Jan 5.282M 2354 XX06 2244```
```05Jan 5.315M 2354 XX06 2258```
```------------2021-----------```
```16Dec 5.916M 2354 XX06 2513```
```15Dec 6.111M 2610 XX01 2341```
```30Nov 6.064M 2610 XX01 2323```
```28Nov 5.611M 2600 XX01 2158```
```15Nov 6.069M 2610 XX01 2325```
```15Nov 6.184M 2615 XX01 2365```
```09Nov 4.245M 2354 XX06 1803```
```17Jun  5.91M 2610 XX01 2264```
```------------2019-----------```
```02Apr 5.345M 2600 XX01 2056```
_Source: DLD, Databot_
_BUA - built-up area, sq.ft._
_P/sf - price per sq.ft._
_B - bedrooms; O - office_
_M - million, K- thousand_
_S - studio, R - shop_
_*Max 30 latest transactions_
www.trydatabot.com</t>
  </si>
  <si>
    <t>1007921, *MARKET</t>
  </si>
  <si>
    <t>*MARKET*
*SNAPSHOT*
*BLVD HEIGHTS T2*
_Area: Downtown_
_Type: 3 bedroom apartment_
*Price dynamics, Dirham/sq.ft.*
_(M - median value)_
```2682|                *   * ```
```    | *                **  ```
```2276|---------------------M```
```    |*       ***      *   *```
```    |  ******              ```
```    |           * **       ```
```    |            *         ```
```    |                      ```
```    |                      ```
```    |                      ```
```1025|               *      ```
```____|______________________```
```    |Dec2021        May2025```
_Source: see table below_
*Latest sales transactions*
```Date   Price  BUA Type P/sf```
```------------2025-----------```
```22May     6M 2610 XX01 2299```
```21Mar   6.3M 2354 XX06 2676```
```13Mar  5.85M 2354 XX06 2485```
```------------2024-----------```
```17Jul  6.36M 2610 XX01 2437```
```04Jul   5.7M 2354 XX06 2421```
```30May     7M 2610 XX01 2682```
```------------2023-----------```
```13Jun 2.675M 2610 XX01 1025```
```10Mar  5.35M 2610 XX01 2050```
```13Feb  5.28M 2610 XX01 2023```
```12Jan     5M 2610 XX01 1916```
```12Jan   5.4M 2600 XX01 2077```
```------------2022-----------```
```11Nov   5.4M 2354 XX06 2294```
```16Sep 6.177M 2610 XX01 2367```
```27Jul 6.225M 2610 XX01 2385```
```05Apr  4.95M 2354 XX06 2103```
```06Jan 5.286M 2354 XX06 2246```
```06Jan 5.271M 2354 XX06 2239```
```06Jan 5.304M 2354 XX06 2253```
```06Jan 5.282M 2354 XX06 2244```
```05Jan 5.315M 2354 XX06 2258```
```------------2021-----------```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</si>
  <si>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1007924, *SALES*</t>
  </si>
  <si>
    <t>*SALES*
*TRANSACTIONS**
*BLVD HEIGHTS T2*
_Area: Downtown_
_Type: 4 bedroom apartment_
```Date   Price  BUA Type P/sf```
```------------2023-----------```
```27Apr 14.65M 6643 XX03 2205```
```------------2022-----------```
```10Feb  12.9M 6643 XX03 1942```
```------------2021-----------```
```22Nov 11.14M 6643 XX03 1678```
_Source: DLD, Databot_
_BUA - built-up area, sq.ft._
_P/sf - price per sq.ft._
_B - bedrooms; O - office_
_M - million, K- thousand_
_S - studio, R - shop_
_*Max 30 latest transactions_
www.trydatabot.com</t>
  </si>
  <si>
    <t>1007925, *MARKET</t>
  </si>
  <si>
    <t>*MARKET*
*SNAPSHOT*
*BLVD HEIGHTS T2*
_Area: Downtown_
_Type: 4 bedroom apartment_
*Price dynamics, Dirham/sq.ft.*
_(M - median value)_
```2205|                     *```
```    |                      ```
```    |                      ```
```    |                      ```
```    |                      ```
```1942|---------------------M```
```    |                    * ```
```    |                      ```
```    |                      ```
```    |                      ```
```1678|                   *  ```
```____|______________________```
```    |Nov2021        Apr2023```
_Source: see table below_
*Latest sales transactions*
```Date   Price  BUA Type P/sf```
```------------2023-----------```
```27Apr 14.65M 6643 XX03 2205```
```------------2022-----------```
```10Feb  12.9M 6643 XX03 1942```
```------------2021-----------```
```22Nov 11.14M 6643 XX03 1678```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</si>
  <si>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1007957, *SALES*</t>
  </si>
  <si>
    <t>*SALES*
*TRANSACTIONS**
*BLVD HEIGHTS T2*
_Area: Downtown_
_All types/bedrooms_
```Date    Price   BUA  Type B```
```------------2025-----------```
```18Dec    3.8M  1660  XX02 2```
```24Sep    3.8M  1660  XXXX 2```
```09Sep  3.475M  1413  XX07 2```
```03Jul    3.5M  1576  XX05 2```
```25Jun    2.4M   892  XX04 1```
```11Jun   2.45M   867  XX04 1```
```22May      6M  2610  XX01 3```
```21Mar    6.3M  2354  XX06 3```
```13Mar   5.85M  2354  XX06 3```
```06Mar    3.7M  1633  XX02 2```
```19Feb   4.75M  1737  XX01 2```
```20Jan  2.333M   888  XX04 1```
```13Jan   2.45M   906  XX03 1```
```------------2024-----------```
```18Nov    3.7M  1660  XX02 2```
```11Nov   2.45M   867  XX04 1```
```31Oct   2.43M   929  XX03 1```
```30Oct   3.75M  1667  XX02 2```
```25Sep    4.4M  1660  XX02 2```
```02Sep  3.375M  1576  XX05 2```
```22Aug   3.99M  1740  XX01 2```
```19Aug    2.4M   867  XX04 1```
```17Jul   6.36M  2610  XX01 3```
```09Jul      3M  1735  XX06 2```
```04Jul    5.7M  2354  XX06 3```
```27Jun      3M  1576  XX05 2```
```13Jun    6.2M  2529  XX04 2```
```30May      7M  2610  XX01 3```
```30May   3.35M  1632  XX05 2```
```21May   3.57M  1737  XX01 2```
```21May   3.35M  1632  XX05 2```
_Source: DLD, Databot_
_BUA - built-up area, sq.ft._
_P/sf - price per sq.ft._
_B - bedrooms; O - office_
_M - million, K- thousand_
_S - studio, R - shop_
_*Max 30 latest transactions_
www.trydatabot.com</t>
  </si>
  <si>
    <t>1007958, by code, *BUILDI</t>
  </si>
  <si>
    <t xml:space="preserve">*BUILDING*
*PROFILE*
*BLVD HEIGHTS T2*
_Area: Downtown_
_Tap&amp;hold to copy a reply_
```-------------------------```
```Report              Reply```
```-------------------------```
*1 B/R*
```Sales, ROI        1007912```
```Price chart       1007913```
```Rentals               n/a```
*2 B/R*
```Sales, ROI        1007916```
```Price chart       1007917```
```Rentals               n/a```
*3 B/R*
```Sales, ROI        1007920```
```Price chart       1007921```
```Rentals               n/a```
*4 B/R*
```Sales, ROI        1007924```
```Price chart       1007925```
```Rentals               n/a```
*All types/bedrooms*
```Sales, ROI        1007957```
```Rentals               n/a```
</t>
  </si>
  <si>
    <t>1007976, *SALES*</t>
  </si>
  <si>
    <t>*SALES*
*TRANSACTIONS**
*BLVD HEIGHTS PODIUM*
_Area: Downtown_
_Type: 1 bedroom apartment_
```Date   Price  BUA Type P/sf```
```------------2024-----------```
```02Oct  2.45M  962 XX06 2547```
```01Jul  2.25M  940 XX07 2394```
```------------2023-----------```
```28Sep 2.218M  962 XX06 2305```
```13Sep  2.16M 1120 XX04 1929```
```------------2021-----------```
```13Sep 2.218M  962 XX06 2305```
```------------2019-----------```
```21Jul 2.012M  940 XX07 2140```
```21May 1.736M 1043 XX03 1664```
```26Mar  2.03M  933 XX10 2176```
```30Jan 2.049M  957 XX05 2141```
```------------2018-----------```
```11Dec  1.96M  925 XX04 2119```
```29Oct 1.882M 1120 XX04 1680```
_Source: DLD, Databot_
_BUA - built-up area, sq.ft._
_P/sf - price per sq.ft._
_B - bedrooms; O - office_
_M - million, K- thousand_
_S - studio, R - shop_
_*Max 30 latest transactions_
www.trydatabot.com</t>
  </si>
  <si>
    <t>Blvd Heights Podium</t>
  </si>
  <si>
    <t>1007977, *MARKET</t>
  </si>
  <si>
    <t>*MARKET*
*SNAPSHOT*
*BLVD HEIGHTS PODIUM*
_Area: Downtown_
_Type: 1 bedroom apartment_
*Price dynamics, Dirham/sq.ft.*
_(M - median value)_
```2547|                     *```
```    |                      ```
```    |                    * ```
```    |                 * *  ```
```    |              *       ```
```2141|---------------------M```
```    |            **  *     ```
```    |                      ```
```    |                  *   ```
```    |                      ```
```1664|           *   *      ```
```____|______________________```
```    |Oct2018        Oct2024```
_Source: see table below_
*Latest sales transactions*
```Date   Price  BUA Type P/sf```
```------------2024-----------```
```02Oct  2.45M  962 XX06 2547```
```01Jul  2.25M  940 XX07 2394```
```------------2023-----------```
```28Sep 2.218M  962 XX06 2305```
```13Sep  2.16M 1120 XX04 1929```
```------------2021-----------```
```13Sep 2.218M  962 XX06 2305```
```------------2019-----------```
```21Jul 2.012M  940 XX07 2140```
```21May 1.736M 1043 XX03 1664```
```26Mar  2.03M  933 XX10 2176```
```30Jan 2.049M  957 XX05 2141```
```------------2018-----------```
```11Dec  1.96M  925 XX04 2119```
```29Oct 1.882M 1120 XX04 1680```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</si>
  <si>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1007980, *SALES*</t>
  </si>
  <si>
    <t>*SALES*
*TRANSACTIONS (RESALE)**
*BLVD HEIGHTS PODIUM*
_Area: Downtown_
_Type: 2 bedroom apartment_
```Date   Price  BUA Type P/sf```
```------------2025-----------```
```08Jul  4.73M 2124 XX06 2227```
```17Apr 4.666M 1732 XX01 2694```
```------------2023-----------```
```08Mar 4.322M 1850 XX09 2336```
```------------2022-----------```
```17Nov 4.071M 1834 XX13 2220```
```07Nov 5.075M 2200 XX07 2307```
```19Oct 3.508M 1659 XX02 2114```
```10Aug 4.878M 1983 XX14 2460```
```06Jun 4.759M 2124 XX06 2241```
```------------2021-----------```
```23Dec 4.535M 2400 XX12 1890```
_Source: DLD, Databot_
_BUA - built-up area, sq.ft._
_P/sf - price per sq.ft._
_B - bedrooms; O - office_
_M - million, K- thousand_
_S - studio, R - shop_
_*Max 30 latest transactions_
www.trydatabot.com</t>
  </si>
  <si>
    <t>1007981, *MARKET</t>
  </si>
  <si>
    <t>*MARKET*
*SNAPSHOT*
*BLVD HEIGHTS PODIUM*
_Area: Downtown_
_Type: 2 bedroom apartment_
*Price dynamics, Dirham/sq.ft.*
_(M - median value)_
```2694|                    * ```
```    |                      ```
```    |                      ```
```    |               *      ```
```    |                   *  ```
```    |                 *    ```
```2241|---------------------M```
```    |              *   *  *```
```    |                *     ```
```    |                      ```
```1890|             *        ```
```____|______________________```
```    |Dec2021        Jul2025```
_Source: see table below_
*Latest sales transactions*
```Date   Price  BUA Type P/sf```
```------------2025-----------```
```08Jul  4.73M 2124 XX06 2227```
```17Apr 4.666M 1732 XX01 2694```
```------------2023-----------```
```08Mar 4.322M 1850 XX09 2336```
```------------2022-----------```
```17Nov 4.071M 1834 XX13 2220```
```07Nov 5.075M 2200 XX07 2307```
```19Oct 3.508M 1659 XX02 2114```
```10Aug 4.878M 1983 XX14 2460```
```06Jun 4.759M 2124 XX06 2241```
```------------2021-----------```
```23Dec 4.535M 2400 XX12 1890```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</si>
  <si>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1007983, *RESELL</t>
  </si>
  <si>
    <t>*RESELL*
*VS PRIMARY*
*BLVD HEIGHTS PODIUM*
_Area: Downtown_
_Type: 2 bedroom apartment_
*Price dynamics, Dirham/sq.ft.*
_(x - primary; * - resell)_
```2694|                    * ```
```    |                      ```
```    |                      ```
```    |               *      ```
```2374|        xx         *  ```
```    |          x      *    ```
```    |              *   *  *```
```    |                *     ```
```    |                      ```
```1890|             *        ```
```____|______________________```
```    |Dec1899        Jul2025```
_Source: see a table below_
*Latest resell transactions*
```Date   Price  BUA Type P/sf```
```------------2025-----------```
```08Jul  4.73M 2124 XX06 2227```
```17Apr 4.666M 1732 XX01 2694```
```------------2023-----------```
```08Mar 4.322M 1850 XX09 2336```
```------------2022-----------```
```17Nov 4.071M 1834 XX13 2220```
```07Nov 5.075M 2200 XX07 2307```
```19Oct 3.508M 1659 XX02 2114```
```10Aug 4.878M 1983 XX14 2460```
```06Jun 4.759M 2124 XX06 2241```
```------------2021-----------```
```23Dec 4.535M 2400 XX12 1890```
*Latest primary transactions*
```------------2024-----------```
```25Dec 3.744M 1656 XX02 2261```
```25Dec 5.763M 2445 XX15 2357```
```31Oct 5.886M 2445 XX16 2407```
_Source: DLD, Databot_
_BUA - built-up area, sq.ft._
_P/sf - price per sq.ft._
_B - bedrooms; O - office_
_M - million, K- thousand_
_S - studio, R - shop_
www.trydatabot.com</t>
  </si>
  <si>
    <t>1007984, *SALES*</t>
  </si>
  <si>
    <t>*SALES*
*TRANSACTIONS**
*BLVD HEIGHTS PODIUM*
_Area: Downtown_
_Type: 3 bedroom apartment_
```Date   Price  BUA Type P/sf```
```------------2025-----------```
```02Jul  5.75M 2868 XX09 2005```
```------------2023-----------```
```13Sep 5.546M 2294 XX11 2418```
```31Jul   5.2M 2975 XX10 1748```
```01Feb   5.2M 2907 XXXX 1789```
```------------2022-----------```
```28Nov     6M 2807 XX05 2138```
```20Jan 4.558M 2868 XX09 1589```
```------------2021-----------```
```28Nov   4.8M 2737 XX08 1754```
```07Nov 4.838M 2935 XX11 1648```
```04Nov   4.6M 2975 XX10 1546```
```------------2019-----------```
```19Aug 5.593M 2807 XX05 1992```
```16Apr  4.54M 2975 XX10 1526```
```07Mar 4.595M 2664 XX17 1725```
```06Mar 4.558M 2868 XX09 1589```
```28Jan 4.498M 2737 XX08 1643```
```------------2018-----------```
```09Jan 4.846M 2907 XX18 1667```
_Source: DLD, Databot_
_BUA - built-up area, sq.ft._
_P/sf - price per sq.ft._
_B - bedrooms; O - office_
_M - million, K- thousand_
_S - studio, R - shop_
_*Max 30 latest transactions_
www.trydatabot.com</t>
  </si>
  <si>
    <t>1007985, *MARKET</t>
  </si>
  <si>
    <t>*MARKET*
*SNAPSHOT*
*BLVD HEIGHTS PODIUM*
_Area: Downtown_
_Type: 3 bedroom apartment_
*Price dynamics, Dirham/sq.ft.*
_(M - median value)_
```2418|                    * ```
```    |                      ```
```    |                      ```
```    |                 *    ```
```    |                      ```
```    |            *        *```
```    |                      ```
```    |               *  *   ```
```1725|---------------------M```
```    |       ** *   *    *  ```
```1526|         * * *  *     ```
```____|______________________```
```    |Jan2018        Jul2025```
_Source: see table below_
*Latest sales transactions*
```Date   Price  BUA Type P/sf```
```------------2025-----------```
```02Jul  5.75M 2868 XX09 2005```
```------------2023-----------```
```13Sep 5.546M 2294 XX11 2418```
```31Jul   5.2M 2975 XX10 1748```
```01Feb   5.2M 2907 XXXX 1789```
```------------2022-----------```
```28Nov     6M 2807 XX05 2138```
```20Jan 4.558M 2868 XX09 1589```
```------------2021-----------```
```28Nov   4.8M 2737 XX08 1754```
```07Nov 4.838M 2935 XX11 1648```
```04Nov   4.6M 2975 XX10 1546```
```------------2019-----------```
```19Aug 5.593M 2807 XX05 1992```
```16Apr  4.54M 2975 XX10 1526```
```07Mar 4.595M 2664 XX17 1725```
```06Mar 4.558M 2868 XX09 1589```
```28Jan 4.498M 2737 XX08 1643```
```------------2018-----------```
```09Jan 4.846M 2907 XX18 1667```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</si>
  <si>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1008021, *SALES*</t>
  </si>
  <si>
    <t>*SALES*
*TRANSACTIONS (RESALE)**
*BLVD HEIGHTS PODIUM*
_Area: Downtown_
_All types/bedrooms_
```Date    Price   BUA  Type B```
```------------2025-----------```
```08Jul   4.73M  2124  XX06 2```
```02Jul   5.75M  2868  XX09 3```
```17Apr  4.666M  1732  XX01 2```
```------------2024-----------```
```02Oct   2.45M   962  XX06 1```
```01Jul   2.25M   940  XX07 1```
```------------2023-----------```
```28Sep  2.218M   962  XX06 1```
```13Sep  5.546M  2294  XX11 3```
```13Sep   2.16M  1120  XX04 1```
```31Jul    5.2M  2975  XX10 3```
```08Mar  4.322M  1850  XX09 2```
```01Feb    5.2M  2907  XXXX 3```
```------------2022-----------```
```28Nov      6M  2807  XX05 3```
```17Nov  4.071M  1834  XX13 2```
```07Nov  5.075M  2200  XX07 2```
```19Oct  3.508M  1659  XX02 2```
```10Aug  4.878M  1983  XX14 2```
```06Jun  4.759M  2124  XX06 2```
```20Jan  4.558M  2868  XX09 3```
```------------2021-----------```
```23Dec  4.535M  2400  XX12 2```
```28Nov    4.8M  2737  XX08 3```
```07Nov  4.838M  2935  XX11 3```
```04Nov    4.6M  2975  XX10 3```
```13Sep  2.218M   962  XX06 1```
```------------2019-----------```
```19Aug  5.593M  2807  XX05 3```
```21Jul  2.012M   940  XX07 1```
```21May  1.736M  1043  XX03 1```
```16Apr   4.54M  2975  XX10 3```
```26Mar   2.03M   933  XX10 1```
```07Mar  4.595M  2664  XX17 3```
```06Mar  4.558M  2868  XX09 3```
_Source: DLD, Databot_
_BUA - built-up area, sq.ft._
_P/sf - price per sq.ft._
_B - bedrooms; O - office_
_M - million, K- thousand_
_S - studio, R - shop_
_*Max 30 latest transactions_
www.trydatabot.com</t>
  </si>
  <si>
    <t>1008022, by code, *BUILDI</t>
  </si>
  <si>
    <t xml:space="preserve">*BUILDING*
*PROFILE*
*BLVD HEIGHTS PODIUM*
_Area: Downtown_
_Tap&amp;hold to copy a reply_
```-------------------------```
```Report              Reply```
```-------------------------```
*1 B/R*
```Sales, ROI        1007976```
```Price chart       1007977```
```Rentals               n/a```
*2 B/R*
```Resell, ROI       1007980```
```Primary sales     1008025```
```Price chart       1007981```
```Rentals               n/a```
```Appreciation      1007983```
*3 B/R*
```Sales, ROI        1007984```
```Price chart       1007985```
```Rentals               n/a```
*All types/bedrooms*
```Resell, ROI       1008021```
```Primary sales     1008035```
```Rentals               n/a```
</t>
  </si>
  <si>
    <t>1008025, *SALES*</t>
  </si>
  <si>
    <t>*SALES*
*TRANSACTIONS (PRIMARY)**
*BLVD HEIGHTS PODIUM*
_Area: Downtown_
_Type: 2 bedroom apartment_
```Date   Price  BUA Type P/sf```
```------------2024-----------```
```25Dec 3.744M 1656 XX02 2261```
```25Dec 5.763M 2445 XX15 2357```
```31Oct 5.886M 2445 XX16 2407```
_Source: DLD, Databot_
_BUA - built-up area, sq.ft._
_P/sf - price per sq.ft._
_B - bedrooms; O - office_
_M - million, K- thousand_
_S - studio, R - shop_
_*Max 20 latest transactions_
www.trydatabot.com</t>
  </si>
  <si>
    <t>1008035, *SALES*</t>
  </si>
  <si>
    <t>*SALES*
*TRANSACTIONS (PRIMARY)**
*BLVD HEIGHTS PODIUM*
_Area: Downtown_
_All types/bedrooms_
```Date    Price   BUA  Type B```
```------------2024-----------```
```25Dec  3.744M  1656  XX02 2```
```25Dec  5.763M  2445  XX15 2```
```31Oct  5.886M  2445  XX16 2```
_Source: DLD, Databot_
_BUA - built-up area, sq.ft._
_P/sf - price per sq.ft._
_B - bedrooms; O - office_
_M - million, K- thousand_
_S - studio, R - shop_
_*Max 20 latest transactions_
www.trydatabot.com</t>
  </si>
  <si>
    <t>1008040, *SALES*</t>
  </si>
  <si>
    <t>*SALES*
*TRANSACTIONS**
*BLVD HEIGHTS T1+T2+P*
_Area: Downtown_
_Type: 1 bedroom apartment_
```Date   Price  BUA Type P/sf```
```------------2025-----------```
```09Dec  2.94M  891 XX04 3300```
```13Nov   2.6M  949 XX03 2740```
```06Oct   2.5M  920 XX03 2717```
```16Sep  2.45M  929 XX03 2637```
```12Sep 2.175M  867 XX04 2509```
```02Jul   2.3M  891 XX04 2581```
```25Jun   2.4M  892 XX04 2691```
```11Jun  2.45M  867 XX04 2826```
```19May   2.5M  930 XX03 2688```
```20Jan 2.333M  888 XX04 2627```
```14Jan   1.5M  930 XX03 1613```
```13Jan  2.45M  906 XX03 2704```
```07Jan   2.4M  867 XX04 2768```
```------------2024-----------```
```30Dec 2.475M  867 XX04 2855```
```11Nov  2.45M  867 XX04 2826```
```31Oct  2.43M  929 XX03 2616```
```21Oct  2.43M  930 XX03 2613```
```02Oct  2.45M  962 XX06 2547```
```30Sep  2.35M  920 XX03 2554```
```19Aug   2.4M  867 XX04 2768```
```13Aug  2.25M  891 XX04 2525```
```03Jul  2.45M  929 XX03 2637```
```01Jul  2.25M  940 XX07 2394```
```31May  2.45M  930 XX03 2634```
```10May   2.5M  867 XX04 2884```
```25Apr  2.02M  888 XX04 2275```
```04Apr   800K  867 XX04  923```
```02Apr 2.225M  889 XX04 2503```
```15Mar   2.3M  931 XX03 2470```
```11Mar   2.2M  891 XX04 2469```
_Source: DLD, Databot_
_BUA - built-up area, sq.ft._
_P/sf - price per sq.ft._
_B - bedrooms; O - office_
_M - million, K- thousand_
_S - studio, R - shop_
_*Max 30 latest transactions_
www.trydatabot.com</t>
  </si>
  <si>
    <t>Blvd Heights T1+T2+P</t>
  </si>
  <si>
    <t>1008041, *MARKET</t>
  </si>
  <si>
    <t>*MARKET*
*SNAPSHOT*
*BLVD HEIGHTS T1+T2+P*
_Area: Downtown_
_Type: 1 bedroom apartment_
*Price dynamics, Dirham/sq.ft.*
_(M - median value)_
```3300|                     *```
```    |                      ```
```    |                      ```
```    |  *    ***    *    ** ```
```2663|---------------------M```
```    |*  ****   * ** ** *   ```
```    | *               *    ```
```    |                      ```
```    |                      ```
```    |                      ```
```1613|           *          ```
```____|______________________```
```    |Jul2024        Dec2025```
_Source: see table below_
*Latest sales transactions*
```Date   Price  BUA Type P/sf```
```------------2025-----------```
```09Dec  2.94M  891 XX04 3300```
```13Nov   2.6M  949 XX03 2740```
```06Oct   2.5M  920 XX03 2717```
```16Sep  2.45M  929 XX03 2637```
```12Sep 2.175M  867 XX04 2509```
```02Jul   2.3M  891 XX04 2581```
```25Jun   2.4M  892 XX04 2691```
```11Jun  2.45M  867 XX04 2826```
```19May   2.5M  930 XX03 2688```
```20Jan 2.333M  888 XX04 2627```
```14Jan   1.5M  930 XX03 1613```
```13Jan  2.45M  906 XX03 2704```
```07Jan   2.4M  867 XX04 2768```
```------------2024-----------```
```30Dec 2.475M  867 XX04 2855```
```11Nov  2.45M  867 XX04 2826```
```31Oct  2.43M  929 XX03 2616```
```21Oct  2.43M  930 XX03 2613```
```02Oct  2.45M  962 XX06 2547```
```30Sep  2.35M  920 XX03 2554```
```19Aug   2.4M  867 XX04 2768```
```13Aug  2.25M  891 XX04 2525```
```03Jul  2.45M  929 XX03 2637```
```01Jul  2.25M  940 XX07 2394```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</si>
  <si>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1008044, *SALES*</t>
  </si>
  <si>
    <t>*SALES*
*TRANSACTIONS (RESALE)**
*BLVD HEIGHTS T1+T2+P*
_Area: Downtown_
_Type: 2 bedroom apartment_
```Date   Price  BUA Type P/sf```
```------------2026-----------```
```07Jan 3.925M 1739 XX06 2257```
```------------2025-----------```
```18Dec   3.8M 1660 XX02 2289```
```24Sep   3.8M 1660 XXXX 2289```
```09Sep 3.475M 1413 XX07 2459```
```29Aug   3.9M 1737 XX01 2245```
```05Aug  3.95M 1662 XX02 2377```
```29Jul 3.675M 1639 XX05 2242```
```08Jul  4.73M 2124 XX06 2227```
```03Jul   3.5M 1576 XX05 2221```
```01Jul  3.85M 1664 XX02 2314```
```17Apr 4.666M 1732 XX01 2694```
```17Apr   6.7M 2418 XX02 2771```
```11Apr  4.09M 1741 XX01 2349```
```18Mar   3.5M 1567 XX05 2234```
```06Mar   3.7M 1633 XX02 2266```
```24Feb  3.75M 1567 XX05 2393```
```19Feb  4.75M 1737 XX01 2735```
```21Jan   4.2M 1741 XX01 2412```
```------------2024-----------```
```13Dec   3.8M 1735 XX06 2190```
```12Dec  3.58M 1665 XX02 2150```
```04Dec   4.3M 1741 XX01 2470```
```28Nov   3.7M 1567 XX05 2361```
```28Nov 4.375M 1741 XX01 2513```
```18Nov  3.45M 1639 XX05 2105```
```18Nov   3.7M 1660 XX02 2229```
```14Nov  3.35M 1567 XX05 2138```
```06Nov  3.75M 1668 XX02 2248```
```30Oct  3.75M 1667 XX02 2250```
```28Oct  3.95M 1741 XX01 2269```
```18Oct  3.54M 1639 XX05 2160```
_Source: DLD, Databot_
_BUA - built-up area, sq.ft._
_P/sf - price per sq.ft._
_B - bedrooms; O - office_
_M - million, K- thousand_
_S - studio, R - shop_
_*Max 30 latest transactions_
www.trydatabot.com</t>
  </si>
  <si>
    <t>1008045, *MARKET</t>
  </si>
  <si>
    <t>*MARKET*
*SNAPSHOT*
*BLVD HEIGHTS T1+T2+P*
_Area: Downtown_
_Type: 2 bedroom apartment_
*Price dynamics, Dirham/sq.ft.*
_(M - median value)_
```2771|          *           ```
```    |     *     *          ```
```    |                      ```
```    |                      ```
```    |                      ```
```    | *                *   ```
```    |    * *         *     ```
```    |*        *  *         ```
```2302|---------------------M```
```    |       **    *** * ***```
```2150|  **                  ```
```____|______________________```
```    |Nov2024        Jan2026```
_Source: see table below_
*Latest sales transactions*
```Date   Price  BUA Type P/sf```
```------------2026-----------```
```07Jan 3.925M 1739 XX06 2257```
```------------2025-----------```
```18Dec   3.8M 1660 XX02 2289```
```24Sep   3.8M 1660 XXXX 2289```
```09Sep 3.475M 1413 XX07 2459```
```29Aug   3.9M 1737 XX01 2245```
```05Aug  3.95M 1662 XX02 2377```
```29Jul 3.675M 1639 XX05 2242```
```08Jul  4.73M 2124 XX06 2227```
```03Jul   3.5M 1576 XX05 2221```
```01Jul  3.85M 1664 XX02 2314```
```17Apr 4.666M 1732 XX01 2694```
```17Apr   6.7M 2418 XX02 2771```
```11Apr  4.09M 1741 XX01 2349```
```18Mar   3.5M 1567 XX05 2234```
```06Mar   3.7M 1633 XX02 2266```
```24Feb  3.75M 1567 XX05 2393```
```19Feb  4.75M 1737 XX01 2735```
```21Jan   4.2M 1741 XX01 2412```
```------------2024-----------```
```13Dec   3.8M 1735 XX06 2190```
```12Dec  3.58M 1665 XX02 2150```
```04Dec   4.3M 1741 XX01 2470```
```28Nov   3.7M 1567 XX05 2361```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</si>
  <si>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1008047, *RESELL</t>
  </si>
  <si>
    <t>*RESELL*
*VS PRIMARY*
*BLVD HEIGHTS T1+T2+P*
_Area: Downtown_
_Type: 2 bedroom apartment_
*Price dynamics, Dirham/sq.ft.*
_(x - primary; * - resell)_
```2694|           *          ```
```    |                      ```
```    |                      ```
```    |                      ```
```2506|                      ```
```    |                  *   ```
```    |        x             ```
```    |         x      *     ```
```    |            *      ** ```
```2221|          x  *** *   *```
```____|______________________```
```    |Dec1899        Jan2026```
_Source: see a table below_
*Latest resell transactions*
```Date   Price  BUA Type P/sf```
```------------2026-----------```
```07Jan 3.925M 1739 XX06 2257```
```------------2025-----------```
```18Dec   3.8M 1660 XX02 2289```
```24Sep   3.8M 1660 XXXX 2289```
```09Sep 3.475M 1413 XX07 2459```
```29Aug   3.9M 1737 XX01 2245```
```05Aug  3.95M 1662 XX02 2377```
```29Jul 3.675M 1639 XX05 2242```
```08Jul  4.73M 2124 XX06 2227```
```03Jul   3.5M 1576 XX05 2221```
```01Jul  3.85M 1664 XX02 2314```
```17Apr 4.666M 1732 XX01 2694```
```17Apr   6.7M 2418 XX02 2771```
```11Apr  4.09M 1741 XX01 2349```
```18Mar   3.5M 1567 XX05 2234```
```06Mar   3.7M 1633 XX02 2266```
```24Feb  3.75M 1567 XX05 2393```
```19Feb  4.75M 1737 XX01 2735```
*Latest primary transactions*
```------------2024-----------```
```25Dec 3.744M 1656 XX02 2261```
```25Dec 5.763M 2445 XX15 2357```
```31Oct 5.886M 2445 XX16 2407```
_Source: DLD, Databot_
_BUA - built-up area, sq.ft._
_P/sf - price per sq.ft._
_B - bedrooms; O - office_
_M - million, K- thousand_
_S - studio, R - shop_
www.trydatabot.com</t>
  </si>
  <si>
    <t>1008048, *SALES*</t>
  </si>
  <si>
    <t>*SALES*
*TRANSACTIONS**
*BLVD HEIGHTS T1+T2+P*
_Area: Downtown_
_Type: 3 bedroom apartment_
```Date   Price  BUA Type P/sf```
```------------2026-----------```
```06Jan   7.7M 2600 XXXX 2962```
```------------2025-----------```
```21Nov  6.94M 2741 XX02 2532```
```23Oct  7.35M 2630 XX01 2795```
```02Jul  5.75M 2868 XX09 2005```
```22May     6M 2610 XX01 2299```
```21Mar   6.3M 2354 XX06 2676```
```13Mar  5.85M 2354 XX06 2485```
```04Feb   5.8M 2363 XX06 2455```
```------------2024-----------```
```20Dec   6.3M 2610 XX01 2414```
```29Nov   5.9M 2363 XX06 2497```
```11Sep   5.6M 2363 XX06 2370```
```17Jul  6.36M 2610 XX01 2437```
```04Jul   5.7M 2354 XX06 2421```
```30May     7M 2610 XX01 2682```
```30Apr   5.9M 2610 XX01 2261```
```16Apr  6.15M 2610 XX01 2356```
```18Jan   6.1M 2523 XX04 2418```
```05Jan  5.75M 2610 XX01 2203```
```------------2023-----------```
```02Nov  5.75M 2610 XX01 2203```
```13Sep 5.546M 2294 XX11 2418```
```31Jul   5.2M 2975 XX10 1748```
```15Jun  8.25M 2610 XX01 3161```
```13Jun 2.675M 2610 XX01 1025```
```25May  5.85M 2615 XX01 2237```
```10Mar  5.35M 2610 XX01 2050```
```22Feb 6.388M 2600 XX01 2457```
```13Feb  5.28M 2610 XX01 2023```
```01Feb   5.2M 2907 XXXX 1789```
```12Jan     5M 2610 XX01 1916```
```12Jan   5.4M 2600 XX01 2077```
_Source: DLD, Databot_
_BUA - built-up area, sq.ft._
_P/sf - price per sq.ft._
_B - bedrooms; O - office_
_M - million, K- thousand_
_S - studio, R - shop_
_*Max 30 latest transactions_
www.trydatabot.com</t>
  </si>
  <si>
    <t>1008049, *MARKET</t>
  </si>
  <si>
    <t>*MARKET*
*SNAPSHOT*
*BLVD HEIGHTS T1+T2+P*
_Area: Downtown_
_Type: 3 bedroom apartment_
*Price dynamics, Dirham/sq.ft.*
_(M - median value)_
```3161|*                     ```
```    |                     *```
```    |                      ```
```    |        *       *  *  ```
```    |                    * ```
```2420|---------------------M```
```    |  *  *   ** ****      ```
```    |      **   *     *    ```
```    |   **                 ```
```    |                  *   ```
```1748| *                    ```
```____|______________________```
```    |Jun2023        Jan2026```
_Source: see table below_
*Latest sales transactions*
```Date   Price  BUA Type P/sf```
```------------2026-----------```
```06Jan   7.7M 2600 XXXX 2962```
```------------2025-----------```
```21Nov  6.94M 2741 XX02 2532```
```23Oct  7.35M 2630 XX01 2795```
```02Jul  5.75M 2868 XX09 2005```
```22May     6M 2610 XX01 2299```
```21Mar   6.3M 2354 XX06 2676```
```13Mar  5.85M 2354 XX06 2485```
```04Feb   5.8M 2363 XX06 2455```
```------------2024-----------```
```20Dec   6.3M 2610 XX01 2414```
```29Nov   5.9M 2363 XX06 2497```
```11Sep   5.6M 2363 XX06 2370```
```17Jul  6.36M 2610 XX01 2437```
```04Jul   5.7M 2354 XX06 2421```
```30May     7M 2610 XX01 2682```
```30Apr   5.9M 2610 XX01 2261```
```16Apr  6.15M 2610 XX01 2356```
```18Jan   6.1M 2523 XX04 2418```
```05Jan  5.75M 2610 XX01 2203```
```------------2023-----------```
```02Nov  5.75M 2610 XX01 2203```
```13Sep 5.546M 2294 XX11 2418```
```31Jul   5.2M 2975 XX10 1748```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</si>
  <si>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1008052, *SALES*</t>
  </si>
  <si>
    <t>*SALES*
*TRANSACTIONS**
*BLVD HEIGHTS T1+T2+P*
_Area: Downtown_
_Type: 4 bedroom apartment_
```Date   Price  BUA Type P/sf```
```------------2023-----------```
```27Apr 14.65M 6643 XX03 2205```
```------------2022-----------```
```09Jun 8.865M 4639 XX05 1911```
```10Feb  12.9M 6643 XX03 1942```
```------------2021-----------```
```22Nov 11.14M 6643 XX03 1678```
```13Apr 10.21M 6646 XX03 1537```
_Source: DLD, Databot_
_BUA - built-up area, sq.ft._
_P/sf - price per sq.ft._
_B - bedrooms; O - office_
_M - million, K- thousand_
_S - studio, R - shop_
_*Max 30 latest transactions_
www.trydatabot.com</t>
  </si>
  <si>
    <t>1008053, *MARKET</t>
  </si>
  <si>
    <t>*MARKET*
*SNAPSHOT*
*BLVD HEIGHTS T1+T2+P*
_Area: Downtown_
_Type: 4 bedroom apartment_
*Price dynamics, Dirham/sq.ft.*
_(M - median value)_
```2205|                     *```
```    |                      ```
```    |                      ```
```    |                      ```
```1911|---------------------M```
```    |                   ** ```
```    |                      ```
```    |                      ```
```    |                      ```
```    |                  *   ```
```1537|                 *    ```
```____|______________________```
```    |Apr2021        Apr2023```
_Source: see table below_
*Latest sales transactions*
```Date   Price  BUA Type P/sf```
```------------2023-----------```
```27Apr 14.65M 6643 XX03 2205```
```------------2022-----------```
```09Jun 8.865M 4639 XX05 1911```
```10Feb  12.9M 6643 XX03 1942```
```------------2021-----------```
```22Nov 11.14M 6643 XX03 1678```
```13Apr 10.21M 6646 XX03 1537```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</si>
  <si>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1008085, *SALES*</t>
  </si>
  <si>
    <t>*SALES*
*TRANSACTIONS (RESALE)**
*BLVD HEIGHTS T1+T2+P*
_Area: Downtown_
_All types/bedrooms_
```Date    Price   BUA  Type B```
```------------2026-----------```
```07Jan  3.925M  1739  XX06 2```
```06Jan    7.7M  2600  XXXX 3```
```------------2025-----------```
```18Dec    3.8M  1660  XX02 2```
```09Dec   2.94M   891  XX04 1```
```21Nov   6.94M  2741  XX02 3```
```13Nov    2.6M   949  XX03 1```
```23Oct   7.35M  2630  XX01 3```
```06Oct    2.5M   920  XX03 1```
```24Sep    3.8M  1660  XXXX 2```
```16Sep   2.45M   929  XX03 1```
```12Sep  2.175M   867  XX04 1```
```09Sep  3.475M  1413  XX07 2```
```29Aug    3.9M  1737  XX01 2```
```05Aug   3.95M  1662  XX02 2```
```29Jul  3.675M  1639  XX05 2```
```08Jul   4.73M  2124  XX06 2```
```03Jul    3.5M  1576  XX05 2```
```02Jul   5.75M  2868  XX09 3```
```02Jul    2.3M   891  XX04 1```
```01Jul   3.85M  1664  XX02 2```
```25Jun    2.4M   892  XX04 1```
```11Jun   2.45M   867  XX04 1```
```22May      6M  2610  XX01 3```
```19May    2.5M   930  XX03 1```
```17Apr  4.666M  1732  XX01 2```
```17Apr    6.7M  2418  XX02 2```
```11Apr   4.09M  1741  XX01 2```
```21Mar    6.3M  2354  XX06 3```
```18Mar    3.5M  1567  XX05 2```
```13Mar   5.85M  2354  XX06 3```
_Source: DLD, Databot_
_BUA - built-up area, sq.ft._
_P/sf - price per sq.ft._
_B - bedrooms; O - office_
_M - million, K- thousand_
_S - studio, R - shop_
_*Max 30 latest transactions_
www.trydatabot.com</t>
  </si>
  <si>
    <t>1008086, by code, *BUILDI</t>
  </si>
  <si>
    <t xml:space="preserve">*BUILDING*
*PROFILE*
*BLVD HEIGHTS T1+T2+P*
_Area: Downtown_
_Tap&amp;hold to copy a reply_
```-------------------------```
```Report              Reply```
```-------------------------```
*1 B/R*
```Sales, ROI        1008040```
```Price chart       1008041```
```Rentals               n/a```
*2 B/R*
```Resell, ROI       1008044```
```Primary sales     1008089```
```Price chart       1008045```
```Rentals               n/a```
```Appreciation      1008047```
*3 B/R*
```Sales, ROI        1008048```
```Price chart       1008049```
```Rentals               n/a```
*4 B/R*
```Sales, ROI        1008052```
```Price chart       1008053```
```Rentals               n/a```
*All types/bedrooms*
```Resell, ROI       1008085```
```Primary sales     1008099```
```Rentals               n/a```
</t>
  </si>
  <si>
    <t>1008089, *SALES*</t>
  </si>
  <si>
    <t>*SALES*
*TRANSACTIONS (PRIMARY)**
*BLVD HEIGHTS T1+T2+P*
_Area: Downtown_
_Type: 2 bedroom apartment_
```Date   Price  BUA Type P/sf```
```------------2024-----------```
```25Dec 3.744M 1656 XX02 2261```
```25Dec 5.763M 2445 XX15 2357```
```31Oct 5.886M 2445 XX16 2407```
_Source: DLD, Databot_
_BUA - built-up area, sq.ft._
_P/sf - price per sq.ft._
_B - bedrooms; O - office_
_M - million, K- thousand_
_S - studio, R - shop_
_*Max 20 latest transactions_
www.trydatabot.com</t>
  </si>
  <si>
    <t>1008099, *SALES*</t>
  </si>
  <si>
    <t>*SALES*
*TRANSACTIONS (PRIMARY)**
*BLVD HEIGHTS T1+T2+P*
_Area: Downtown_
_All types/bedrooms_
```Date    Price   BUA  Type B```
```------------2024-----------```
```25Dec  3.744M  1656  XX02 2```
```25Dec  5.763M  2445  XX15 2```
```31Oct  5.886M  2445  XX16 2```
_Source: DLD, Databot_
_BUA - built-up area, sq.ft._
_P/sf - price per sq.ft._
_B - bedrooms; O - office_
_M - million, K- thousand_
_S - studio, R - shop_
_*Max 20 latest transactions_
www.trydatabot.com</t>
  </si>
  <si>
    <t>1008102, *NEW RE</t>
  </si>
  <si>
    <r>
      <rPr/>
      <t xml:space="preserve">*NEW RENT*
*CONTRACTS**
_(renewals are not included)_
*BOULEVARD CENTRAL T1+T2+P*
_Area: Downtown_
_Type: _
```Date  Price   BUA  Type D/s```
```------------2025-----------```
```15Dec   84K   517  XXXX 162```
```01Dec   75K   431  XXXX 174```
```12Nov   78K   441  XXXX 177```
```03Nov   85K   474  XXXX 179```
```01Nov   70K   506  XXXX 138```
```17Sep  100K   474  XXXX 211```
```02Sep   80K   474  XXXX 169```
```01Sep   80K   474  XXXX 169```
```20Aug   70K   441  XXXX 159```
```13Aug   75K   441  XXXX 170```
```09Aug   75K   431  XXXX 174```
```04Jul   37K   484  XXXX  76```
```11Jun   75K   484  XXXX 155```
```29Apr 92.7K   495  XXXX 187```
```12Apr   85K   441  XXXX 193```
```01Apr   80K   441  XXXX 181```
```28Mar   70K   441  XXXX 159```
```06Mar 90.5K   441  XXXX 205```
```------------2024-----------```
```15Nov 74.8K   495  XXXX 151```
```08Nov   77K   484  XXXX 159```
_Source: DLD, Databot_
_BUA - built-up area, sq.ft._
_P/sf - price per sq.ft._
_B - bedrooms; O - office_
_M - million, K- thousand_
_S - studio, R - shop_
_*20 latest contracts_
</t>
    </r>
    <r>
      <rPr>
        <color rgb="FF1155CC"/>
        <u/>
      </rPr>
      <t>www.trydatabot.com</t>
    </r>
  </si>
  <si>
    <t>Boulevard Central T1</t>
  </si>
  <si>
    <t>1008104, *SALES*</t>
  </si>
  <si>
    <r>
      <rPr/>
      <t xml:space="preserve">*SALES*
*TRANSACTIONS**
*BOULEVARD CENTRAL T1*
_Area: Downtown_
_Type: 1 bedroom apartment_
_Gross ROI=6%_
_Median annual rent=115K_
```Date   Price  BUA Type P/sf```
```------------2025-----------```
```10Nov 1.725M  805 XX08 2143```
```30Oct  2.05M 1020 XXXX 2010```
```13Oct 1.673M  876 XX04 1910```
```30Jun  1.95M  757 XX09 2576```
```11Jun 2.025M  767 XX06 2640```
```13May 2.025M  839 XX03 2414```
```29Apr 2.075M  844 XX03 2459```
```14Apr 1.725M  767 XX06 2249```
```------------2024-----------```
```19Dec   1.8M  875 XX04 2057```
```22Nov   1.7M  766 XX06 2219```
```01Nov  1.66M  839 XX03 1979```
```08Oct   2.3M  875 XX04 2629```
```01Oct  2.05M 1020 XX07 2010```
```03Jun   1.6M  875 XX04 1829```
```10May 1.752M  875 XX04 2002```
```08May     2M  767 XX06 2608```
```30Apr 944.2K  766 XX06 1233```
```25Apr  1.55M  759 XX09 2042```
```02Apr  1.63M  838 XX03 1945```
```01Apr   1.6M  844 XX03 1896```
```04Mar   1.8M 1020 XX07 1765```
```26Feb  1.57M  757 XX09 2074```
```08Feb  1.53M  757 XX09 2021```
```31Jan  1.59M  839 XX03 1895```
```25Jan   1.5M  767 XX06 1956```
```15Jan   1.6M  805 XX08 1988```
```04Jan  1.48M  802 XX08 1845```
```------------2023-----------```
```02Nov   1.8M 1397 XX03 1288```
```17Oct  1.54M  838 XX03 1838```
```25Sep 1.565M  864 XX03 1811```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</si>
  <si>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1008105, *MARKET</t>
  </si>
  <si>
    <t>*MARKET*
*SNAPSHOT*
*BOULEVARD CENTRAL T1*
_Area: Downtown_
_Type: 1 bedroom apartment_
*Price dynamics, Dirham/sq.ft.*
_(M - median value)_
```2640|      *   *      **   ```
```    |               *      ```
```    |                *     ```
```    |            * *       ```
```2050|---------------------M```
```    |*   *    *   *      **```
```    |  **   *   *       *  ```
```    | *      *             ```
```    |                      ```
```    |                      ```
```1233|     *                ```
```____|______________________```
```    |Feb2024        Nov2025```
_Source: see table below_
*Latest sales transactions*
```Date   Price  BUA Type P/sf```
```------------2025-----------```
```10Nov 1.725M  805 XX08 2143```
```30Oct  2.05M 1020 XXXX 2010```
```13Oct 1.673M  876 XX04 1910```
```30Jun  1.95M  757 XX09 2576```
```11Jun 2.025M  767 XX06 2640```
```13May 2.025M  839 XX03 2414```
```29Apr 2.075M  844 XX03 2459```
```14Apr 1.725M  767 XX06 2249```
```------------2024-----------```
```19Dec   1.8M  875 XX04 2057```
```22Nov   1.7M  766 XX06 2219```
```01Nov  1.66M  839 XX03 1979```
```08Oct   2.3M  875 XX04 2629```
```01Oct  2.05M 1020 XX07 2010```
```03Jun   1.6M  875 XX04 1829```
```10May 1.752M  875 XX04 2002```
```08May     2M  767 XX06 2608```
```30Apr 944.2K  766 XX06 1233```
```25Apr  1.55M  759 XX09 2042```
```02Apr  1.63M  838 XX03 1945```
```01Apr   1.6M  844 XX03 1896```
```04Mar   1.8M 1020 XX07 1765```
```26Feb  1.57M  757 XX09 2074```
```08Feb  1.53M  757 XX09 2021```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</si>
  <si>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1008106, *NEW RE</t>
  </si>
  <si>
    <t>*NEW RENT*
*CONTRACTS**
_(renewals are not included)_
*BOULEVARD CENTRAL T1+T2+P*
_Area: Downtown_
_Type: 1 bedroom apartment_
```Date  Price   BUA  Type D/s```
```------------2026-----------```
```19Jan  110K   915  XXXX 120```
```14Jan  115K   807  XXXX 143```
```10Jan  125K  1098  XXXX 114```
```08Jan  112K   915  XXXX 122```
```------------2025-----------```
```27Dec  126K  1109  XXXX 114```
```08Dec  115K   840  XXXX 137```
```01Dec  130K   861  XXXX 151```
```21Nov  140K  1023  XXXX 137```
```17Nov  102K   818  XXXX 125```
```15Nov  105K   818  XXXX 128```
```12Nov  180K   915  XXXX 197```
```12Nov  120K   764  XXXX 157```
```01Nov  110K   786  XXXX 140```
```26Oct  135K   861  XXXX 157```
```17Oct  190K   980  XXXX 194```
```15Oct  115K   753  XXXX 153```
```13Oct  100K   753  XXXX 133```
```11Oct  130K   926  XXXX 140```
```05Oct   95K   840  XXXX 113```
```03Oct   97K   969  XXXX 100```
_Source: DLD, Databot_
_BUA - built-up area, sq.ft._
_P/sf - price per sq.ft._
_B - bedrooms; O - office_
_M - million, K- thousand_
_S - studio, R - shop_
_*20 latest contracts_
www.trydatabot.com</t>
  </si>
  <si>
    <t>1008108, *SALES*</t>
  </si>
  <si>
    <r>
      <rPr/>
      <t xml:space="preserve">*SALES*
*TRANSACTIONS**
*BOULEVARD CENTRAL T1*
_Area: Downtown_
_Type: 2 bedroom apartment_
_Gross ROI=6.07% (confidence: low)_
_Median annual rent=170K_
```Date   Price  BUA Type P/sf```
```------------2025-----------```
```26Nov   2.9M 1396 XX02 2077```
```15Oct 2.499M 1164 XX01 2147```
```28Apr  2.69M 1160 XX05 2319```
```19Mar  3.15M 1411 XX02 2232```
```------------2024-----------```
```27Sep   2.6M 1160 XX05 2241```
```29Aug 2.325M 1160 XX05 2004```
```26Aug   2.7M 1164 XX01 2320```
```05Aug   2.9M 1396 XX02 2077```
```03Jul 2.513M 1421 XX02 1768```
```25Apr  2.25M 1148 XX05 1960```
```22Apr 2.545M 1160 XX05 2194```
```------------2023-----------```
```21Dec  2.15M 1160 XX05 1853```
```30Nov  2.35M 1411 XX02 1665```
```11Sep  2.55M 1411 XX02 1807```
```10Jul   2.2M 1160 XX05 1897```
```19Jun 2.275M 1411 XX02 1612```
```09May     2M 1164 XX01 1718```
```10Apr  2.19M 1163 XX01 1883```
```06Apr  1.98M 1148 XX05 1725```
```29Mar   2.1M 1160 XX05 1810```
```------------2022-----------```
```05Dec  1.85M 1167 XX01 1585```
```------------2021-----------```
```21Dec   1.5M 1164 XX01 1289```
```28Jul     1M 1270 XX07  787```
```04May   1.5M 1160 XX05 1293```
```------------2020-----------```
```20Aug  1.28M 1160 XX05 1103```
```12Aug  1.55M 1396 XX02 1110```
```27Jan  1.35M 1160 XX05 1164```
```------------2018-----------```
```30May 1.875M 1160 XX05 1616```
```19Apr     2M 1411 XX02 1417```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</si>
  <si>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1008109, *MARKET</t>
  </si>
  <si>
    <t>*MARKET*
*SNAPSHOT*
*BOULEVARD CENTRAL T1*
_Area: Downtown_
_Type: 2 bedroom apartment_
*Price dynamics, Dirham/sq.ft.*
_(M - median value)_
```2320|               *   *  ```
```    |           *     **   ```
```    |              *     **```
```    |            *   *     ```
```1890|---------------------M```
```    |    *  *              ```
```    |  *     * *  *        ```
```    |   * *   *            ```
```    | *    *               ```
```    |                      ```
```1289|*                     ```
```____|______________________```
```    |Dec2021        Nov2025```
_Source: see table below_
*Latest sales transactions*
```Date   Price  BUA Type P/sf```
```------------2025-----------```
```26Nov   2.9M 1396 XX02 2077```
```15Oct 2.499M 1164 XX01 2147```
```28Apr  2.69M 1160 XX05 2319```
```19Mar  3.15M 1411 XX02 2232```
```------------2024-----------```
```27Sep   2.6M 1160 XX05 2241```
```29Aug 2.325M 1160 XX05 2004```
```26Aug   2.7M 1164 XX01 2320```
```05Aug   2.9M 1396 XX02 2077```
```03Jul 2.513M 1421 XX02 1768```
```25Apr  2.25M 1148 XX05 1960```
```22Apr 2.545M 1160 XX05 2194```
```------------2023-----------```
```21Dec  2.15M 1160 XX05 1853```
```30Nov  2.35M 1411 XX02 1665```
```11Sep  2.55M 1411 XX02 1807```
```10Jul   2.2M 1160 XX05 1897```
```19Jun 2.275M 1411 XX02 1612```
```09May     2M 1164 XX01 1718```
```10Apr  2.19M 1163 XX01 1883```
```06Apr  1.98M 1148 XX05 1725```
```29Mar   2.1M 1160 XX05 1810```
```------------2022-----------```
```05Dec  1.85M 1167 XX01 1585```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</si>
  <si>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1008110, *NEW RE</t>
  </si>
  <si>
    <t>*NEW RENT*
*CONTRACTS**
_(renewals are not included)_
*BOULEVARD CENTRAL T1+T2+P*
_Area: Downtown_
_Type: 2 bedroom apartment_
```Date  Price   BUA  Type D/s```
```------------2026-----------```
```10Jan  250K  2131  XXXX 117```
```01Jan  170K  1163  XXXX 146```
```------------2025-----------```
```03Dec  170K  1163  XXXX 146```
```29Nov  191K  1410  XXXX 135```
```12Nov  158K  1163  XXXX 135```
```08Nov  130K  1270  XXXX 102```
```07Nov  160K  1163  XXXX 138```
```07Nov  160K  1163  XXXX 138```
```07Nov  160K  1163  XXXX 138```
```08Oct  150K  1152  XXXX 130```
```16Sep  170K  1163  XXXX 146```
```15Sep  250K  1281  XXXX 195```
```06Sep  170K  1163  XXXX 146```
```25Aug  170K  1163  XXXX 146```
```22Aug  240K  1098  XXXX 219```
```21Aug  195K  1281  XXXX 152```
```04Aug  175K  1270  XXXX 138```
```25Jul  129K  1163  XXXX 111```
```05Jul  160K  1163  XXXX 138```
```02Jun  180K  1335  XXXX 135```
_Source: DLD, Databot_
_BUA - built-up area, sq.ft._
_P/sf - price per sq.ft._
_B - bedrooms; O - office_
_M - million, K- thousand_
_S - studio, R - shop_
_*20 latest contracts_
www.trydatabot.com</t>
  </si>
  <si>
    <t>1008114, *NEW RE</t>
  </si>
  <si>
    <t>*NEW RENT*
*CONTRACTS**
_(renewals are not included)_
*BOULEVARD CENTRAL T1+T2+P*
_Area: Downtown_
_Type: _
```Date  Price   BUA  Type D/s```
```------------2025-----------```
```29Jan  190K  1668  XXXX 114```
```23Jan  190K  1668  XXXX 114```
```------------2024-----------```
```04Oct  190K  2164  XXXX  88```
```15Sep  165K  1668  XXXX  99```
```------------2023-----------```
```27Sep  135K  1658  XXXX  81```
```------------2022-----------```
```01Nov  175K  1668  XXXX 105```
```27Sep  135K  1658  XXXX  81```
```------------2021-----------```
```27Sep  135K  1658  XXXX  81```
```05Sep  130K  1668  XXXX  78```
```17Jun  125K  2164  XXXX  58```
```------------2020-----------```
```15Sep  125K  1668  XXXX  75```
```------------2018-----------```
```15Oct  120K  1668  XXXX  72```
```15May  165K  1668  XXXX  99```
```------------2017-----------```
```20Oct  175K  1658  XXXX 106```
```10Apr  180K  1668  XXXX 108```
```------------2015-----------```
```10May  200K  1668  XXXX 120```
```25Apr  210K  1668  XXXX 126```
```07Apr  203K  1658  XXXX 122```
```------------2013-----------```
```30Oct  200K  1668  XXXX 120```
_Source: DLD, Databot_
_BUA - built-up area, sq.ft._
_P/sf - price per sq.ft._
_B - bedrooms; O - office_
_M - million, K- thousand_
_S - studio, R - shop_
_*20 latest contracts_
www.trydatabot.com</t>
  </si>
  <si>
    <t>1008134, *NEW RE</t>
  </si>
  <si>
    <t>*NEW RENT*
*CONTRACTS**
_(renewals are not included)_
*BOULEVARD CENTRAL T1+T2+P*
_Area: Downtown_
_Type: _
```Date  Price   BUA  Type D/s```
```------------2025-----------```
```01May  767K  1345  XXXX 570```
```------------2023-----------```
```27Nov  274K  2303  XXXX 119```
```------------2021-----------```
```31Jan  116K  1389  XXXX  84```
```------------2020-----------```
```19Mar  110K  1389  XXXX  79```
```------------2016-----------```
```01Feb  335K  1345  XXXX 249```
```------------2015-----------```
```13Oct  440K  2303  XXXX 191```
```------------2012-----------```
```15Dec  280K  1755  XXXX 160```
```14Dec  242K  1345  XXXX 180```
```12Nov  784K  4898  XXXX 160```
```13Oct  380K  2303  XXXX 165```
_Source: DLD, Databot_
_BUA - built-up area, sq.ft._
_P/sf - price per sq.ft._
_B - bedrooms; O - office_
_M - million, K- thousand_
_S - studio, R - shop_
_*20 latest contracts_
www.trydatabot.com</t>
  </si>
  <si>
    <t>1008148, *NEW RE</t>
  </si>
  <si>
    <t>*NEW RENT*
*CONTRACTS**
_(renewals are not included)_
*BOULEVARD CENTRAL T1+T2+P*
_Area: Downtown_
_All types/bedrooms_
```Date    Price   BUA Type  B```
```------------2026-----------```
```19Jan    110K   915 XXXX  1```
```14Jan    115K   807 XXXX  1```
```10Jan    125K  1098 XXXX  1```
```10Jan    250K  2131 XXXX  2```
```08Jan    112K   915 XXXX  1```
```01Jan    170K  1163 XXXX  2```
```------------2025-----------```
```27Dec    126K  1109 XXXX  1```
```15Dec     84K   517 XXXX  S```
```08Dec    115K   840 XXXX  1```
```03Dec    170K  1163 XXXX  2```
```01Dec     75K   431 XXXX  S```
```01Dec    130K   861 XXXX  1```
```29Nov    191K  1410 XXXX  2```
```21Nov    140K  1023 XXXX  1```
```17Nov    102K   818 XXXX  1```
```15Nov    105K   818 XXXX  1```
```12Nov     78K   441 XXXX  S```
```12Nov    180K   915 XXXX  1```
```12Nov    120K   764 XXXX  1```
```12Nov  157.5K  1163 XXXX  2```
_Source: DLD, Databot_
_BUA - built-up area, sq.ft._
_P/sf - price per sq.ft._
_B - bedrooms; O - office_
_M - million, K- thousand_
_S - studio, R - shop_
_*20 latest contracts_
www.trydatabot.com</t>
  </si>
  <si>
    <t>1008149, *SALES*</t>
  </si>
  <si>
    <t>*SALES*
*TRANSACTIONS**
*BOULEVARD CENTRAL T1*
_Area: Downtown_
_All types/bedrooms_
```Date    Price   BUA  Type B```
```------------2025-----------```
```26Nov    2.9M  1396  XX02 2```
```10Nov  1.725M   805  XX08 1```
```30Oct   2.05M  1020  XXXX 1```
```15Oct  2.499M  1164  XX01 2```
```13Oct  1.673M   876  XX04 1```
```30Jun   1.95M   757  XX09 1```
```11Jun  2.025M   767  XX06 1```
```13May  2.025M   839  XX03 1```
```29Apr  2.075M   844  XX03 1```
```28Apr   2.69M  1160  XX05 2```
```14Apr  1.725M   767  XX06 1```
```19Mar   3.15M  1411  XX02 2```
```------------2024-----------```
```19Dec    1.8M   875  XX04 1```
```22Nov    1.7M   766  XX06 1```
```01Nov   1.66M   839  XX03 1```
```08Oct    2.3M   875  XX04 1```
```01Oct   2.05M  1020  XX07 1```
```27Sep    2.6M  1160  XX05 2```
```29Aug  2.325M  1160  XX05 2```
```26Aug    2.7M  1164  XX01 2```
```05Aug    2.9M  1396  XX02 2```
```03Jul  2.513M  1421  XX02 2```
```03Jun    1.6M   875  XX04 1```
```10May  1.752M   875  XX04 1```
```08May      2M   767  XX06 1```
```30Apr  944.2K   766  XX06 1```
```25Apr   2.25M  1148  XX05 2```
```25Apr   1.55M   759  XX09 1```
```22Apr  2.545M  1160  XX05 2```
```02Apr   1.63M   838  XX03 1```
_Source: DLD, Databot_
_BUA - built-up area, sq.ft._
_P/sf - price per sq.ft._
_B - bedrooms; O - office_
_M - million, K- thousand_
_S - studio, R - shop_
_*Max 30 latest transactions_
www.trydatabot.com</t>
  </si>
  <si>
    <t>1008150, by code, *BUILDI</t>
  </si>
  <si>
    <t xml:space="preserve">*BUILDING*
*PROFILE*
*BOULEVARD CENTRAL T1*
_Area: Downtown_
_Tap&amp;hold to copy a reply_
```-------------------------```
```Report              Reply```
```-------------------------```
*1 B/R*
```Sales, ROI        1008104```
```Price chart       1008105```
```Rentals           1008106```
*2 B/R*
```Sales, ROI        1008108```
```Price chart       1008109```
```Rentals           1008110```
*All types/bedrooms*
```Sales, ROI        1008149```
```Rentals           1008148```
</t>
  </si>
  <si>
    <t>1008164, *SALES*</t>
  </si>
  <si>
    <t>*SALES*
*TRANSACTIONS**
*BOULEVARD CENTRAL T2*
_Area: Downtown_
_Type: studio apartment_
_Gross ROI=6.17% (confidence: low)_
_Median annual rent=77.5K_
```Date   Price  BUA Type P/sf```
```------------2026-----------```
```16Jan  1.27M  428 XX03 2967```
```------------2025-----------```
```11Aug  1.05M  468 XX07 2244```
```05Aug  1.19M  469 XX07 2537```
```16Jul  1.36M  445 XX04 3056```
```------------2024-----------```
```11Jun   1.1M  469 XX07 2345```
```03Jun  1.35M  445 XX04 3034```
```------------2023-----------```
```23Nov   865K  469 XX07 1844```
```------------2021-----------```
```17Nov   930K  445 XX04 2090```
```23Sep   875K  428 XX03 2044```
```17Aug   730K  428 XX03 1706```
```30May   850K  445 XX04 1910```
```------------2019-----------```
```01Aug   715K  428 XX03 1671```
```20Jun   765K  428 XX03 1787```
```27Mar   780K  445 XX04 1753```
```------------2018-----------```
```11Oct   770K  428 XX03 1799```
```22Mar  1.06M  445 XX04 2382```
```10Jan  1.14M  428 XX03 2664```
_Source: DLD, Databot_
_BUA - built-up area, sq.ft._
_P/sf - price per sq.ft._
_B - bedrooms; O - office_
_M - million, K- thousand_
_S - studio, R - shop_
_*Max 30 latest transactions_
www.trydatabot.com</t>
  </si>
  <si>
    <t>Boulevard Central T2</t>
  </si>
  <si>
    <t>1008165, *MARKET</t>
  </si>
  <si>
    <t>*MARKET*
*SNAPSHOT*
*BOULEVARD CENTRAL T2*
_Area: Downtown_
_Type: studio apartment_
*Price dynamics, Dirham/sq.ft.*
_(M - median value)_
```3056|                * *   ```
```    |                     *```
```    |                      ```
```    |     *                ```
```    |                   *  ```
```    |      *          *    ```
```    |                    * ```
```2090|---------------------M```
```    |             **       ```
```    |           *   *      ```
```1671|       **** *         ```
```____|______________________```
```    |Jan2018        Jan2026```
_Source: see table below_
*Latest sales transactions*
```Date   Price  BUA Type P/sf```
```------------2026-----------```
```16Jan  1.27M  428 XX03 2967```
```------------2025-----------```
```11Aug  1.05M  468 XX07 2244```
```05Aug  1.19M  469 XX07 2537```
```16Jul  1.36M  445 XX04 3056```
```------------2024-----------```
```11Jun   1.1M  469 XX07 2345```
```03Jun  1.35M  445 XX04 3034```
```------------2023-----------```
```23Nov   865K  469 XX07 1844```
```------------2021-----------```
```17Nov   930K  445 XX04 2090```
```23Sep   875K  428 XX03 2044```
```17Aug   730K  428 XX03 1706```
```30May   850K  445 XX04 1910```
```------------2019-----------```
```01Aug   715K  428 XX03 1671```
```20Jun   765K  428 XX03 1787```
```27Mar   780K  445 XX04 1753```
```------------2018-----------```
```11Oct   770K  428 XX03 1799```
```22Mar  1.06M  445 XX04 2382```
```10Jan  1.14M  428 XX03 2664```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</si>
  <si>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1008166, *NEW RE</t>
  </si>
  <si>
    <t>*NEW RENT*
*CONTRACTS**
_(renewals are not included)_
*BOULEVARD CENTRAL T1+T2+P*
_Area: Downtown_
_Type: studio apartment_
```Date  Price   BUA  Type D/s```
```------------2025-----------```
```15Dec   84K   517  XXXX 162```
```01Dec   75K   431  XXXX 174```
```12Nov   78K   441  XXXX 177```
```03Nov   85K   474  XXXX 179```
```01Nov   70K   506  XXXX 138```
```17Sep  100K   474  XXXX 211```
```02Sep   80K   474  XXXX 169```
```01Sep   80K   474  XXXX 169```
```20Aug   70K   441  XXXX 159```
```13Aug   75K   441  XXXX 170```
```09Aug   75K   431  XXXX 174```
```04Jul   37K   484  XXXX  76```
```11Jun   75K   484  XXXX 155```
```29Apr 92.7K   495  XXXX 187```
```12Apr   85K   441  XXXX 193```
```01Apr   80K   441  XXXX 181```
```28Mar   70K   441  XXXX 159```
```06Mar 90.5K   441  XXXX 205```
```------------2024-----------```
```15Nov 74.8K   495  XXXX 151```
```08Nov   77K   484  XXXX 159```
_Source: DLD, Databot_
_BUA - built-up area, sq.ft._
_P/sf - price per sq.ft._
_B - bedrooms; O - office_
_M - million, K- thousand_
_S - studio, R - shop_
_*20 latest contracts_
www.trydatabot.com</t>
  </si>
  <si>
    <t>1008168, *SALES*</t>
  </si>
  <si>
    <t>*SALES*
*TRANSACTIONS**
*BOULEVARD CENTRAL T2*
_Area: Downtown_
_Type: 1 bedroom apartment_
_Gross ROI=5.71%_
_Median annual rent=115K_
```Date   Price  BUA Type P/sf```
```------------2026-----------```
```20Jan   1.9M 1379 XX03 1378```
```------------2025-----------```
```30Dec     2M  980 XX08 2041```
```17Dec  2.09M 1320 XX09 1583```
```09Dec   1.8M  781 XX07 2305```
```06Nov  1.78M  781 XX07 2279```
```04Jul   2.2M  980 XX08 2245```
```28May  2.13M  924 XX05 2305```
```26May   1.7M  915 XX06 1858```
```21May  1.85M  784 XX07 2360```
```16Apr  1.95M  934 XX10 2088```
```30Jan 1.915M  978 XX08 1958```
```------------2024-----------```
```16Dec  1.95M  973 XX04 2004```
```05Dec  1.85M  921 XX10 2009```
```29Nov 1.635M  818 XX05 1999```
```20Nov  1.95M  923 XX10 2113```
```18Nov  1.92M  923 XX10 2080```
```05Nov   1.9M  783 XX07 2427```
```28Oct  1.78M  915 XX06 1945```
```28Oct 1.526M  818 XX05 1866```
```23Oct   1.9M  864 XX10 2199```
```04Sep   1.8M  915 XX06 1967```
```16Jul  1.78M  923 XX10 1928```
```01Jul 1.836M  915 XX06 2007```
```20May  1.56M  818 XX05 1907```
```24Apr  1.95M  781 XX07 2497```
```20Mar  1.65M  923 XX10 1788```
```11Mar  1.86M  923 XX10 2015```
```06Mar   1.9M 1320 XX09 1439```
```21Feb  1.88M  924 XX05 2035```
```------------2023-----------```
```03Oct   1.8M  781 XX07 2305```
_Source: DLD, Databot_
_BUA - built-up area, sq.ft._
_P/sf - price per sq.ft._
_B - bedrooms; O - office_
_M - million, K- thousand_
_S - studio, R - shop_
_*Max 30 latest transactions_
www.trydatabot.com</t>
  </si>
  <si>
    <t>1008169, *MARKET</t>
  </si>
  <si>
    <t>*MARKET*
*SNAPSHOT*
*BOULEVARD CENTRAL T2*
_Area: Downtown_
_Type: 1 bedroom apartment_
*Price dynamics, Dirham/sq.ft.*
_(M - median value)_
```2427|     *                ```
```    |             * * **   ```
```    |  *             *     ```
```    |      **    *         ```
```2025|---------------------M```
```    | *      ****        * ```
```    |*  **         *       ```
```    |                      ```
```    |                      ```
```    |                   *  ```
```1378|                     *```
```____|______________________```
```    |Jul2024        Jan2026```
_Source: see table below_
*Latest sales transactions*
```Date   Price  BUA Type P/sf```
```------------2026-----------```
```20Jan   1.9M 1379 XX03 1378```
```------------2025-----------```
```30Dec     2M  980 XX08 2041```
```17Dec  2.09M 1320 XX09 1583```
```09Dec   1.8M  781 XX07 2305```
```06Nov  1.78M  781 XX07 2279```
```04Jul   2.2M  980 XX08 2245```
```28May  2.13M  924 XX05 2305```
```26May   1.7M  915 XX06 1858```
```21May  1.85M  784 XX07 2360```
```16Apr  1.95M  934 XX10 2088```
```30Jan 1.915M  978 XX08 1958```
```------------2024-----------```
```16Dec  1.95M  973 XX04 2004```
```05Dec  1.85M  921 XX10 2009```
```29Nov 1.635M  818 XX05 1999```
```20Nov  1.95M  923 XX10 2113```
```18Nov  1.92M  923 XX10 2080```
```05Nov   1.9M  783 XX07 2427```
```28Oct  1.78M  915 XX06 1945```
```28Oct 1.526M  818 XX05 1866```
```23Oct   1.9M  864 XX10 2199```
```04Sep   1.8M  915 XX06 1967```
```16Jul  1.78M  923 XX10 1928```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</si>
  <si>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1008170, *NEW RE</t>
  </si>
  <si>
    <t>1008172, *SALES*</t>
  </si>
  <si>
    <t>*SALES*
*TRANSACTIONS**
*BOULEVARD CENTRAL T2*
_Area: Downtown_
_Type: 2 bedroom apartment_
_Gross ROI=5.93%_
_Median annual rent=170K_
```Date   Price  BUA Type P/sf```
```------------2025-----------```
```18Nov  2.85M 1284 XX01 2220```
```30Oct   3.5M 1323 XX02 2646```
```16Sep  3.15M 1284 XX01 2453```
```26Aug   2.9M 1284 XX01 2259```
```13Aug  2.44M 1265 XX09 1929```
```13May   2.8M 1329 XX02 2107```
```15Apr   2.7M 1096 XX08 2464```
```17Mar 2.825M 1265 XX09 2233```
```11Feb  2.53M 1265 XX09 2000```
```------------2024-----------```
```26Dec  3.22M 1329 XX02 2423```
```14Nov   3.2M 1265 XX09 2530```
```04Nov   2.5M 1265 XX09 1976```
```10Jul 2.475M 1280 XX01 1934```
```07Mar     3M 1321 XX02 2271```
```25Jan 2.846M 1265 XX09 2250```
```------------2023-----------```
```30Oct   3.1M 1284 XX01 2414```
```11Oct   1.9M 1265 XX09 1502```
```28Sep   2.7M 1284 XX01 2103```
```23May  2.25M 1267 XX09 1776```
```------------2022-----------```
```24Oct   1.7M 1265 XX09 1344```
```23Jun   2.5M 1284 XX01 1947```
```10May  2.45M 1284 XX01 1908```
```------------2021-----------```
```25Aug 1.825M 1284 XX01 1421```
```04Jul   2.3M 1284 XX01 1791```
```03Jan  1.64M 1283 XX01 1278```
```------------2020-----------```
```15Sep   1.6M 1284 XX01 1246```
```------------2019-----------```
```28Apr   1.6M 1284 XX01 1246```
```------------2018-----------```
```05Aug   2.1M 1265 XX09 1660```
```10Jul     3M 1284 XX01 2336```
_Source: DLD, Databot_
_BUA - built-up area, sq.ft._
_P/sf - price per sq.ft._
_B - bedrooms; O - office_
_M - million, K- thousand_
_S - studio, R - shop_
_*Max 30 latest transactions_
www.trydatabot.com</t>
  </si>
  <si>
    <t>1008173, *MARKET</t>
  </si>
  <si>
    <t>*MARKET*
*SNAPSHOT*
*BOULEVARD CENTRAL T2*
_Area: Downtown_
_Type: 2 bedroom apartment_
*Price dynamics, Dirham/sq.ft.*
_(M - median value)_
```2646|                    * ```
```    |           *   *   *  ```
```    |      *     *         ```
```    |       **     *   *  *```
```2164|---------------------M```
```    |    *           *     ```
```    | *       **  *        ```
```    |*                *    ```
```    |   *                  ```
```    |     *                ```
```1344|  *                   ```
```____|______________________```
```    |May2022        Nov2025```
_Source: see table below_
*Latest sales transactions*
```Date   Price  BUA Type P/sf```
```------------2025-----------```
```18Nov  2.85M 1284 XX01 2220```
```30Oct   3.5M 1323 XX02 2646```
```16Sep  3.15M 1284 XX01 2453```
```26Aug   2.9M 1284 XX01 2259```
```13Aug  2.44M 1265 XX09 1929```
```13May   2.8M 1329 XX02 2107```
```15Apr   2.7M 1096 XX08 2464```
```17Mar 2.825M 1265 XX09 2233```
```11Feb  2.53M 1265 XX09 2000```
```------------2024-----------```
```26Dec  3.22M 1329 XX02 2423```
```14Nov   3.2M 1265 XX09 2530```
```04Nov   2.5M 1265 XX09 1976```
```10Jul 2.475M 1280 XX01 1934```
```07Mar     3M 1321 XX02 2271```
```25Jan 2.846M 1265 XX09 2250```
```------------2023-----------```
```30Oct   3.1M 1284 XX01 2414```
```11Oct   1.9M 1265 XX09 1502```
```28Sep   2.7M 1284 XX01 2103```
```23May  2.25M 1267 XX09 1776```
```------------2022-----------```
```24Oct   1.7M 1265 XX09 1344```
```23Jun   2.5M 1284 XX01 1947```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</si>
  <si>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1008174, *NEW RE</t>
  </si>
  <si>
    <t>1008176, *SALES*</t>
  </si>
  <si>
    <t>*SALES*
*TRANSACTIONS**
*BOULEVARD CENTRAL T2*
_Area: Downtown_
_Type: 3 bedroom apartment_
```Date   Price  BUA Type P/sf```
```------------2025-----------```
```26Aug   4.2M 1655 XX02 2538```
```------------2021-----------```
```31Jan   2.3M 2163 XX02 1063```
_Source: DLD, Databot_
_BUA - built-up area, sq.ft._
_P/sf - price per sq.ft._
_B - bedrooms; O - office_
_M - million, K- thousand_
_S - studio, R - shop_
_*Max 30 latest transactions_
www.trydatabot.com</t>
  </si>
  <si>
    <t>1008177, *MARKET</t>
  </si>
  <si>
    <t>*MARKET*
*SNAPSHOT*
*BOULEVARD CENTRAL T2*
_Area: Downtown_
_Type: 3 bedroom apartment_
*Price dynamics, Dirham/sq.ft.*
_(M - median value)_
```2538|                     *```
```    |                      ```
```    |                      ```
```    |                      ```
```    |                      ```
```1801|---------------------M```
```    |                      ```
```    |                      ```
```    |                      ```
```    |                      ```
```1063|                    * ```
```____|______________________```
```    |Jan2021        Aug2025```
_Source: see table below_
*Latest sales transactions*
```Date   Price  BUA Type P/sf```
```------------2025-----------```
```26Aug   4.2M 1655 XX02 2538```
```------------2021-----------```
```31Jan   2.3M 2163 XX02 1063```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</si>
  <si>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1008178, *NEW RE</t>
  </si>
  <si>
    <t>*NEW RENT*
*CONTRACTS**
_(renewals are not included)_
*BOULEVARD CENTRAL T1+T2+P*
_Area: Downtown_
_Type: 3 bedroom apartment_
```Date  Price   BUA  Type D/s```
```------------2025-----------```
```29Jan  190K  1668  XXXX 114```
```23Jan  190K  1668  XXXX 114```
```------------2024-----------```
```04Oct  190K  2164  XXXX  88```
```15Sep  165K  1668  XXXX  99```
```------------2023-----------```
```27Sep  135K  1658  XXXX  81```
```------------2022-----------```
```01Nov  175K  1668  XXXX 105```
```27Sep  135K  1658  XXXX  81```
```------------2021-----------```
```27Sep  135K  1658  XXXX  81```
```05Sep  130K  1668  XXXX  78```
```17Jun  125K  2164  XXXX  58```
```------------2020-----------```
```15Sep  125K  1668  XXXX  75```
```------------2018-----------```
```15Oct  120K  1668  XXXX  72```
```15May  165K  1668  XXXX  99```
```------------2017-----------```
```20Oct  175K  1658  XXXX 106```
```10Apr  180K  1668  XXXX 108```
```------------2015-----------```
```10May  200K  1668  XXXX 120```
```25Apr  210K  1668  XXXX 126```
```07Apr  203K  1658  XXXX 122```
```------------2013-----------```
```30Oct  200K  1668  XXXX 120```
_Source: DLD, Databot_
_BUA - built-up area, sq.ft._
_P/sf - price per sq.ft._
_B - bedrooms; O - office_
_M - million, K- thousand_
_S - studio, R - shop_
_*20 latest contracts_
www.trydatabot.com</t>
  </si>
  <si>
    <t>1008198, *NEW RE</t>
  </si>
  <si>
    <t>1008212, *NEW RE</t>
  </si>
  <si>
    <t>1008213, *SALES*</t>
  </si>
  <si>
    <t>*SALES*
*TRANSACTIONS**
*BOULEVARD CENTRAL T2*
_Area: Downtown_
_All types/bedrooms_
```Date    Price   BUA  Type B```
```------------2026-----------```
```20Jan    1.9M  1379  XX03 1```
```16Jan   1.27M   428  XX03 S```
```------------2025-----------```
```30Dec      2M   980  XX08 1```
```17Dec   2.09M  1320  XX09 1```
```09Dec    1.8M   781  XX07 1```
```18Nov   2.85M  1284  XX01 2```
```06Nov   1.78M   781  XX07 1```
```30Oct    3.5M  1323  XX02 2```
```16Sep   3.15M  1284  XX01 2```
```26Aug    4.2M  1655  XX02 3```
```26Aug    2.9M  1284  XX01 2```
```13Aug   2.44M  1265  XX09 2```
```11Aug   1.05M   468  XX07 S```
```05Aug   1.19M   469  XX07 S```
```16Jul   1.36M   445  XX04 S```
```04Jul    2.2M   980  XX08 1```
```28May   2.13M   924  XX05 1```
```26May    1.7M   915  XX06 1```
```21May   1.85M   784  XX07 1```
```13May    2.8M  1329  XX02 2```
```16Apr   1.95M   934  XX10 1```
```15Apr    2.7M  1096  XX08 2```
```17Mar  2.825M  1265  XX09 2```
```11Feb   2.53M  1265  XX09 2```
```30Jan  1.915M   978  XX08 1```
```------------2024-----------```
```26Dec   3.22M  1329  XX02 2```
```16Dec   1.95M   973  XX04 1```
```05Dec   1.85M   921  XX10 1```
```29Nov  1.635M   818  XX05 1```
```20Nov   1.95M   923  XX10 1```
_Source: DLD, Databot_
_BUA - built-up area, sq.ft._
_P/sf - price per sq.ft._
_B - bedrooms; O - office_
_M - million, K- thousand_
_S - studio, R - shop_
_*Max 30 latest transactions_
www.trydatabot.com</t>
  </si>
  <si>
    <t>1008214, by code, *BUILDI</t>
  </si>
  <si>
    <t xml:space="preserve">*BUILDING*
*PROFILE*
*BOULEVARD CENTRAL T2*
_Area: Downtown_
_Tap&amp;hold to copy a reply_
```-------------------------```
```Report              Reply```
```-------------------------```
*Studio*
```Sales, ROI        1008164```
```Price chart       1008165```
```Rentals           1008166```
*1 B/R*
```Sales, ROI        1008168```
```Price chart       1008169```
```Rentals           1008170```
*2 B/R*
```Sales, ROI        1008172```
```Price chart       1008173```
```Rentals           1008174```
*3 B/R*
```Sales, ROI        1008176```
```Price chart       1008177```
```Rentals           1008178```
*All types/bedrooms*
```Sales, ROI        1008213```
```Rentals           1008212```
</t>
  </si>
  <si>
    <t>1008228, *SALES*</t>
  </si>
  <si>
    <t>*SALES*
*TRANSACTIONS**
*BOULEVARD CENTRAL PODIUM*
_Area: Downtown_
_Type: studio apartment_
_Gross ROI=6.04% (confidence: low)_
_Median annual rent=77.5K_
```Date   Price  BUA Type P/sf```
```------------2026-----------```
```06Jan 1.285M  508 XXXX 2530```
```------------2025-----------```
```06Oct  1.28M  503 XX04 2545```
```18Jun  1.28M  511 XXXX 2505```
```12Feb     2M  484 XXXX 4132```
```------------2024-----------```
```01Aug  1.35M  497 XXXX 2716```
```11Mar  1.06M  505 XXXX 2099```
```------------2022-----------```
```05Aug   840K  503 XXXX 1670```
```------------2021-----------```
```12Oct   810K  493 XXXX 1643```
```------------2020-----------```
```15Mar 571.5K  484 XXXX 1181```
```------------2019-----------```
```25Nov   775K  508 XXXX 1526```
```18Apr 950.9K  504 XXXX 1887```
```------------2018-----------```
```29Mar  1.15M  484 XXXX 2376```
_Source: DLD, Databot_
_BUA - built-up area, sq.ft._
_P/sf - price per sq.ft._
_B - bedrooms; O - office_
_M - million, K- thousand_
_S - studio, R - shop_
_*Max 30 latest transactions_
www.trydatabot.com</t>
  </si>
  <si>
    <t>Boulevard Central Podium</t>
  </si>
  <si>
    <t>1008229, *MARKET</t>
  </si>
  <si>
    <t>*MARKET*
*SNAPSHOT*
*BOULEVARD CENTRAL PODIUM*
_Area: Downtown_
_Type: studio apartment_
*Price dynamics, Dirham/sq.ft.*
_(M - median value)_
```4132|                  *   ```
```    |                      ```
```    |                      ```
```    |                      ```
```    |                      ```
```    |                 *  **```
```2238|---------------------M```
```    |          *        *  ```
```    |                *     ```
```    |           ** **      ```
```1181|             *        ```
```____|______________________```
```    |Mar2018        Jan2026```
_Source: see table below_
*Latest sales transactions*
```Date   Price  BUA Type P/sf```
```------------2026-----------```
```06Jan 1.285M  508 XXXX 2530```
```------------2025-----------```
```06Oct  1.28M  503 XX04 2545```
```18Jun  1.28M  511 XXXX 2505```
```12Feb     2M  484 XXXX 4132```
```------------2024-----------```
```01Aug  1.35M  497 XXXX 2716```
```11Mar  1.06M  505 XXXX 2099```
```------------2022-----------```
```05Aug   840K  503 XXXX 1670```
```------------2021-----------```
```12Oct   810K  493 XXXX 1643```
```------------2020-----------```
```15Mar 571.5K  484 XXXX 1181```
```------------2019-----------```
```25Nov   775K  508 XXXX 1526```
```18Apr 950.9K  504 XXXX 1887```
```------------2018-----------```
```29Mar  1.15M  484 XXXX 2376```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</si>
  <si>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1008230, *NEW RE</t>
  </si>
  <si>
    <t>1008232, *SALES*</t>
  </si>
  <si>
    <t>*SALES*
*TRANSACTIONS**
*BOULEVARD CENTRAL PODIUM*
_Area: Downtown_
_Type: 1 bedroom apartment_
_Gross ROI=6.33% (confidence: low)_
_Median annual rent=115K_
```Date   Price  BUA Type P/sf```
```------------2025-----------```
```19May  1.78M 1008 XXXX 1766```
```07Mar  1.85M 1071 XXXX 1727```
```------------2024-----------```
```03Oct   1.8M 1108 XXXX 1625```
```01Oct 1.733M 1017 XXXX 1704```
```01Oct 1.733M 1022 XXXX 1696```
```24Sep  1.75M 1065 XXXX 1643```
```------------2023-----------```
```07Jun  1.45M 1015 XXXX 1429```
```------------2021-----------```
```20Dec   1.7M 1357 XXXX 1253```
```------------2019-----------```
```01Oct  1.15M 1035 XXXX 1111```
_Source: DLD, Databot_
_BUA - built-up area, sq.ft._
_P/sf - price per sq.ft._
_B - bedrooms; O - office_
_M - million, K- thousand_
_S - studio, R - shop_
_*Max 30 latest transactions_
www.trydatabot.com</t>
  </si>
  <si>
    <t>1008233, *MARKET</t>
  </si>
  <si>
    <t>*MARKET*
*SNAPSHOT*
*BOULEVARD CENTRAL PODIUM*
_Area: Downtown_
_Type: 1 bedroom apartment_
*Price dynamics, Dirham/sq.ft.*
_(M - median value)_
```1766|                     *```
```    |                 ** * ```
```1643|---------------------M```
```    |                *  *  ```
```    |                      ```
```    |                      ```
```    |               *      ```
```    |                      ```
```    |                      ```
```    |              *       ```
```1111|             *        ```
```____|______________________```
```    |Oct2019        May2025```
_Source: see table below_
*Latest sales transactions*
```Date   Price  BUA Type P/sf```
```------------2025-----------```
```19May  1.78M 1008 XXXX 1766```
```07Mar  1.85M 1071 XXXX 1727```
```------------2024-----------```
```03Oct   1.8M 1108 XXXX 1625```
```01Oct 1.733M 1017 XXXX 1704```
```01Oct 1.733M 1022 XXXX 1696```
```24Sep  1.75M 1065 XXXX 1643```
```------------2023-----------```
```07Jun  1.45M 1015 XXXX 1429```
```------------2021-----------```
```20Dec   1.7M 1357 XXXX 1253```
```------------2019-----------```
```01Oct  1.15M 1035 XXXX 1111```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</si>
  <si>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1008234, *NEW RE</t>
  </si>
  <si>
    <t>1008238, *NEW RE</t>
  </si>
  <si>
    <t>*NEW RENT*
*CONTRACTS**
_(renewals are not included)_
*BOULEVARD CENTRAL T1+T2+P*
_Area: Downtown_
_Type: _
```Date  Price   BUA  Type D/s```
```------------2026-----------```
```10Jan  250K  2131  XXXX 117```
```01Jan  170K  1163  XXXX 146```
```------------2025-----------```
```03Dec  170K  1163  XXXX 146```
```29Nov  191K  1410  XXXX 135```
```12Nov  158K  1163  XXXX 135```
```08Nov  130K  1270  XXXX 102```
```07Nov  160K  1163  XXXX 138```
```07Nov  160K  1163  XXXX 138```
```07Nov  160K  1163  XXXX 138```
```08Oct  150K  1152  XXXX 130```
```16Sep  170K  1163  XXXX 146```
```15Sep  250K  1281  XXXX 195```
```06Sep  170K  1163  XXXX 146```
```25Aug  170K  1163  XXXX 146```
```22Aug  240K  1098  XXXX 219```
```21Aug  195K  1281  XXXX 152```
```04Aug  175K  1270  XXXX 138```
```25Jul  129K  1163  XXXX 111```
```05Jul  160K  1163  XXXX 138```
```02Jun  180K  1335  XXXX 135```
_Source: DLD, Databot_
_BUA - built-up area, sq.ft._
_P/sf - price per sq.ft._
_B - bedrooms; O - office_
_M - million, K- thousand_
_S - studio, R - shop_
_*20 latest contracts_
www.trydatabot.com</t>
  </si>
  <si>
    <t>1008242, *NEW RE</t>
  </si>
  <si>
    <t>1008262, *NEW RE</t>
  </si>
  <si>
    <t>1008276, *NEW RE</t>
  </si>
  <si>
    <t>1008277, *SALES*</t>
  </si>
  <si>
    <t>*SALES*
*TRANSACTIONS**
*BOULEVARD CENTRAL PODIUM*
_Area: Downtown_
_All types/bedrooms_
```Date    Price   BUA  Type B```
```------------2026-----------```
```06Jan  1.285M   508  XXXX S```
```------------2025-----------```
```06Oct   1.28M   503  XX04 S```
```18Jun   1.28M   511  XXXX S```
```19May   1.78M  1008  XXXX 1```
```07Mar   1.85M  1071  XXXX 1```
```12Feb      2M   484  XXXX S```
```------------2024-----------```
```03Oct    1.8M  1108  XXXX 1```
```01Oct  1.733M  1017  XXXX 1```
```01Oct  1.733M  1022  XXXX 1```
```24Sep   1.75M  1065  XXXX 1```
```01Aug   1.35M   497  XXXX S```
```11Mar   1.06M   505  XXXX S```
```------------2023-----------```
```07Jun   1.45M  1015  XXXX 1```
```------------2022-----------```
```05Aug    840K   503  XXXX S```
```------------2021-----------```
```20Dec    1.7M  1357  XXXX 1```
```12Oct    810K   493  XXXX S```
```------------2020-----------```
```15Mar  571.5K   484  XXXX S```
```------------2019-----------```
```25Nov    775K   508  XXXX S```
```01Oct   1.15M  1035  XXXX 1```
```18Apr  950.9K   504  XXXX S```
```------------2018-----------```
```29Mar   1.15M   484  XXXX S```
_Source: DLD, Databot_
_BUA - built-up area, sq.ft._
_P/sf - price per sq.ft._
_B - bedrooms; O - office_
_M - million, K- thousand_
_S - studio, R - shop_
_*Max 30 latest transactions_
www.trydatabot.com</t>
  </si>
  <si>
    <t>1008278, by code, *BUILDI</t>
  </si>
  <si>
    <t xml:space="preserve">*BUILDING*
*PROFILE*
*BOULEVARD CENTRAL PODIUM*
_Area: Downtown_
_Tap&amp;hold to copy a reply_
```-------------------------```
```Report              Reply```
```-------------------------```
*Studio*
```Sales, ROI        1008228```
```Price chart       1008229```
```Rentals           1008230```
*1 B/R*
```Sales, ROI        1008232```
```Price chart       1008233```
```Rentals           1008234```
*All types/bedrooms*
```Sales, ROI        1008277```
```Rentals           1008276```
</t>
  </si>
  <si>
    <t>1008292, *SALES*</t>
  </si>
  <si>
    <t>*SALES*
*TRANSACTIONS**
*BOULEVARD CENTRAL T1+T2+P*
_Area: Downtown_
_Type: studio apartment_
_Gross ROI=6.4%_
_Median annual rent=77.5K_
```Date   Price  BUA Type P/sf```
```------------2026-----------```
```16Jan  1.27M  428 XX03 2967```
```06Jan 1.285M  508 XXXX 2530```
```------------2025-----------```
```06Oct  1.28M  503 XX04 2545```
```11Aug  1.05M  468 XX07 2244```
```05Aug  1.19M  469 XX07 2537```
```16Jul  1.36M  445 XX04 3056```
```18Jun  1.28M  511 XXXX 2505```
```12Feb     2M  484 XXXX 4132```
```------------2024-----------```
```01Aug  1.35M  497 XXXX 2716```
```11Jun   1.1M  469 XX07 2345```
```03Jun  1.35M  445 XX04 3034```
```11Mar  1.06M  505 XXXX 2099```
```------------2023-----------```
```23Nov   865K  469 XX07 1844```
```------------2022-----------```
```05Aug   840K  503 XXXX 1670```
```------------2021-----------```
```17Nov   930K  445 XX04 2090```
```12Oct   810K  493 XXXX 1643```
```23Sep   875K  428 XX03 2044```
```17Aug   730K  428 XX03 1706```
```30May   850K  445 XX04 1910```
```------------2020-----------```
```15Mar 571.5K  484 XXXX 1181```
```------------2019-----------```
```25Nov   775K  508 XXXX 1526```
```01Aug   715K  428 XX03 1671```
```20Jun   765K  428 XX03 1787```
```18Apr 950.9K  504 XXXX 1887```
```27Mar   780K  445 XX04 1753```
```------------2018-----------```
```11Oct   770K  428 XX03 1799```
```29Mar  1.15M  484 XXXX 2376```
```22Mar  1.06M  445 XX04 2382```
```10Jan  1.14M  428 XX03 2664```
_Source: DLD, Databot_
_BUA - built-up area, sq.ft._
_P/sf - price per sq.ft._
_B - bedrooms; O - office_
_M - million, K- thousand_
_S - studio, R - shop_
_*Max 30 latest transactions_
www.trydatabot.com</t>
  </si>
  <si>
    <t>Boulevard Central T1+T2+P</t>
  </si>
  <si>
    <t>1008293, *MARKET</t>
  </si>
  <si>
    <t>*MARKET*
*SNAPSHOT*
*BOULEVARD CENTRAL T1+T2+P*
_Area: Downtown_
_Type: studio apartment_
*Price dynamics, Dirham/sq.ft.*
_(M - median value)_
```4132|              *       ```
```    |                      ```
```    |                      ```
```    |                      ```
```    |           *    *    *```
```    |             *   * ** ```
```    |            *  *  *   ```
```2172|---------------------M```
```    |     * *  *           ```
```    |** ** * **            ```
```1181|  *                   ```
```____|______________________```
```    |Aug2019        Jan2026```
_Source: see table below_
*Latest sales transactions*
```Date   Price  BUA Type P/sf```
```------------2026-----------```
```16Jan  1.27M  428 XX03 2967```
```06Jan 1.285M  508 XXXX 2530```
```------------2025-----------```
```06Oct  1.28M  503 XX04 2545```
```11Aug  1.05M  468 XX07 2244```
```05Aug  1.19M  469 XX07 2537```
```16Jul  1.36M  445 XX04 3056```
```18Jun  1.28M  511 XXXX 2505```
```12Feb     2M  484 XXXX 4132```
```------------2024-----------```
```01Aug  1.35M  497 XXXX 2716```
```11Jun   1.1M  469 XX07 2345```
```03Jun  1.35M  445 XX04 3034```
```11Mar  1.06M  505 XXXX 2099```
```------------2023-----------```
```23Nov   865K  469 XX07 1844```
```------------2022-----------```
```05Aug   840K  503 XXXX 1670```
```------------2021-----------```
```17Nov   930K  445 XX04 2090```
```12Oct   810K  493 XXXX 1643```
```23Sep   875K  428 XX03 2044```
```17Aug   730K  428 XX03 1706```
```30May   850K  445 XX04 1910```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</si>
  <si>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1008294, *NEW RE</t>
  </si>
  <si>
    <t>1008296, *SALES*</t>
  </si>
  <si>
    <t>*SALES*
*TRANSACTIONS**
*BOULEVARD CENTRAL T1+T2+P*
_Area: Downtown_
_Type: 1 bedroom apartment_
_Gross ROI=5.85%_
_Median annual rent=115K_
```Date   Price  BUA Type P/sf```
```------------2026-----------```
```20Jan   1.9M 1379 XX03 1378```
```------------2025-----------```
```30Dec     2M  980 XX08 2041```
```17Dec  2.09M 1320 XX09 1583```
```09Dec   1.8M  781 XX07 2305```
```10Nov 1.725M  805 XX08 2143```
```06Nov  1.78M  781 XX07 2279```
```30Oct  2.05M 1020 XXXX 2010```
```13Oct 1.673M  876 XX04 1910```
```04Jul   2.2M  980 XX08 2245```
```30Jun  1.95M  757 XX09 2576```
```11Jun 2.025M  767 XX06 2640```
```28May  2.13M  924 XX05 2305```
```26May   1.7M  915 XX06 1858```
```21May  1.85M  784 XX07 2360```
```19May  1.78M 1008 XXXX 1766```
```13May 2.025M  839 XX03 2414```
```29Apr 2.075M  844 XX03 2459```
```16Apr  1.95M  934 XX10 2088```
```14Apr 1.725M  767 XX06 2249```
```07Mar  1.85M 1071 XXXX 1727```
```30Jan 1.915M  978 XX08 1958```
```------------2024-----------```
```19Dec   1.8M  875 XX04 2057```
```16Dec  1.95M  973 XX04 2004```
```05Dec  1.85M  921 XX10 2009```
```29Nov 1.635M  818 XX05 1999```
```22Nov   1.7M  766 XX06 2219```
```20Nov  1.95M  923 XX10 2113```
```18Nov  1.92M  923 XX10 2080```
```05Nov   1.9M  783 XX07 2427```
```01Nov  1.66M  839 XX03 1979```
_Source: DLD, Databot_
_BUA - built-up area, sq.ft._
_P/sf - price per sq.ft._
_B - bedrooms; O - office_
_M - million, K- thousand_
_S - studio, R - shop_
_*Max 30 latest transactions_
www.trydatabot.com</t>
  </si>
  <si>
    <t>1008297, *MARKET</t>
  </si>
  <si>
    <t>*MARKET*
*SNAPSHOT*
*BOULEVARD CENTRAL T1+T2+P*
_Area: Downtown_
_Type: 1 bedroom apartment_
*Price dynamics, Dirham/sq.ft.*
_(M - median value)_
```2640|           *          ```
```    |     *      *         ```
```    |      * *             ```
```    |   *      *  *  * *   ```
```2116|---------------------M```
```    |    *            *    ```
```    |**             *    * ```
```    |         *    *       ```
```    |  *    *              ```
```    |                   *  ```
```1378|                     *```
```____|______________________```
```    |Dec2024        Jan2026```
_Source: see table below_
*Latest sales transactions*
```Date   Price  BUA Type P/sf```
```------------2026-----------```
```20Jan   1.9M 1379 XX03 1378```
```------------2025-----------```
```30Dec     2M  980 XX08 2041```
```17Dec  2.09M 1320 XX09 1583```
```09Dec   1.8M  781 XX07 2305```
```10Nov 1.725M  805 XX08 2143```
```06Nov  1.78M  781 XX07 2279```
```30Oct  2.05M 1020 XXXX 2010```
```13Oct 1.673M  876 XX04 1910```
```04Jul   2.2M  980 XX08 2245```
```30Jun  1.95M  757 XX09 2576```
```11Jun 2.025M  767 XX06 2640```
```28May  2.13M  924 XX05 2305```
```26May   1.7M  915 XX06 1858```
```21May  1.85M  784 XX07 2360```
```19May  1.78M 1008 XXXX 1766```
```13May 2.025M  839 XX03 2414```
```29Apr 2.075M  844 XX03 2459```
```16Apr  1.95M  934 XX10 2088```
```14Apr 1.725M  767 XX06 2249```
```07Mar  1.85M 1071 XXXX 1727```
```30Jan 1.915M  978 XX08 1958```
```------------2024-----------```
```19Dec   1.8M  875 XX04 2057```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</si>
  <si>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1008298, *NEW RE</t>
  </si>
  <si>
    <t>1008300, *SALES*</t>
  </si>
  <si>
    <t>*SALES*
*TRANSACTIONS**
*BOULEVARD CENTRAL T1+T2+P*
_Area: Downtown_
_Type: 2 bedroom apartment_
_Gross ROI=5.93%_
_Median annual rent=170K_
```Date   Price  BUA Type P/sf```
```------------2025-----------```
```26Nov   2.9M 1396 XX02 2077```
```18Nov  2.85M 1284 XX01 2220```
```30Oct   3.5M 1323 XX02 2646```
```15Oct 2.499M 1164 XX01 2147```
```16Sep  3.15M 1284 XX01 2453```
```26Aug   2.9M 1284 XX01 2259```
```13Aug  2.44M 1265 XX09 1929```
```13May   2.8M 1329 XX02 2107```
```28Apr  2.69M 1160 XX05 2319```
```15Apr   2.7M 1096 XX08 2464```
```19Mar  3.15M 1411 XX02 2232```
```17Mar 2.825M 1265 XX09 2233```
```11Feb  2.53M 1265 XX09 2000```
```------------2024-----------```
```26Dec  3.22M 1329 XX02 2423```
```14Nov   3.2M 1265 XX09 2530```
```04Nov   2.5M 1265 XX09 1976```
```27Sep   2.6M 1160 XX05 2241```
```29Aug 2.325M 1160 XX05 2004```
```26Aug   2.7M 1164 XX01 2320```
```05Aug   2.9M 1396 XX02 2077```
```10Jul 2.475M 1280 XX01 1934```
```03Jul 2.513M 1421 XX02 1768```
```25Apr  2.25M 1148 XX05 1960```
```22Apr 2.545M 1160 XX05 2194```
```07Mar     3M 1321 XX02 2271```
```25Jan 2.846M 1265 XX09 2250```
```------------2023-----------```
```21Dec  2.15M 1160 XX05 1853```
```30Nov  2.35M 1411 XX02 1665```
```30Oct   3.1M 1284 XX01 2414```
```11Oct   1.9M 1265 XX09 1502```
_Source: DLD, Databot_
_BUA - built-up area, sq.ft._
_P/sf - price per sq.ft._
_B - bedrooms; O - office_
_M - million, K- thousand_
_S - studio, R - shop_
_*Max 30 latest transactions_
www.trydatabot.com</t>
  </si>
  <si>
    <t>1008301, *MARKET</t>
  </si>
  <si>
    <t>*MARKET*
*SNAPSHOT*
*BOULEVARD CENTRAL T1+T2+P*
_Area: Downtown_
_Type: 2 bedroom apartment_
*Price dynamics, Dirham/sq.ft.*
_(M - median value)_
```2646|                   *  ```
```    |       *              ```
```    |            *    *    ```
```    |        *             ```
```    |   *         *  *     ```
```2226|---------------------M```
```    |     *    **        * ```
```    |  *           *   *  *```
```    |    *    *            ```
```    | *    *        *      ```
```1768|*                     ```
```____|______________________```
```    |Jul2024        Nov2025```
_Source: see table below_
*Latest sales transactions*
```Date   Price  BUA Type P/sf```
```------------2025-----------```
```26Nov   2.9M 1396 XX02 2077```
```18Nov  2.85M 1284 XX01 2220```
```30Oct   3.5M 1323 XX02 2646```
```15Oct 2.499M 1164 XX01 2147```
```16Sep  3.15M 1284 XX01 2453```
```26Aug   2.9M 1284 XX01 2259```
```13Aug  2.44M 1265 XX09 1929```
```13May   2.8M 1329 XX02 2107```
```28Apr  2.69M 1160 XX05 2319```
```15Apr   2.7M 1096 XX08 2464```
```19Mar  3.15M 1411 XX02 2232```
```17Mar 2.825M 1265 XX09 2233```
```11Feb  2.53M 1265 XX09 2000```
```------------2024-----------```
```26Dec  3.22M 1329 XX02 2423```
```14Nov   3.2M 1265 XX09 2530```
```04Nov   2.5M 1265 XX09 1976```
```27Sep   2.6M 1160 XX05 2241```
```29Aug 2.325M 1160 XX05 2004```
```26Aug   2.7M 1164 XX01 2320```
```05Aug   2.9M 1396 XX02 2077```
```10Jul 2.475M 1280 XX01 1934```
```03Jul 2.513M 1421 XX02 1768```
```25Apr  2.25M 1148 XX05 1960```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</si>
  <si>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1008302, *NEW RE</t>
  </si>
  <si>
    <t>1008304, *SALES*</t>
  </si>
  <si>
    <t>*SALES*
*TRANSACTIONS**
*BOULEVARD CENTRAL T1+T2+P*
_Area: Downtown_
_Type: 3 bedroom apartment_
```Date   Price  BUA Type P/sf```
```------------2025-----------```
```26Aug   4.2M 1655 XX02 2538```
```------------2021-----------```
```31Jan   2.3M 2163 XX02 1063```
_Source: DLD, Databot_
_BUA - built-up area, sq.ft._
_P/sf - price per sq.ft._
_B - bedrooms; O - office_
_M - million, K- thousand_
_S - studio, R - shop_
_*Max 30 latest transactions_
www.trydatabot.com</t>
  </si>
  <si>
    <t>1008305, *MARKET</t>
  </si>
  <si>
    <t>*MARKET*
*SNAPSHOT*
*BOULEVARD CENTRAL T1+T2+P*
_Area: Downtown_
_Type: 3 bedroom apartment_
*Price dynamics, Dirham/sq.ft.*
_(M - median value)_
```2538|                     *```
```    |                      ```
```    |                      ```
```    |                      ```
```    |                      ```
```1801|---------------------M```
```    |                      ```
```    |                      ```
```    |                      ```
```    |                      ```
```1063|                    * ```
```____|______________________```
```    |Jan2021        Aug2025```
_Source: see table below_
*Latest sales transactions*
```Date   Price  BUA Type P/sf```
```------------2025-----------```
```26Aug   4.2M 1655 XX02 2538```
```------------2021-----------```
```31Jan   2.3M 2163 XX02 1063```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</si>
  <si>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1008306, *NEW RE</t>
  </si>
  <si>
    <t>1008326, *NEW RE</t>
  </si>
  <si>
    <t>1008340, *NEW RE</t>
  </si>
  <si>
    <t>1008341, *SALES*</t>
  </si>
  <si>
    <t>*SALES*
*TRANSACTIONS**
*BOULEVARD CENTRAL T1+T2+P*
_Area: Downtown_
_All types/bedrooms_
```Date    Price   BUA  Type B```
```------------2026-----------```
```20Jan    1.9M  1379  XX03 1```
```16Jan   1.27M   428  XX03 S```
```06Jan  1.285M   508  XXXX S```
```------------2025-----------```
```30Dec      2M   980  XX08 1```
```17Dec   2.09M  1320  XX09 1```
```09Dec    1.8M   781  XX07 1```
```26Nov    2.9M  1396  XX02 2```
```18Nov   2.85M  1284  XX01 2```
```10Nov  1.725M   805  XX08 1```
```06Nov   1.78M   781  XX07 1```
```30Oct   2.05M  1020  XXXX 1```
```30Oct    3.5M  1323  XX02 2```
```15Oct  2.499M  1164  XX01 2```
```13Oct  1.673M   876  XX04 1```
```06Oct   1.28M   503  XX04 S```
```16Sep   3.15M  1284  XX01 2```
```26Aug    4.2M  1655  XX02 3```
```26Aug    2.9M  1284  XX01 2```
```13Aug   2.44M  1265  XX09 2```
```11Aug   1.05M   468  XX07 S```
```05Aug   1.19M   469  XX07 S```
```16Jul   1.36M   445  XX04 S```
```04Jul    2.2M   980  XX08 1```
```30Jun   1.95M   757  XX09 1```
```18Jun   1.28M   511  XXXX S```
```11Jun  2.025M   767  XX06 1```
```28May   2.13M   924  XX05 1```
```26May    1.7M   915  XX06 1```
```21May   1.85M   784  XX07 1```
```19May   1.78M  1008  XXXX 1```
_Source: DLD, Databot_
_BUA - built-up area, sq.ft._
_P/sf - price per sq.ft._
_B - bedrooms; O - office_
_M - million, K- thousand_
_S - studio, R - shop_
_*Max 30 latest transactions_
www.trydatabot.com</t>
  </si>
  <si>
    <t>1008342, by code, *BUILDI</t>
  </si>
  <si>
    <t xml:space="preserve">*BUILDING*
*PROFILE*
*BOULEVARD CENTRAL T1+T2+P*
_Area: Downtown_
_Tap&amp;hold to copy a reply_
```-------------------------```
```Report              Reply```
```-------------------------```
*Studio*
```Sales, ROI        1008292```
```Price chart       1008293```
```Rentals           1008294```
*1 B/R*
```Sales, ROI        1008296```
```Price chart       1008297```
```Rentals           1008298```
*2 B/R*
```Sales, ROI        1008300```
```Price chart       1008301```
```Rentals           1008302```
*3 B/R*
```Sales, ROI        1008304```
```Price chart       1008305```
```Rentals           1008306```
*All types/bedrooms*
```Sales, ROI        1008341```
```Rentals           1008340```
</t>
  </si>
  <si>
    <t>1008360, *SALES*</t>
  </si>
  <si>
    <t>*SALES*
*TRANSACTIONS (RESALE)**
*BLVD CRESCENT T1*
_Area: Downtown_
_Type: 1 bedroom apartment_
```Date   Price  BUA Type P/sf```
```------------2025-----------```
```06Nov  2.35M  908 XXXX 2588```
```09Jul 1.748M  908 XXXX 1925```
```18Mar   2.3M  959 XX04 2398```
```17Mar   2.1M 1009 XX05 2081```
```03Mar  2.35M 1008 XX05 2331```
```26Feb   2.1M  959 XX04 2190```
```------------2024-----------```
```29Nov  2.19M 1009 XX05 2170```
```15Oct  2.55M 1266 XX04 2014```
```28Aug   2.1M 1009 XX05 2081```
```16Aug   2.1M  909 XX05 2310```
```08Aug   2.1M  908 XXXX 2313```
```25Jun  2.12M  908 XXXX 2335```
```31May   1.8M  908 XXXX 1982```
```12Mar   2.1M  959 XX04 2190```
```------------2023-----------```
```20Dec   1.7M 1009 XX05 1685```
```27Oct  1.75M  908 XXXX 1927```
```11Sep   1.9M  908 XX06 2093```
```03Aug   1.9M  908 XXXX 2093```
```25Jul   1.9M 1010 XX05 1881```
```15May 1.835M  911 XXXX 2014```
```04Apr  2.06M  908 XXXX 2269```
```13Mar  1.75M  908 XX06 1927```
```------------2022-----------```
```20Dec   1.3M  908 XX05 1432```
```16Dec  1.72M  908 XX06 1894```
```11Nov   1.7M  911 XX06 1866```
```07Oct  1.87M  908 XX05 2059```
```21Sep   1.6M  908 XX05 1762```
```15Aug  1.54M 1010 XX05 1525```
```15Aug 1.518M  908 XX06 1672```
```22Jul   1.6M  908 XX05 1762```
_Source: DLD, Databot_
_BUA - built-up area, sq.ft._
_P/sf - price per sq.ft._
_B - bedrooms; O - office_
_M - million, K- thousand_
_S - studio, R - shop_
_*Max 30 latest transactions_
www.trydatabot.com</t>
  </si>
  <si>
    <t>Blvd Crescent T1</t>
  </si>
  <si>
    <t>1008361, *MARKET</t>
  </si>
  <si>
    <t>*MARKET*
*SNAPSHOT*
*BLVD CRESCENT T1*
_Area: Downtown_
_Type: 1 bedroom apartment_
*Price dynamics, Dirham/sq.ft.*
_(M - median value)_
```2588|                     *```
```    |                      ```
```    |                   *  ```
```    |          ***    *    ```
```    | *      *       *     ```
```    |               *      ```
```    |  *          **   *   ```
```    |*     *  *          * ```
```    |   *                  ```
```1685|       *              ```
```1685|       *              ```
```____|______________________```
```    |Mar2023        Nov2025```
_Source: see table below_
*Latest sales transactions*
```Date   Price  BUA Type P/sf```
```------------2025-----------```
```06Nov  2.35M  908 XXXX 2588```
```09Jul 1.748M  908 XXXX 1925```
```18Mar   2.3M  959 XX04 2398```
```17Mar   2.1M 1009 XX05 2081```
```03Mar  2.35M 1008 XX05 2331```
```26Feb   2.1M  959 XX04 2190```
```------------2024-----------```
```29Nov  2.19M 1009 XX05 2170```
```15Oct  2.55M 1266 XX04 2014```
```28Aug   2.1M 1009 XX05 2081```
```16Aug   2.1M  909 XX05 2310```
```08Aug   2.1M  908 XXXX 2313```
```25Jun  2.12M  908 XXXX 2335```
```31May   1.8M  908 XXXX 1982```
```12Mar   2.1M  959 XX04 2190```
```------------2023-----------```
```20Dec   1.7M 1009 XX05 1685```
```27Oct  1.75M  908 XXXX 1927```
```11Sep   1.9M  908 XX06 2093```
```03Aug   1.9M  908 XXXX 2093```
```25Jul   1.9M 1010 XX05 1881```
```15May 1.835M  911 XXXX 2014```
```04Apr  2.06M  908 XXXX 2269```
```13Mar  1.75M  908 XX06 1927```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</si>
  <si>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1008363, *RESELL</t>
  </si>
  <si>
    <t>*RESELL*
*VS PRIMARY*
*BLVD CRESCENT T1*
_Area: Downtown_
_Type: 1 bedroom apartment_
*Price dynamics, Dirham/sq.ft.*
_(x - primary; * - resell)_
```2588|                     *```
```    |                      ```
```    |           **    * *  ```
```    |                *     ```
```2120|             * *  *   ```
```    |              *       ```
```    |   x xx x           * ```
```    |    x  x x            ```
```    |          x           ```
```1421|  x                   ```
```____|______________________```
```    |Dec1899        Nov2025```
_Source: see a table below_
*Latest resell transactions*
```Date   Price  BUA Type P/sf```
```------------2025-----------```
```06Nov  2.35M  908 XXXX 2588```
```09Jul 1.748M  908 XXXX 1925```
```18Mar   2.3M  959 XX04 2398```
```17Mar   2.1M 1009 XX05 2081```
```03Mar  2.35M 1008 XX05 2331```
```26Feb   2.1M  959 XX04 2190```
```------------2024-----------```
```29Nov  2.19M 1009 XX05 2170```
```15Oct  2.55M 1266 XX04 2014```
```28Aug   2.1M 1009 XX05 2081```
```16Aug   2.1M  909 XX05 2310```
```08Aug   2.1M  908 XXXX 2313```
```25Jun  2.12M  908 XXXX 2335```
```31May   1.8M  908 XXXX 1982```
```12Mar   2.1M  959 XX04 2190```
```------------2023-----------```
```20Dec   1.7M 1009 XX05 1685```
```27Oct  1.75M  908 XXXX 1927```
*Latest primary transactions*
```------------2025-----------```
```16Sep 1.486M  959 XXXX 1550```
```------------2020-----------```
```12Nov 1.643M  909 XX05 1807```
```21Jun 1.748M  908 XX05 1925```
```------------2019-----------```
```22Jul 1.742M 1008 XX05 1728```
```03Apr 1.706M  909 XX05 1877```
```14Mar 1.676M  908 XX05 1846```
```12Mar 1.771M 1009 XX05 1755```
```------------2018-----------```
```19Dec 1.894M 1010 XX04 1875```
```27Mar 1.799M 1266 XX04 1421```
_Source: DLD, Databot_
_BUA - built-up area, sq.ft._
_P/sf - price per sq.ft._
_B - bedrooms; O - office_
_M - million, K- thousand_
_S - studio, R - shop_
www.trydatabot.com</t>
  </si>
  <si>
    <t>1008364, *SALES*</t>
  </si>
  <si>
    <t>*SALES*
*TRANSACTIONS (RESALE)**
*BLVD CRESCENT T1*
_Area: Downtown_
_Type: 2 bedroom apartment_
```Date   Price  BUA Type P/sf```
```------------2025-----------```
```26Jun   3.2M 1412 XX04 2266```
```26May  3.25M 1413 XX04 2300```
```25Mar   3.3M 1437 XX03 2296```
```17Feb  3.95M 1543 XX06 2560```
```10Jan  3.41M 1543 XX07 2210```
```08Jan   3.6M 1542 XX06 2335```
```------------2024-----------```
```12Dec  3.75M 1633 XX03 2296```
```06Dec   3.1M 1412 XX04 2195```
```26Nov  3.35M 1542 XX07 2173```
```19Nov  3.39M 1542 XX07 2198```
```18Nov  3.45M 1542 XX06 2237```
```06Nov  3.15M 1413 XX04 2229```
```28Jun  3.35M 1542 XX06 2173```
```08May   2.6M 1413 XXXX 1840```
```18Mar   3.4M 1543 XX06 2203```
```07Feb   2.7M 1413 XX04 1911```
```25Jan   3.1M 1543 XX07 2009```
```------------2023-----------```
```01Dec     3M 1413 XX04 2123```
```30Nov  3.45M 1632 XX03 2114```
```26Oct 3.375M 1543 XXXX 2187```
```26Oct 3.575M 1632 XX03 2191```
```27Sep  2.98M 1632 XX03 1826```
```25Sep   2.8M 1413 XX04 1982```
```28Aug   3.3M 1542 XX07 2140```
```31Jul   3.4M 1543 XX07 2203```
```11Jul  2.65M 1412 XX04 1877```
```01Jun  2.62M 1413 XX04 1854```
```27Mar  2.75M 1543 XX06 1782```
```12Jan   2.2M 1413 XX04 1557```
```------------2022-----------```
```04Nov 3.265M 1543 XX06 2116```
_Source: DLD, Databot_
_BUA - built-up area, sq.ft._
_P/sf - price per sq.ft._
_B - bedrooms; O - office_
_M - million, K- thousand_
_S - studio, R - shop_
_*Max 30 latest transactions_
www.trydatabot.com</t>
  </si>
  <si>
    <t>1008365, *MARKET</t>
  </si>
  <si>
    <t>*MARKET*
*SNAPSHOT*
*BLVD CRESCENT T1*
_Area: Downtown_
_Type: 2 bedroom apartment_
*Price dynamics, Dirham/sq.ft.*
_(M - median value)_
```2560|                  *   ```
```    |                      ```
```    |                      ```
```    |                *     ```
```    |           *   *   ***```
```2197|---------------------M```
```    | **    * ** ***  *    ```
```    |   **                 ```
```    |                      ```
```    |     **               ```
```1826|*       *             ```
```____|______________________```
```    |Sep2023        Jun2025```
_Source: see table below_
*Latest sales transactions*
```Date   Price  BUA Type P/sf```
```------------2025-----------```
```26Jun   3.2M 1412 XX04 2266```
```26May  3.25M 1413 XX04 2300```
```25Mar   3.3M 1437 XX03 2296```
```17Feb  3.95M 1543 XX06 2560```
```10Jan  3.41M 1543 XX07 2210```
```08Jan   3.6M 1542 XX06 2335```
```------------2024-----------```
```12Dec  3.75M 1633 XX03 2296```
```06Dec   3.1M 1412 XX04 2195```
```26Nov  3.35M 1542 XX07 2173```
```19Nov  3.39M 1542 XX07 2198```
```18Nov  3.45M 1542 XX06 2237```
```06Nov  3.15M 1413 XX04 2229```
```28Jun  3.35M 1542 XX06 2173```
```08May   2.6M 1413 XXXX 1840```
```18Mar   3.4M 1543 XX06 2203```
```07Feb   2.7M 1413 XX04 1911```
```25Jan   3.1M 1543 XX07 2009```
```------------2023-----------```
```01Dec     3M 1413 XX04 2123```
```30Nov  3.45M 1632 XX03 2114```
```26Oct 3.375M 1543 XXXX 2187```
```26Oct 3.575M 1632 XX03 2191```
```27Sep  2.98M 1632 XX03 1826```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</si>
  <si>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1008367, *RESELL</t>
  </si>
  <si>
    <t>*RESELL*
*VS PRIMARY*
*BLVD CRESCENT T1*
_Area: Downtown_
_Type: 2 bedroom apartment_
*Price dynamics, Dirham/sq.ft.*
_(x - primary; * - resell)_
```2560|                  *   ```
```    |                      ```
```    |x         x    **  ** ```
```    |        x  ** *  *   *```
```2132| xxxx  x x   *        ```
```    |     x                ```
```    |                      ```
```    |                      ```
```    |                      ```
```1494|      x               ```
```____|______________________```
```    |Jun2019        Jun2025```
_Source: see a table below_
*Latest resell transactions*
```Date   Price  BUA Type P/sf```
```------------2025-----------```
```26Jun   3.2M 1412 XX04 2266```
```26May  3.25M 1413 XX04 2300```
```25Mar   3.3M 1437 XX03 2296```
```17Feb  3.95M 1543 XX06 2560```
```10Jan  3.41M 1543 XX07 2210```
```08Jan   3.6M 1542 XX06 2335```
```------------2024-----------```
```12Dec  3.75M 1633 XX03 2296```
```06Dec   3.1M 1412 XX04 2195```
```26Nov  3.35M 1542 XX07 2173```
```19Nov  3.39M 1542 XX07 2198```
```18Nov  3.45M 1542 XX06 2237```
```06Nov  3.15M 1413 XX04 2229```
```28Jun  3.35M 1542 XX06 2173```
```08May   2.6M 1413 XXXX 1840```
```18Mar   3.4M 1543 XX06 2203```
```07Feb   2.7M 1413 XX04 1911```
```25Jan   3.1M 1543 XX07 2009```
*Latest primary transactions*
```------------2024-----------```
```20Jun 3.876M 1632 XX03 2375```
```------------2021-----------```
```19Apr 3.561M 1632 XX03 2182```
```18Apr 3.524M 1542 XX06 2285```
```------------2020-----------```
```06Oct 3.304M 1543 XX07 2141```
```22Jan 3.343M 2238 XX03 1494```
```------------2019-----------```
```10Dec 3.265M 1632 XX03 2001```
```18Nov 3.321M 1543 XX06 2152```
```13Nov 3.269M 1542 XX06 2120```
```27Aug 3.331M 1543 XX06 2159```
```21Jul 3.355M 1543 XX06 2174```
```19Jun 3.367M 1437 XX03 2343```
```19Jun 2.568M 1413 XX04 1817```
_Source: DLD, Databot_
_BUA - built-up area, sq.ft._
_P/sf - price per sq.ft._
_B - bedrooms; O - office_
_M - million, K- thousand_
_S - studio, R - shop_
www.trydatabot.com</t>
  </si>
  <si>
    <t>1008368, *SALES*</t>
  </si>
  <si>
    <t>*SALES*
*TRANSACTIONS (RESALE)**
*BLVD CRESCENT T1*
_Area: Downtown_
_Type: 3 bedroom apartment_
```Date   Price  BUA Type P/sf```
```------------2025-----------```
```29Dec  4.65M 1979 XX02 2350```
```16Dec 4.975M 1982 XX02 2510```
```26Jun   6.1M 2232 XX01 2733```
```12Jun  4.51M 1979 XX02 2279```
```27May  4.95M 1976 XX02 2505```
```01May   5.4M 2251 XX01 2399```
```20Jan  4.85M 1982 XX02 2447```
```------------2024-----------```
```06Dec 4.654M 2227 XX03 2090```
```28Nov   4.7M 1976 XX02 2379```
```28Nov  5.85M 2251 XX01 2599```
```23Sep 4.995M 2251 XX01 2219```
```23Aug   4.7M 1982 XX02 2371```
```18Jul   5.6M 2226 XX03 2516```
```12Jul   4.7M 1979 XX02 2375```
```04Jul 4.925M 2183 XX01 2256```
```12Jun  5.25M 2232 XXXX 2352```
```07Jun   4.9M 2251 XXXX 2177```
```05Jun   5.3M 2228 XXXX 2379```
```13May   4.5M 1979 XXXX 2274```
```09May  4.99M 2250 XXXX 2218```
```24Jan   4.9M 2226 XX03 2201```
```------------2023-----------```
```11Dec   5.1M 1978 XX02 2578```
```17Oct   4.9M 2226 XX03 2201```
```09Oct  4.75M 2250 XX01 2111```
```21Aug   4.6M 2251 XX01 2044```
```17Aug     5M 2251 XX01 2221```
```31Jul  4.45M 2251 XX01 1977```
```17Jul   4.8M 2228 XX03 2154```
```10Jul   4.4M 2226 XX03 1977```
```26Jun   4.2M 1978 XX02 2123```
_Source: DLD, Databot_
_BUA - built-up area, sq.ft._
_P/sf - price per sq.ft._
_B - bedrooms; O - office_
_M - million, K- thousand_
_S - studio, R - shop_
_*Max 30 latest transactions_
www.trydatabot.com</t>
  </si>
  <si>
    <t>1008369, *MARKET</t>
  </si>
  <si>
    <t>*MARKET*
*SNAPSHOT*
*BLVD CRESCENT T1*
_Area: Downtown_
_Type: 3 bedroom apartment_
*Price dynamics, Dirham/sq.ft.*
_(M - median value)_
```2733|                   *  ```
```    |                      ```
```    |*           *         ```
```    |         *          * ```
```    |               * *    ```
```    |                *     ```
```2373|---------------------M```
```    |    * * * *  *       *```
```    |   *   *          *   ```
```    | **  *     *          ```
```2090|              *       ```
```____|______________________```
```    |Dec2023        Dec2025```
_Source: see table below_
*Latest sales transactions*
```Date   Price  BUA Type P/sf```
```------------2025-----------```
```29Dec  4.65M 1979 XX02 2350```
```16Dec 4.975M 1982 XX02 2510```
```26Jun   6.1M 2232 XX01 2733```
```12Jun  4.51M 1979 XX02 2279```
```27May  4.95M 1976 XX02 2505```
```01May   5.4M 2251 XX01 2399```
```20Jan  4.85M 1982 XX02 2447```
```------------2024-----------```
```06Dec 4.654M 2227 XX03 2090```
```28Nov   4.7M 1976 XX02 2379```
```28Nov  5.85M 2251 XX01 2599```
```23Sep 4.995M 2251 XX01 2219```
```23Aug   4.7M 1982 XX02 2371```
```18Jul   5.6M 2226 XX03 2516```
```12Jul   4.7M 1979 XX02 2375```
```04Jul 4.925M 2183 XX01 2256```
```12Jun  5.25M 2232 XXXX 2352```
```07Jun   4.9M 2251 XXXX 2177```
```05Jun   5.3M 2228 XXXX 2379```
```13May   4.5M 1979 XXXX 2274```
```09May  4.99M 2250 XXXX 2218```
```24Jan   4.9M 2226 XX03 2201```
```------------2023-----------```
```11Dec   5.1M 1978 XX02 2578```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</si>
  <si>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1008371, *RESELL</t>
  </si>
  <si>
    <t>*RESELL*
*VS PRIMARY*
*BLVD CRESCENT T1*
_Area: Downtown_
_Type: 3 bedroom apartment_
*Price dynamics, Dirham/sq.ft.*
_(x - primary; * - resell)_
```2733|                   *  ```
```    |            *         ```
```    |                 *  * ```
```    |             * **    *```
```2281|        xx        *   ```
```    | x   xx   x*          ```
```    |x xx          *       ```
```    |                      ```
```    |    x                 ```
```1602|       x              ```
```____|______________________```
```    |Jan2020        Dec2025```
_Source: see a table below_
*Latest resell transactions*
```Date   Price  BUA Type P/sf```
```------------2025-----------```
```29Dec  4.65M 1979 XX02 2350```
```16Dec 4.975M 1982 XX02 2510```
```26Jun   6.1M 2232 XX01 2733```
```12Jun  4.51M 1979 XX02 2279```
```27May  4.95M 1976 XX02 2505```
```01May   5.4M 2251 XX01 2399```
```20Jan  4.85M 1982 XX02 2447```
```------------2024-----------```
```06Dec 4.654M 2227 XX03 2090```
```28Nov   4.7M 1976 XX02 2379```
```28Nov  5.85M 2251 XX01 2599```
```23Sep 4.995M 2251 XX01 2219```
```23Aug   4.7M 1982 XX02 2371```
```18Jul   5.6M 2226 XX03 2516```
```12Jul   4.7M 1979 XX02 2375```
```04Jul 4.925M 2183 XX01 2256```
```12Jun  5.25M 2232 XXXX 2352```
```07Jun   4.9M 2251 XXXX 2177```
*Latest primary transactions*
```------------2024-----------```
```17Jul     5M 2251 XX01 2221```
```------------2022-----------```
```01Mar 5.184M 2251 XX01 2303```
```26Jan 5.016M 2250 XX01 2229```
```------------2021-----------```
```08Dec 7.527M 4698 XX08 1602```
```05Oct 4.928M 2250 XX01 2190```
```14Jun 4.705M 2226 XX03 2114```
```------------2020-----------```
```30Nov 3.969M 2227 XX03 1782```
```04Oct 4.094M 1978 XX02 2070```
```14Jun 4.098M 1976 XX02 2074```
```09Apr 4.245M 1982 XX02 2142```
```26Jan 4.586M 2183 XX01 2101```
```------------2019-----------```
_Source: DLD, Databot_
_BUA - built-up area, sq.ft._
_P/sf - price per sq.ft._
_B - bedrooms; O - office_
_M - million, K- thousand_
_S - studio, R - shop_
www.trydatabot.com</t>
  </si>
  <si>
    <t>1008372, *SALES*</t>
  </si>
  <si>
    <t>*SALES*
*TRANSACTIONS (RESALE)**
*BLVD CRESCENT T1*
_Area: Downtown_
_Type: 4 bedroom apartment_
```Date   Price  BUA Type P/sf```
```------------2023-----------```
```17Jul  23.3M 9810 XX01 2375```
```29Mar    20M 6975 XX01 2867```
_Source: DLD, Databot_
_BUA - built-up area, sq.ft._
_P/sf - price per sq.ft._
_B - bedrooms; O - office_
_M - million, K- thousand_
_S - studio, R - shop_
_*Max 30 latest transactions_
www.trydatabot.com</t>
  </si>
  <si>
    <t>1008373, *MARKET</t>
  </si>
  <si>
    <t>*MARKET*
*SNAPSHOT*
*BLVD CRESCENT T1*
_Area: Downtown_
_Type: 4 bedroom apartment_
*Price dynamics, Dirham/sq.ft.*
_(M - median value)_
```2867|                    * ```
```    |                      ```
```    |                      ```
```    |                      ```
```    |                      ```
```2621|---------------------M```
```    |                      ```
```    |                      ```
```    |                      ```
```    |                      ```
```2375|                     *```
```____|______________________```
```    |Mar2023        Jul2023```
_Source: see table below_
*Latest sales transactions*
```Date   Price  BUA Type P/sf```
```------------2023-----------```
```17Jul  23.3M 9810 XX01 2375```
```29Mar    20M 6975 XX01 2867```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</si>
  <si>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1008375, *RESELL</t>
  </si>
  <si>
    <t>*RESELL*
*VS PRIMARY*
*BLVD CRESCENT T1*
_Area: Downtown_
_Type: 4 bedroom apartment_
*Price dynamics, Dirham/sq.ft.*
_(x - primary; * - resell)_
```2867|                    * ```
```    |                      ```
```    |                      ```
```    |                     *```
```2087|                      ```
```    |          x           ```
```    |        x             ```
```    |                      ```
```    |                      ```
```917 |         x            ```
```____|______________________```
```    |Dec1899        Jul2023```
_Source: see a table below_
*Latest resell transactions*
```Date   Price  BUA Type P/sf```
```------------2023-----------```
```17Jul  23.3M 9810 XX01 2375```
```29Mar    20M 6975 XX01 2867```
*Latest primary transactions*
```------------2019-----------```
```14Feb     9M 4819 XX02 1868```
```14Feb     9M 9810 XX01  917```
```------------2018-----------```
```01May 11.93M 6975 XX01 1710```
_Source: DLD, Databot_
_BUA - built-up area, sq.ft._
_P/sf - price per sq.ft._
_B - bedrooms; O - office_
_M - million, K- thousand_
_S - studio, R - shop_
www.trydatabot.com</t>
  </si>
  <si>
    <t>1008405, *SALES*</t>
  </si>
  <si>
    <t>*SALES*
*TRANSACTIONS (RESALE)**
*BLVD CRESCENT T1*
_Area: Downtown_
_All types/bedrooms_
```Date    Price   BUA  Type B```
```------------2025-----------```
```29Dec   4.65M  1979  XX02 3```
```16Dec  4.975M  1982  XX02 3```
```06Nov   2.35M   908  XXXX 1```
```09Jul  1.748M   908  XXXX 1```
```26Jun    3.2M  1412  XX04 2```
```26Jun    6.1M  2232  XX01 3```
```12Jun   4.51M  1979  XX02 3```
```27May   4.95M  1976  XX02 3```
```26May   3.25M  1413  XX04 2```
```01May    5.4M  2251  XX01 3```
```25Mar    3.3M  1437  XX03 2```
```18Mar    2.3M   959  XX04 1```
```17Mar    2.1M  1009  XX05 1```
```03Mar   2.35M  1008  XX05 1```
```26Feb    2.1M   959  XX04 1```
```17Feb   3.95M  1543  XX06 2```
```20Jan   4.85M  1982  XX02 3```
```10Jan   3.41M  1543  XX07 2```
```08Jan    3.6M  1542  XX06 2```
```------------2024-----------```
```12Dec   3.75M  1633  XX03 2```
```06Dec    3.1M  1412  XX04 2```
```06Dec  4.654M  2227  XX03 3```
```29Nov   2.19M  1009  XX05 1```
```28Nov    4.7M  1976  XX02 3```
```28Nov   5.85M  2251  XX01 3```
```26Nov   3.35M  1542  XX07 2```
```19Nov   3.39M  1542  XX07 2```
```18Nov   3.45M  1542  XX06 2```
```06Nov   3.15M  1413  XX04 2```
```15Oct   2.55M  1266  XX04 1```
_Source: DLD, Databot_
_BUA - built-up area, sq.ft._
_P/sf - price per sq.ft._
_B - bedrooms; O - office_
_M - million, K- thousand_
_S - studio, R - shop_
_*Max 30 latest transactions_
www.trydatabot.com</t>
  </si>
  <si>
    <t>1008406, by code - other areas, *BUILDI</t>
  </si>
  <si>
    <t xml:space="preserve">*BUILDING*
*PROFILE*
*BLVD CRESCENT T1*
_Area: Downtown_
_Tap&amp;hold to copy a reply_
```-------------------------```
```Report              Reply```
```-------------------------```
*1 B/R*
```Resell, ROI       1008360```
```Primary sales     1008408```
```Price chart       1008361```
```Rentals               n/a```
```Appreciation      1008363```
*2 B/R*
```Resell, ROI       1008364```
```Primary sales     1008409```
```Price chart       1008365```
```Rentals               n/a```
```Appreciation      1008367```
*3 B/R*
```Resell, ROI       1008368```
```Primary sales     1008410```
```Price chart       1008369```
```Rentals               n/a```
```Appreciation      1008371```
*4 B/R*
```Resell, ROI       1008372```
```Primary sales     1008411```
```Price chart       1008373```
```Rentals               n/a```
```Appreciation      1008375```
*All types/bedrooms*
```Resell, ROI       1008405```
```Primary sales     1008419```
```Rentals               n/a```
</t>
  </si>
  <si>
    <t>1008408, *SALES*</t>
  </si>
  <si>
    <t>*SALES*
*TRANSACTIONS (PRIMARY)**
*BLVD CRESCENT T1*
_Area: Downtown_
_Type: 1 bedroom apartment_
```Date   Price  BUA Type P/sf```
```------------2025-----------```
```16Sep 1.486M  959 XXXX 1550```
```------------2020-----------```
```12Nov 1.643M  909 XX05 1807```
```21Jun 1.748M  908 XX05 1925```
```------------2019-----------```
```22Jul 1.742M 1008 XX05 1728```
```03Apr 1.706M  909 XX05 1877```
```14Mar 1.676M  908 XX05 1846```
```12Mar 1.771M 1009 XX05 1755```
```------------2018-----------```
```19Dec 1.894M 1010 XX04 1875```
```27Mar 1.799M 1266 XX04 1421```
_Source: DLD, Databot_
_BUA - built-up area, sq.ft._
_P/sf - price per sq.ft._
_B - bedrooms; O - office_
_M - million, K- thousand_
_S - studio, R - shop_
_*Max 20 latest transactions_
www.trydatabot.com</t>
  </si>
  <si>
    <t>1008409, *SALES*</t>
  </si>
  <si>
    <t>*SALES*
*TRANSACTIONS (PRIMARY)**
*BLVD CRESCENT T1*
_Area: Downtown_
_Type: 2 bedroom apartment_
```Date   Price  BUA Type P/sf```
```------------2024-----------```
```20Jun 3.876M 1632 XX03 2375```
```------------2021-----------```
```19Apr 3.561M 1632 XX03 2182```
```18Apr 3.524M 1542 XX06 2285```
```------------2020-----------```
```06Oct 3.304M 1543 XX07 2141```
```22Jan 3.343M 2238 XX03 1494```
```------------2019-----------```
```10Dec 3.265M 1632 XX03 2001```
```18Nov 3.321M 1543 XX06 2152```
```13Nov 3.269M 1542 XX06 2120```
```27Aug 3.331M 1543 XX06 2159```
```21Jul 3.355M 1543 XX06 2174```
```19Jun 3.367M 1437 XX03 2343```
```19Jun 2.568M 1413 XX04 1817```
```16Jun 3.357M 1436 XX06 2338```
```28Apr  2.82M 1543 XX06 1828```
```------------2018-----------```
```03Jul  3.36M 1543 XX06 2178```
_Source: DLD, Databot_
_BUA - built-up area, sq.ft._
_P/sf - price per sq.ft._
_B - bedrooms; O - office_
_M - million, K- thousand_
_S - studio, R - shop_
_*Max 20 latest transactions_
www.trydatabot.com</t>
  </si>
  <si>
    <t>1008410, *SALES*</t>
  </si>
  <si>
    <t>*SALES*
*TRANSACTIONS (PRIMARY)**
*BLVD CRESCENT T1*
_Area: Downtown_
_Type: 3 bedroom apartment_
```Date   Price  BUA Type P/sf```
```------------2024-----------```
```17Jul     5M 2251 XX01 2221```
```------------2022-----------```
```01Mar 5.184M 2251 XX01 2303```
```26Jan 5.016M 2250 XX01 2229```
```------------2021-----------```
```08Dec 7.527M 4698 XX08 1602```
```05Oct 4.928M 2250 XX01 2190```
```14Jun 4.705M 2226 XX03 2114```
```------------2020-----------```
```30Nov 3.969M 2227 XX03 1782```
```04Oct 4.094M 1978 XX02 2070```
```14Jun 4.098M 1976 XX02 2074```
```09Apr 4.245M 1982 XX02 2142```
```26Jan 4.586M 2183 XX01 2101```
```------------2019-----------```
```13Nov  4.37M 1982 XX02 2205```
```12Nov  4.65M 2251 XX01 2066```
```12Nov 4.439M 1979 XX02 2243```
```14Oct 4.364M 1978 XX02 2206```
```10Sep 4.549M 2327 XX01 1955```
```19Aug 4.315M 2507 XX02 1721```
```15Aug 4.646M 2251 XX01 2064```
```07Jul 4.697M 2250 XX01 2088```
```16Jun 4.513M 2228 XX03 2026```
_Source: DLD, Databot_
_BUA - built-up area, sq.ft._
_P/sf - price per sq.ft._
_B - bedrooms; O - office_
_M - million, K- thousand_
_S - studio, R - shop_
_*Max 20 latest transactions_
www.trydatabot.com</t>
  </si>
  <si>
    <t>1008411, *SALES*</t>
  </si>
  <si>
    <t>*SALES*
*TRANSACTIONS (PRIMARY)**
*BLVD CRESCENT T1*
_Area: Downtown_
_Type: 4 bedroom apartment_
```Date   Price  BUA Type P/sf```
```------------2019-----------```
```14Feb     9M 4819 XX02 1868```
```14Feb     9M 9810 XX01  917```
```------------2018-----------```
```01May 11.93M 6975 XX01 1710```
_Source: DLD, Databot_
_BUA - built-up area, sq.ft._
_P/sf - price per sq.ft._
_B - bedrooms; O - office_
_M - million, K- thousand_
_S - studio, R - shop_
_*Max 20 latest transactions_
www.trydatabot.com</t>
  </si>
  <si>
    <t>1008419, *SALES*</t>
  </si>
  <si>
    <t>*SALES*
*TRANSACTIONS (PRIMARY)**
*BLVD CRESCENT T1*
_Area: Downtown_
_All types/bedrooms_
```Date    Price   BUA  Type B```
```------------2025-----------```
```16Sep  1.486M   959  XXXX 1```
```------------2024-----------```
```17Jul      5M  2251  XX01 3```
```20Jun  3.876M  1632  XX03 2```
```------------2022-----------```
```01Mar  5.184M  2251  XX01 3```
```26Jan  5.016M  2250  XX01 3```
```------------2021-----------```
```08Dec  7.527M  4698  XX08 3```
```05Oct  4.928M  2250  XX01 3```
```14Jun  4.705M  2226  XX03 3```
```19Apr  3.561M  1632  XX03 2```
```18Apr  3.524M  1542  XX06 2```
```------------2020-----------```
```30Nov  3.969M  2227  XX03 3```
```12Nov  1.643M   909  XX05 1```
```06Oct  3.304M  1543  XX07 2```
```04Oct  4.094M  1978  XX02 3```
```21Jun  1.748M   908  XX05 1```
```14Jun  4.098M  1976  XX02 3```
```09Apr  4.245M  1982  XX02 3```
```26Jan  4.586M  2183  XX01 3```
```22Jan  3.343M  2238  XX03 2```
```------------2019-----------```
```10Dec  3.265M  1632  XX03 2```
_Source: DLD, Databot_
_BUA - built-up area, sq.ft._
_P/sf - price per sq.ft._
_B - bedrooms; O - office_
_M - million, K- thousand_
_S - studio, R - shop_
_*Max 20 latest transactions_
www.trydatabot.com</t>
  </si>
  <si>
    <t>1008424, *SALES*</t>
  </si>
  <si>
    <t>*SALES*
*TRANSACTIONS (RESALE)**
*BLVD CRESCENT T2*
_Area: Downtown_
_Type: 1 bedroom apartment_
```Date   Price  BUA Type P/sf```
```------------2025-----------```
```19Dec   2.9M 1159 XXXX 2502```
```------------2024-----------```
```20Dec   2.8M 1159 XXXX 2416```
```01Nov 2.655M 1159 XXXX 2291```
```23Sep  2.65M 1159 XXXX 2286```
```11Sep 2.425M 1159 XXXX 2092```
```04Jul   2.7M 1159 XXXX 2330```
```05Mar 2.675M 1159 XXXX 2308```
```23Jan  2.55M 1159 XXXX 2200```
```------------2023-----------```
```14Nov  2.51M 1159 XXXX 2166```
```11Sep  2.37M 1159 XXXX 2045```
```31Aug 2.325M 1159 XXXX 2006```
```06Feb 2.175M 1159 XXXX 1877```
```26Jan   1.7M 1159 XXXX 1467```
```------------2022-----------```
```28Nov   2.2M 1159 XX01 1898```
```28Sep   1.9M 1159 XX04 1639```
```15Aug   1.8M 1159 XX04 1553```
```27Apr  1.65M 1159 XX01 1424```
```04Feb  1.65M 1159 XX04 1424```
```------------2021-----------```
```26Aug   1.8M 1159 XX01 1553```
```02May   1.8M 1159 XX04 1553```
```------------2019-----------```
```29Jul   1.7M 1159 XX01 1467```
```15Apr   1.5M 1159 XX04 1294```
```15Apr 1.825M 1159 XX04 1575```
_Source: DLD, Databot_
_BUA - built-up area, sq.ft._
_P/sf - price per sq.ft._
_B - bedrooms; O - office_
_M - million, K- thousand_
_S - studio, R - shop_
_*Max 30 latest transactions_
www.trydatabot.com</t>
  </si>
  <si>
    <t>Blvd Crescent T2</t>
  </si>
  <si>
    <t>1008425, *MARKET</t>
  </si>
  <si>
    <t>*MARKET*
*SNAPSHOT*
*BLVD CRESCENT T2*
_Area: Downtown_
_Type: 1 bedroom apartment_
*Price dynamics, Dirham/sq.ft.*
_(M - median value)_
```2502|                     *```
```    |                *   * ```
```    |              **  **  ```
```    |             *   *    ```
```    |           **         ```
```1952|---------------------M```
```    |        * *           ```
```    |                      ```
```    |       *              ```
```    | ******  *            ```
```1294|*                     ```
```____|______________________```
```    |Apr2019        Dec2025```
_Source: see table below_
*Latest sales transactions*
```Date   Price  BUA Type P/sf```
```------------2025-----------```
```19Dec   2.9M 1159 XXXX 2502```
```------------2024-----------```
```20Dec   2.8M 1159 XXXX 2416```
```01Nov 2.655M 1159 XXXX 2291```
```23Sep  2.65M 1159 XXXX 2286```
```11Sep 2.425M 1159 XXXX 2092```
```04Jul   2.7M 1159 XXXX 2330```
```05Mar 2.675M 1159 XXXX 2308```
```23Jan  2.55M 1159 XXXX 2200```
```------------2023-----------```
```14Nov  2.51M 1159 XXXX 2166```
```11Sep  2.37M 1159 XXXX 2045```
```31Aug 2.325M 1159 XXXX 2006```
```06Feb 2.175M 1159 XXXX 1877```
```26Jan   1.7M 1159 XXXX 1467```
```------------2022-----------```
```28Nov   2.2M 1159 XX01 1898```
```28Sep   1.9M 1159 XX04 1639```
```15Aug   1.8M 1159 XX04 1553```
```27Apr  1.65M 1159 XX01 1424```
```04Feb  1.65M 1159 XX04 1424```
```------------2021-----------```
```26Aug   1.8M 1159 XX01 1553```
```02May   1.8M 1159 XX04 1553```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</si>
  <si>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1008427, *RESELL</t>
  </si>
  <si>
    <t>*RESELL*
*VS PRIMARY*
*BLVD CRESCENT T2*
_Area: Downtown_
_Type: 1 bedroom apartment_
*Price dynamics, Dirham/sq.ft.*
_(x - primary; * - resell)_
```2502|                     *```
```    |                    * ```
```    |               ** **  ```
```    |    x        **       ```
```2054|      x x x**    *    ```
```    |     x x              ```
```    |                      ```
```    |                      ```
```    |                      ```
```1383|         x            ```
```____|______________________```
```    |Dec1899        Dec2025```
_Source: see a table below_
*Latest resell transactions*
```Date   Price  BUA Type P/sf```
```------------2025-----------```
```19Dec   2.9M 1159 XXXX 2502```
```------------2024-----------```
```20Dec   2.8M 1159 XXXX 2416```
```01Nov 2.655M 1159 XXXX 2291```
```23Sep  2.65M 1159 XXXX 2286```
```11Sep 2.425M 1159 XXXX 2092```
```04Jul   2.7M 1159 XXXX 2330```
```05Mar 2.675M 1159 XXXX 2308```
```23Jan  2.55M 1159 XXXX 2200```
```------------2023-----------```
```14Nov  2.51M 1159 XXXX 2166```
```11Sep  2.37M 1159 XXXX 2045```
```31Aug 2.325M 1159 XXXX 2006```
```06Feb 2.175M 1159 XXXX 1877```
```26Jan   1.7M 1159 XXXX 1467```
```------------2022-----------```
```28Nov   2.2M 1159 XX01 1898```
```28Sep   1.9M 1159 XX04 1639```
*Latest primary transactions*
```------------2021-----------```
```17May 2.336M 1159 XX04 2015```
```------------2020-----------```
```27Sep 2.604M 1883 XX01 1383```
```14Jun 2.382M 1159 XX04 2055```
```18May 2.255M 1159 XX04 1946```
```17Mar 2.417M 1159 XX01 2085```
```------------2019-----------```
```02Apr 2.282M 1159 XX04 1969```
```19Mar 2.017M  928 XX02 2173```
_Source: DLD, Databot_
_BUA - built-up area, sq.ft._
_P/sf - price per sq.ft._
_B - bedrooms; O - office_
_M - million, K- thousand_
_S - studio, R - shop_
www.trydatabot.com</t>
  </si>
  <si>
    <t>1008428, *SALES*</t>
  </si>
  <si>
    <t>*SALES*
*TRANSACTIONS (RESALE)**
*BLVD CRESCENT T2*
_Area: Downtown_
_Type: 2 bedroom apartment_
```Date   Price  BUA Type P/sf```
```------------2025-----------```
```15Jul 3.875M 1671 XX03 2319```
```24Mar   4.2M 1671 XX02 2513```
```------------2024-----------```
```16Oct  3.95M 1671 XX02 2364```
```26Sep  3.45M 1671 XX03 2065```
```21May  3.85M 1671 XXXX 2304```
```02May   3.4M 1671 XXXX 2035```
```19Feb 3.485M 1671 XX03 2086```
```------------2023-----------```
```13Dec  3.25M 1671 XX02 1945```
```27Nov  3.35M 1671 XX03 2005```
```09Oct   3.4M 1671 XX03 2035```
```31Jul  2.65M 1671 XX02 1586```
```21Jun 3.125M 1671 XX02 1870```
```12Jan  2.78M 1671 XX03 1664```
```------------2021-----------```
```25Feb   2.5M 1671 XX03 1496```
```------------2019-----------```
```01Apr   2.9M 1671 XX03 1735```
_Source: DLD, Databot_
_BUA - built-up area, sq.ft._
_P/sf - price per sq.ft._
_B - bedrooms; O - office_
_M - million, K- thousand_
_S - studio, R - shop_
_*Max 30 latest transactions_
www.trydatabot.com</t>
  </si>
  <si>
    <t>1008429, *MARKET</t>
  </si>
  <si>
    <t>*MARKET*
*SNAPSHOT*
*BLVD CRESCENT T2*
_Area: Downtown_
_Type: 2 bedroom apartment_
*Price dynamics, Dirham/sq.ft.*
_(M - median value)_
```2513|                    * ```
```    |                   *  ```
```    |                 *   *```
```    |                      ```
```    |               *  *   ```
```2035|---------------------M```
```    |            **  *     ```
```    |          *   *       ```
```    |                      ```
```    |       * *            ```
```1496|        *  *          ```
```____|______________________```
```    |Apr2019        Jul2025```
_Source: see table below_
*Latest sales transactions*
```Date   Price  BUA Type P/sf```
```------------2025-----------```
```15Jul 3.875M 1671 XX03 2319```
```24Mar   4.2M 1671 XX02 2513```
```------------2024-----------```
```16Oct  3.95M 1671 XX02 2364```
```26Sep  3.45M 1671 XX03 2065```
```21May  3.85M 1671 XXXX 2304```
```02May   3.4M 1671 XXXX 2035```
```19Feb 3.485M 1671 XX03 2086```
```------------2023-----------```
```13Dec  3.25M 1671 XX02 1945```
```27Nov  3.35M 1671 XX03 2005```
```09Oct   3.4M 1671 XX03 2035```
```31Jul  2.65M 1671 XX02 1586```
```21Jun 3.125M 1671 XX02 1870```
```12Jan  2.78M 1671 XX03 1664```
```------------2021-----------```
```25Feb   2.5M 1671 XX03 1496```
```------------2019-----------```
```01Apr   2.9M 1671 XX03 1735```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</si>
  <si>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1008431, *RESELL</t>
  </si>
  <si>
    <t>*RESELL*
*VS PRIMARY*
*BLVD CRESCENT T2*
_Area: Downtown_
_Type: 2 bedroom apartment_
*Price dynamics, Dirham/sq.ft.*
_(x - primary; * - resell)_
```2513|                    * ```
```    |                      ```
```    |                 * * *```
```    |                      ```
```2141|                      ```
```    |        xxx ** ** *   ```
```    |      xx      *       ```
```    |                      ```
```    |                      ```
```1586|           *          ```
```____|______________________```
```    |Dec1899        Jul2025```
_Source: see a table below_
*Latest resell transactions*
```Date   Price  BUA Type P/sf```
```------------2025-----------```
```15Jul 3.875M 1671 XX03 2319```
```24Mar   4.2M 1671 XX02 2513```
```------------2024-----------```
```16Oct  3.95M 1671 XX02 2364```
```26Sep  3.45M 1671 XX03 2065```
```21May  3.85M 1671 XXXX 2304```
```02May   3.4M 1671 XXXX 2035```
```19Feb 3.485M 1671 XX03 2086```
```------------2023-----------```
```13Dec  3.25M 1671 XX02 1945```
```27Nov  3.35M 1671 XX03 2005```
```09Oct   3.4M 1671 XX03 2035```
```31Jul  2.65M 1671 XX02 1586```
```21Jun 3.125M 1671 XX02 1870```
```12Jan  2.78M 1671 XX03 1664```
```------------2021-----------```
```25Feb   2.5M 1671 XX03 1496```
```------------2019-----------```
*Latest primary transactions*
```------------2021-----------```
```09Aug 3.477M 1671 XX02 2081```
```------------2019-----------```
```14Oct 3.447M 1671 XX02 2063```
```16Jun 3.477M 1671 XX02 2081```
```24Apr 3.331M 1671 XX03 1993```
```02Apr 3.304M 1671 XX03 1977```
_Source: DLD, Databot_
_BUA - built-up area, sq.ft._
_P/sf - price per sq.ft._
_B - bedrooms; O - office_
_M - million, K- thousand_
_S - studio, R - shop_
www.trydatabot.com</t>
  </si>
  <si>
    <t>1008432, *SALES*</t>
  </si>
  <si>
    <t>*SALES*
*TRANSACTIONS (RESALE)**
*BLVD CRESCENT T2*
_Area: Downtown_
_Type: 3 bedroom apartment_
```Date   Price  BUA Type P/sf```
```------------2022-----------```
```22Dec  4.45M 2476 XX01 1797```
_Source: DLD, Databot_
_BUA - built-up area, sq.ft._
_P/sf - price per sq.ft._
_B - bedrooms; O - office_
_M - million, K- thousand_
_S - studio, R - shop_
_*Max 30 latest transactions_
www.trydatabot.com</t>
  </si>
  <si>
    <t>1008433, *MARKET</t>
  </si>
  <si>
    <t>*MARKET*
*SNAPSHOT*
*BLVD CRESCENT T2*
_Area: Downtown_
_Type: 3 bedroom apartment_
*Price dynamics, Dirham/sq.ft.*
_(M - median value)_
```1797|                     *```
```1797|----------------------```
```    |                     *```
```1797|---------------------M```
```    |                     *```
```1797|---------------------M```
```    |                     *```
```1797|---------------------M```
```    |                     *```
```1797|---------------------M```
```    |                     *```
```____|______________________```
```    |Dec2022        Dec2022```
_Source: see table below_
*Latest sales transactions*
```Date   Price  BUA Type P/sf```
```------------2022-----------```
```22Dec  4.45M 2476 XX01 1797```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</si>
  <si>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1008435, *RESELL</t>
  </si>
  <si>
    <t>*RESELL*
*VS PRIMARY*
*BLVD CRESCENT T2*
_Area: Downtown_
_Type: 3 bedroom apartment_
*Price dynamics, Dirham/sq.ft.*
_(x - primary; * - resell)_
```1975|         x            ```
```    |                      ```
```    |                      ```
```    |          x           ```
```1903|                      ```
```    |                      ```
```    |                      ```
```    |                      ```
```    |                      ```
```1797|                     *```
```____|______________________```
```    |Dec1899        Dec2022```
_Source: see a table below_
*Latest resell transactions*
```Date   Price  BUA Type P/sf```
```------------2022-----------```
```22Dec  4.45M 2476 XX01 1797```
*Latest primary transactions*
```------------2019-----------```
```19Nov  5.34M 2771 XX02 1927```
```27Aug 5.477M 2773 XX01 1975```
_Source: DLD, Databot_
_BUA - built-up area, sq.ft._
_P/sf - price per sq.ft._
_B - bedrooms; O - office_
_M - million, K- thousand_
_S - studio, R - shop_
www.trydatabot.com</t>
  </si>
  <si>
    <t>1008469, *SALES*</t>
  </si>
  <si>
    <t>*SALES*
*TRANSACTIONS (RESALE)**
*BLVD CRESCENT T2*
_Area: Downtown_
_All types/bedrooms_
```Date    Price   BUA  Type B```
```------------2025-----------```
```19Dec    2.9M  1159  XXXX 1```
```15Jul  3.875M  1671  XX03 2```
```24Mar    4.2M  1671  XX02 2```
```------------2024-----------```
```20Dec    2.8M  1159  XXXX 1```
```01Nov  2.655M  1159  XXXX 1```
```16Oct   3.95M  1671  XX02 2```
```26Sep   3.45M  1671  XX03 2```
```23Sep   2.65M  1159  XXXX 1```
```11Sep  2.425M  1159  XXXX 1```
```04Jul    2.7M  1159  XXXX 1```
```21May   3.85M  1671  XXXX 2```
```02May    3.4M  1671  XXXX 2```
```05Mar  2.675M  1159  XXXX 1```
```19Feb  3.485M  1671  XX03 2```
```23Jan   2.55M  1159  XXXX 1```
```------------2023-----------```
```13Dec   3.25M  1671  XX02 2```
```27Nov   3.35M  1671  XX03 2```
```14Nov   2.51M  1159  XXXX 1```
```09Oct    3.4M  1671  XX03 2```
```11Sep   2.37M  1159  XXXX 1```
```31Aug  2.325M  1159  XXXX 1```
```31Jul   2.65M  1671  XX02 2```
```21Jun  3.125M  1671  XX02 2```
```06Feb  2.175M  1159  XXXX 1```
```26Jan    1.7M  1159  XXXX 1```
```12Jan   2.78M  1671  XX03 2```
```------------2022-----------```
```22Dec   4.45M  2476  XX01 3```
```28Nov    2.2M  1159  XX01 1```
```28Sep    1.9M  1159  XX04 1```
```15Aug    1.8M  1159  XX04 1```
_Source: DLD, Databot_
_BUA - built-up area, sq.ft._
_P/sf - price per sq.ft._
_B - bedrooms; O - office_
_M - million, K- thousand_
_S - studio, R - shop_
_*Max 30 latest transactions_
www.trydatabot.com</t>
  </si>
  <si>
    <t>1008470, by code - other areas, *BUILDI</t>
  </si>
  <si>
    <t xml:space="preserve">*BUILDING*
*PROFILE*
*BLVD CRESCENT T2*
_Area: Downtown_
_Tap&amp;hold to copy a reply_
```-------------------------```
```Report              Reply```
```-------------------------```
*1 B/R*
```Resell, ROI       1008424```
```Primary sales     1008472```
```Price chart       1008425```
```Rentals               n/a```
```Appreciation      1008427```
*2 B/R*
```Resell, ROI       1008428```
```Primary sales     1008473```
```Price chart       1008429```
```Rentals               n/a```
```Appreciation      1008431```
*3 B/R*
```Resell, ROI       1008432```
```Primary sales     1008474```
```Price chart       1008433```
```Rentals               n/a```
```Appreciation      1008435```
*All types/bedrooms*
```Resell, ROI       1008469```
```Primary sales     1008483```
```Rentals               n/a```
</t>
  </si>
  <si>
    <t>1008472, *SALES*</t>
  </si>
  <si>
    <t>*SALES*
*TRANSACTIONS (PRIMARY)**
*BLVD CRESCENT T2*
_Area: Downtown_
_Type: 1 bedroom apartment_
```Date   Price  BUA Type P/sf```
```------------2021-----------```
```17May 2.336M 1159 XX04 2015```
```------------2020-----------```
```27Sep 2.604M 1883 XX01 1383```
```14Jun 2.382M 1159 XX04 2055```
```18May 2.255M 1159 XX04 1946```
```17Mar 2.417M 1159 XX01 2085```
```------------2019-----------```
```02Apr 2.282M 1159 XX04 1969```
```19Mar 2.017M  928 XX02 2173```
_Source: DLD, Databot_
_BUA - built-up area, sq.ft._
_P/sf - price per sq.ft._
_B - bedrooms; O - office_
_M - million, K- thousand_
_S - studio, R - shop_
_*Max 20 latest transactions_
www.trydatabot.com</t>
  </si>
  <si>
    <t>1008473, *SALES*</t>
  </si>
  <si>
    <t>*SALES*
*TRANSACTIONS (PRIMARY)**
*BLVD CRESCENT T2*
_Area: Downtown_
_Type: 2 bedroom apartment_
```Date   Price  BUA Type P/sf```
```------------2021-----------```
```09Aug 3.477M 1671 XX02 2081```
```------------2019-----------```
```14Oct 3.447M 1671 XX02 2063```
```16Jun 3.477M 1671 XX02 2081```
```24Apr 3.331M 1671 XX03 1993```
```02Apr 3.304M 1671 XX03 1977```
_Source: DLD, Databot_
_BUA - built-up area, sq.ft._
_P/sf - price per sq.ft._
_B - bedrooms; O - office_
_M - million, K- thousand_
_S - studio, R - shop_
_*Max 20 latest transactions_
www.trydatabot.com</t>
  </si>
  <si>
    <t>1008474, *SALES*</t>
  </si>
  <si>
    <t>*SALES*
*TRANSACTIONS (PRIMARY)**
*BLVD CRESCENT T2*
_Area: Downtown_
_Type: 3 bedroom apartment_
```Date   Price  BUA Type P/sf```
```------------2019-----------```
```19Nov  5.34M 2771 XX02 1927```
```27Aug 5.477M 2773 XX01 1975```
_Source: DLD, Databot_
_BUA - built-up area, sq.ft._
_P/sf - price per sq.ft._
_B - bedrooms; O - office_
_M - million, K- thousand_
_S - studio, R - shop_
_*Max 20 latest transactions_
www.trydatabot.com</t>
  </si>
  <si>
    <t>1008483, *SALES*</t>
  </si>
  <si>
    <t>*SALES*
*TRANSACTIONS (PRIMARY)**
*BLVD CRESCENT T2*
_Area: Downtown_
_All types/bedrooms_
```Date    Price   BUA  Type B```
```------------2021-----------```
```09Aug  3.477M  1671  XX02 2```
```17May  2.336M  1159  XX04 1```
```------------2020-----------```
```27Sep  2.604M  1883  XX01 1```
```14Jun  2.382M  1159  XX04 1```
```18May  2.255M  1159  XX04 1```
```17Mar  2.417M  1159  XX01 1```
```------------2019-----------```
```19Nov   5.34M  2771  XX02 3```
```14Oct  3.447M  1671  XX02 2```
```27Aug  5.477M  2773  XX01 3```
```16Jun  3.477M  1671  XX02 2```
```24Apr  3.331M  1671  XX03 2```
```02Apr  3.304M  1671  XX03 2```
```02Apr  2.282M  1159  XX04 1```
```19Mar  2.017M   928  XX02 1```
_Source: DLD, Databot_
_BUA - built-up area, sq.ft._
_P/sf - price per sq.ft._
_B - bedrooms; O - office_
_M - million, K- thousand_
_S - studio, R - shop_
_*Max 20 latest transactions_
www.trydatabot.com</t>
  </si>
  <si>
    <t>1008488, *SALES*</t>
  </si>
  <si>
    <t>*SALES*
*TRANSACTIONS (RESALE)**
*BLVD CRESCENT PODIUM*
_Area: Downtown_
_Type: 1 bedroom apartment_
```Date   Price  BUA Type P/sf```
```------------2025-----------```
```20May  2.33M 1023 XXXX 2278```
```06Feb   2.2M 1023 XXXX 2151```
```------------2024-----------```
```10Jul   1.8M  926 XXXX 1944```
```04Jun 2.438M  988 XXXX 2467```
```01Feb   2.1M 1015 XXXX 2069```
```------------2023-----------```
```02Nov     2M  968 XXXX 2066```
```28Sep 1.725M 1015 XXXX 1700```
```12Apr 1.799M  969 XXXX 1857```
_Source: DLD, Databot_
_BUA - built-up area, sq.ft._
_P/sf - price per sq.ft._
_B - bedrooms; O - office_
_M - million, K- thousand_
_S - studio, R - shop_
_*Max 30 latest transactions_
www.trydatabot.com</t>
  </si>
  <si>
    <t>Blvd Crescent Podium</t>
  </si>
  <si>
    <t>1008489, *MARKET</t>
  </si>
  <si>
    <t>*MARKET*
*SNAPSHOT*
*BLVD CRESCENT PODIUM*
_Area: Downtown_
_Type: 1 bedroom apartment_
*Price dynamics, Dirham/sq.ft.*
_(M - median value)_
```2467|                  *   ```
```    |                      ```
```    |                     *```
```    |                      ```
```    |                    * ```
```2068|---------------------M```
```    |                **    ```
```    |                      ```
```    |                   *  ```
```    |              *       ```
```1700|               *      ```
```____|______________________```
```    |Apr2023        May2025```
_Source: see table below_
*Latest sales transactions*
```Date   Price  BUA Type P/sf```
```------------2025-----------```
```20May  2.33M 1023 XXXX 2278```
```06Feb   2.2M 1023 XXXX 2151```
```------------2024-----------```
```10Jul   1.8M  926 XXXX 1944```
```04Jun 2.438M  988 XXXX 2467```
```01Feb   2.1M 1015 XXXX 2069```
```------------2023-----------```
```02Nov     2M  968 XXXX 2066```
```28Sep 1.725M 1015 XXXX 1700```
```12Apr 1.799M  969 XXXX 1857```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</si>
  <si>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1008491, *RESELL</t>
  </si>
  <si>
    <t>*RESELL*
*VS PRIMARY*
*BLVD CRESCENT PODIUM*
_Area: Downtown_
_Type: 1 bedroom apartment_
*Price dynamics, Dirham/sq.ft.*
_(x - primary; * - resell)_
```2467|                  *   ```
```    |          x           ```
```    |                     *```
```    |                      ```
```2159|      x             * ```
```    |       x        **    ```
```    |     x  xx            ```
```    |                   *  ```
```    |              *       ```
```1700|               *      ```
```____|______________________```
```    |Dec1899        May2025```
_Source: see a table below_
*Latest resell transactions*
```Date   Price  BUA Type P/sf```
```------------2025-----------```
```20May  2.33M 1023 XXXX 2278```
```06Feb   2.2M 1023 XXXX 2151```
```------------2024-----------```
```10Jul   1.8M  926 XXXX 1944```
```04Jun 2.438M  988 XXXX 2467```
```01Feb   2.1M 1015 XXXX 2069```
```------------2023-----------```
```02Nov     2M  968 XXXX 2066```
```28Sep 1.725M 1015 XXXX 1700```
```12Apr 1.799M  969 XXXX 1857```
*Latest primary transactions*
```------------2024-----------```
```05Dec 2.543M 1057 XXXX 2406```
```------------2019-----------```
```07Oct 1.971M  977 PXXX 2017```
```16Jun 2.041M 1023 PXXX 1995```
```23May 1.986M  969 PXXX 2049```
```23May 1.746M  795 PXXX 2196```
```------------2018-----------```
```11Nov 1.878M  936 PXXX 2006```
_Source: DLD, Databot_
_BUA - built-up area, sq.ft._
_P/sf - price per sq.ft._
_B - bedrooms; O - office_
_M - million, K- thousand_
_S - studio, R - shop_
www.trydatabot.com</t>
  </si>
  <si>
    <t>1008492, *SALES*</t>
  </si>
  <si>
    <t>*SALES*
*TRANSACTIONS (RESALE)**
*BLVD CRESCENT PODIUM*
_Area: Downtown_
_Type: 2 bedroom apartment_
```Date   Price  BUA Type P/sf```
```------------2025-----------```
```18Feb   3.4M 1700 XXXX 2000```
```------------2023-----------```
```28Aug     3M 1931 XXXX 1554```
_Source: DLD, Databot_
_BUA - built-up area, sq.ft._
_P/sf - price per sq.ft._
_B - bedrooms; O - office_
_M - million, K- thousand_
_S - studio, R - shop_
_*Max 30 latest transactions_
www.trydatabot.com</t>
  </si>
  <si>
    <t>1008493, *MARKET</t>
  </si>
  <si>
    <t>*MARKET*
*SNAPSHOT*
*BLVD CRESCENT PODIUM*
_Area: Downtown_
_Type: 2 bedroom apartment_
*Price dynamics, Dirham/sq.ft.*
_(M - median value)_
```2000|                     *```
```    |                      ```
```    |                      ```
```    |                      ```
```    |                      ```
```1777|---------------------M```
```    |                      ```
```    |                      ```
```    |                      ```
```    |                      ```
```1554|                    * ```
```____|______________________```
```    |Aug2023        Feb2025```
_Source: see table below_
*Latest sales transactions*
```Date   Price  BUA Type P/sf```
```------------2025-----------```
```18Feb   3.4M 1700 XXXX 2000```
```------------2023-----------```
```28Aug     3M 1931 XXXX 1554```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</si>
  <si>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1008495, *RESELL</t>
  </si>
  <si>
    <t>*RESELL*
*VS PRIMARY*
*BLVD CRESCENT PODIUM*
_Area: Downtown_
_Type: 2 bedroom apartment_
*Price dynamics, Dirham/sq.ft.*
_(x - primary; * - resell)_
```2024|       x              ```
```    |                     *```
```    |                      ```
```    |     xx xx            ```
```1836|                      ```
```    |                      ```
```    |          x           ```
```    |                      ```
```    |                      ```
```1554|                    * ```
```____|______________________```
```    |Dec1899        Jun2025```
_Source: see a table below_
*Latest resell transactions*
```Date   Price  BUA Type P/sf```
```------------2025-----------```
```18Feb   3.4M 1700 XXXX 2000```
```------------2023-----------```
```28Aug     3M 1931 XXXX 1554```
*Latest primary transactions*
```------------2025-----------```
```25Jun 4.041M 2292 XXXX 1763```
```------------2023-----------```
```17Oct 4.523M 2419 XXXX 1870```
```05Jul 3.377M 1797 XXXX 1879```
```------------2020-----------```
```09Apr 4.582M 2264 PXXX 2024```
```------------2019-----------```
```25Dec 3.642M 1931 PXXX 1886```
```29May 3.896M 2076 PXXX 1877```
_Source: DLD, Databot_
_BUA - built-up area, sq.ft._
_P/sf - price per sq.ft._
_B - bedrooms; O - office_
_M - million, K- thousand_
_S - studio, R - shop_
www.trydatabot.com</t>
  </si>
  <si>
    <t>1008533, *SALES*</t>
  </si>
  <si>
    <t>*SALES*
*TRANSACTIONS (RESALE)**
*BLVD CRESCENT PODIUM*
_Area: Downtown_
_All types/bedrooms_
```Date    Price   BUA  Type B```
```------------2025-----------```
```20May   2.33M  1023  XXXX 1```
```18Feb    3.4M  1700  XXXX 2```
```06Feb    2.2M  1023  XXXX 1```
```------------2024-----------```
```10Jul    1.8M   926  XXXX 1```
```04Jun  2.438M   988  XXXX 1```
```01Feb    2.1M  1015  XXXX 1```
```------------2023-----------```
```02Nov      2M   968  XXXX 1```
```28Sep  1.725M  1015  XXXX 1```
```28Aug      3M  1931  XXXX 2```
```12Apr  1.799M   969  XXXX 1```
_Source: DLD, Databot_
_BUA - built-up area, sq.ft._
_P/sf - price per sq.ft._
_B - bedrooms; O - office_
_M - million, K- thousand_
_S - studio, R - shop_
_*Max 30 latest transactions_
www.trydatabot.com</t>
  </si>
  <si>
    <t>1008534, by code - other areas, *BUILDI</t>
  </si>
  <si>
    <t xml:space="preserve">*BUILDING*
*PROFILE*
*BLVD CRESCENT PODIUM*
_Area: Downtown_
_Tap&amp;hold to copy a reply_
```-------------------------```
```Report              Reply```
```-------------------------```
*1 B/R*
```Resell, ROI       1008488```
```Primary sales     1008536```
```Price chart       1008489```
```Rentals               n/a```
```Appreciation      1008491```
*2 B/R*
```Resell, ROI       1008492```
```Primary sales     1008537```
```Price chart       1008493```
```Rentals               n/a```
```Appreciation      1008495```
*3 B/R*
```Primary sales     1008538```
*All types/bedrooms*
```Resell, ROI       1008533```
```Primary sales     1008547```
```Rentals               n/a```
</t>
  </si>
  <si>
    <t>1008536, *SALES*</t>
  </si>
  <si>
    <t>*SALES*
*TRANSACTIONS (PRIMARY)**
*BLVD CRESCENT PODIUM*
_Area: Downtown_
_Type: 1 bedroom apartment_
```Date   Price  BUA Type P/sf```
```------------2024-----------```
```05Dec 2.543M 1057 XXXX 2406```
```------------2019-----------```
```07Oct 1.971M  977 PXXX 2017```
```16Jun 2.041M 1023 PXXX 1995```
```23May 1.986M  969 PXXX 2049```
```23May 1.746M  795 PXXX 2196```
```------------2018-----------```
```11Nov 1.878M  936 PXXX 2006```
_Source: DLD, Databot_
_BUA - built-up area, sq.ft._
_P/sf - price per sq.ft._
_B - bedrooms; O - office_
_M - million, K- thousand_
_S - studio, R - shop_
_*Max 20 latest transactions_
www.trydatabot.com</t>
  </si>
  <si>
    <t>1008537, *SALES*</t>
  </si>
  <si>
    <t>*SALES*
*TRANSACTIONS (PRIMARY)**
*BLVD CRESCENT PODIUM*
_Area: Downtown_
_Type: 2 bedroom apartment_
```Date   Price  BUA Type P/sf```
```------------2025-----------```
```25Jun 4.041M 2292 XXXX 1763```
```------------2023-----------```
```17Oct 4.523M 2419 XXXX 1870```
```05Jul 3.377M 1797 XXXX 1879```
```------------2020-----------```
```09Apr 4.582M 2264 PXXX 2024```
```------------2019-----------```
```25Dec 3.642M 1931 PXXX 1886```
```29May 3.896M 2076 PXXX 1877```
_Source: DLD, Databot_
_BUA - built-up area, sq.ft._
_P/sf - price per sq.ft._
_B - bedrooms; O - office_
_M - million, K- thousand_
_S - studio, R - shop_
_*Max 20 latest transactions_
www.trydatabot.com</t>
  </si>
  <si>
    <t>1008538, *SALES*</t>
  </si>
  <si>
    <t>*SALES*
*TRANSACTIONS (PRIMARY)**
*BLVD CRESCENT PODIUM*
_Area: Downtown_
_Type: 3 bedroom apartment_
```Date   Price  BUA Type P/sf```
```------------2023-----------```
```16Feb  6.74M 3086 XXXX 2184```
_Source: DLD, Databot_
_BUA - built-up area, sq.ft._
_P/sf - price per sq.ft._
_B - bedrooms; O - office_
_M - million, K- thousand_
_S - studio, R - shop_
_*Max 20 latest transactions_
www.trydatabot.com</t>
  </si>
  <si>
    <t>1008547, *SALES*</t>
  </si>
  <si>
    <t>*SALES*
*TRANSACTIONS (PRIMARY)**
*BLVD CRESCENT PODIUM*
_Area: Downtown_
_All types/bedrooms_
```Date    Price   BUA  Type B```
```------------2025-----------```
```25Jun  4.041M  2292  XXXX 2```
```------------2024-----------```
```05Dec  2.543M  1057  XXXX 1```
```------------2023-----------```
```17Oct  4.523M  2419  XXXX 2```
```05Jul  3.377M  1797  XXXX 2```
```16Feb   6.74M  3086  XXXX 3```
```------------2020-----------```
```09Apr  4.582M  2264  PXXX 2```
```------------2019-----------```
```25Dec  3.642M  1931  PXXX 2```
```07Oct  1.971M   977  PXXX 1```
```16Jun  2.041M  1023  PXXX 1```
```29May  3.896M  2076  PXXX 2```
```23May  1.986M   969  PXXX 1```
```23May  1.746M   795  PXXX 1```
```------------2018-----------```
```11Nov  1.878M   936  PXXX 1```
_Source: DLD, Databot_
_BUA - built-up area, sq.ft._
_P/sf - price per sq.ft._
_B - bedrooms; O - office_
_M - million, K- thousand_
_S - studio, R - shop_
_*Max 20 latest transactions_
www.trydatabot.com</t>
  </si>
  <si>
    <t>1008552, *SALES*</t>
  </si>
  <si>
    <t>*SALES*
*TRANSACTIONS (RESALE)**
*BLVD CRESCENT T1+T2+P*
_Area: Downtown_
_Type: 1 bedroom apartment_
```Date   Price  BUA Type P/sf```
```------------2025-----------```
```19Dec   2.9M 1159 XXXX 2502```
```06Nov  2.35M  908 XXXX 2588```
```09Jul 1.748M  908 XXXX 1925```
```20May  2.33M 1023 XXXX 2278```
```18Mar   2.3M  959 XX04 2398```
```17Mar   2.1M 1009 XX05 2081```
```03Mar  2.35M 1008 XX05 2331```
```26Feb   2.1M  959 XX04 2190```
```06Feb   2.2M 1023 XXXX 2151```
```------------2024-----------```
```20Dec   2.8M 1159 XXXX 2416```
```29Nov  2.19M 1009 XX05 2170```
```01Nov 2.655M 1159 XXXX 2291```
```15Oct  2.55M 1266 XX04 2014```
```23Sep  2.65M 1159 XXXX 2286```
```11Sep 2.425M 1159 XXXX 2092```
```28Aug   2.1M 1009 XX05 2081```
```16Aug   2.1M  909 XX05 2310```
```08Aug   2.1M  908 XXXX 2313```
```10Jul   1.8M  926 XXXX 1944```
```04Jul   2.7M 1159 XXXX 2330```
```25Jun  2.12M  908 XXXX 2335```
```04Jun 2.438M  988 XXXX 2467```
```31May   1.8M  908 XXXX 1982```
```12Mar   2.1M  959 XX04 2190```
```05Mar 2.675M 1159 XXXX 2308```
```01Feb   2.1M 1015 XXXX 2069```
```23Jan  2.55M 1159 XXXX 2200```
```------------2023-----------```
```20Dec   1.7M 1009 XX05 1685```
```14Nov  2.51M 1159 XXXX 2166```
```02Nov     2M  968 XXXX 2066```
_Source: DLD, Databot_
_BUA - built-up area, sq.ft._
_P/sf - price per sq.ft._
_B - bedrooms; O - office_
_M - million, K- thousand_
_S - studio, R - shop_
_*Max 30 latest transactions_
www.trydatabot.com</t>
  </si>
  <si>
    <t>Blvd Crescent T1+T2+P</t>
  </si>
  <si>
    <t>1008553, *MARKET</t>
  </si>
  <si>
    <t>*MARKET*
*SNAPSHOT*
*BLVD CRESCENT T1+T2+P*
_Area: Downtown_
_Type: 1 bedroom apartment_
*Price dynamics, Dirham/sq.ft.*
_(M - median value)_
```2588|                    * ```
```    |                     *```
```    |*                     ```
```    |            *    *    ```
```    | ** **         *      ```
```2289|---------------------M```
```    |        *         *   ```
```    |           *  *       ```
```    |             *        ```
```    |      ** *      *     ```
```1925|   *               *  ```
```____|______________________```
```    |Jun2024        Dec2025```
_Source: see table below_
*Latest sales transactions*
```Date   Price  BUA Type P/sf```
```------------2025-----------```
```19Dec   2.9M 1159 XXXX 2502```
```06Nov  2.35M  908 XXXX 2588```
```09Jul 1.748M  908 XXXX 1925```
```20May  2.33M 1023 XXXX 2278```
```18Mar   2.3M  959 XX04 2398```
```17Mar   2.1M 1009 XX05 2081```
```03Mar  2.35M 1008 XX05 2331```
```26Feb   2.1M  959 XX04 2190```
```06Feb   2.2M 1023 XXXX 2151```
```------------2024-----------```
```20Dec   2.8M 1159 XXXX 2416```
```29Nov  2.19M 1009 XX05 2170```
```01Nov 2.655M 1159 XXXX 2291```
```15Oct  2.55M 1266 XX04 2014```
```23Sep  2.65M 1159 XXXX 2286```
```11Sep 2.425M 1159 XXXX 2092```
```28Aug   2.1M 1009 XX05 2081```
```16Aug   2.1M  909 XX05 2310```
```08Aug   2.1M  908 XXXX 2313```
```10Jul   1.8M  926 XXXX 1944```
```04Jul   2.7M 1159 XXXX 2330```
```25Jun  2.12M  908 XXXX 2335```
```04Jun 2.438M  988 XXXX 2467```
```31May   1.8M  908 XXXX 1982```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</si>
  <si>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1008555, *RESELL</t>
  </si>
  <si>
    <t>*RESELL*
*VS PRIMARY*
*BLVD CRESCENT T1+T2+P*
_Area: Downtown_
_Type: 1 bedroom apartment_
*Price dynamics, Dirham/sq.ft.*
_(x - primary; * - resell)_
```2588|                    * ```
```    |            *        *```
```    |         x     * *    ```
```    |           *  *   *   ```
```2104|  x x        *  *     ```
```    | x x x  x          *  ```
```    |       x              ```
```    |x                     ```
```    |          x           ```
```1383|      x               ```
```____|______________________```
```    |Jul2019        Dec2025```
_Source: see a table below_
*Latest resell transactions*
```Date   Price  BUA Type P/sf```
```------------2025-----------```
```19Dec   2.9M 1159 XXXX 2502```
```06Nov  2.35M  908 XXXX 2588```
```09Jul 1.748M  908 XXXX 1925```
```20May  2.33M 1023 XXXX 2278```
```18Mar   2.3M  959 XX04 2398```
```17Mar   2.1M 1009 XX05 2081```
```03Mar  2.35M 1008 XX05 2331```
```26Feb   2.1M  959 XX04 2190```
```06Feb   2.2M 1023 XXXX 2151```
```------------2024-----------```
```20Dec   2.8M 1159 XXXX 2416```
```29Nov  2.19M 1009 XX05 2170```
```01Nov 2.655M 1159 XXXX 2291```
```15Oct  2.55M 1266 XX04 2014```
```23Sep  2.65M 1159 XXXX 2286```
```11Sep 2.425M 1159 XXXX 2092```
```28Aug   2.1M 1009 XX05 2081```
```16Aug   2.1M  909 XX05 2310```
*Latest primary transactions*
```------------2025-----------```
```16Sep 1.486M  959 XXXX 1550```
```------------2024-----------```
```05Dec 2.543M 1057 XXXX 2406```
```------------2021-----------```
```17May 2.336M 1159 XX04 2015```
```------------2020-----------```
```12Nov 1.643M  909 XX05 1807```
```27Sep 2.604M 1883 XX01 1383```
```21Jun 1.748M  908 XX05 1925```
```14Jun 2.382M 1159 XX04 2055```
```18May 2.255M 1159 XX04 1946```
```17Mar 2.417M 1159 XX01 2085```
```------------2019-----------```
```07Oct 1.971M  977 PXXX 2017```
```22Jul 1.742M 1008 XX05 1728```
_Source: DLD, Databot_
_BUA - built-up area, sq.ft._
_P/sf - price per sq.ft._
_B - bedrooms; O - office_
_M - million, K- thousand_
_S - studio, R - shop_
www.trydatabot.com</t>
  </si>
  <si>
    <t>1008556, *SALES*</t>
  </si>
  <si>
    <t>*SALES*
*TRANSACTIONS (RESALE)**
*BLVD CRESCENT T1+T2+P*
_Area: Downtown_
_Type: 2 bedroom apartment_
```Date   Price  BUA Type P/sf```
```------------2025-----------```
```15Jul 3.875M 1671 XX03 2319```
```26Jun   3.2M 1412 XX04 2266```
```26May  3.25M 1413 XX04 2300```
```25Mar   3.3M 1437 XX03 2296```
```24Mar   4.2M 1671 XX02 2513```
```18Feb   3.4M 1700 XXXX 2000```
```17Feb  3.95M 1543 XX06 2560```
```10Jan  3.41M 1543 XX07 2210```
```08Jan   3.6M 1542 XX06 2335```
```------------2024-----------```
```12Dec  3.75M 1633 XX03 2296```
```06Dec   3.1M 1412 XX04 2195```
```26Nov  3.35M 1542 XX07 2173```
```19Nov  3.39M 1542 XX07 2198```
```18Nov  3.45M 1542 XX06 2237```
```06Nov  3.15M 1413 XX04 2229```
```16Oct  3.95M 1671 XX02 2364```
```26Sep  3.45M 1671 XX03 2065```
```28Jun  3.35M 1542 XX06 2173```
```21May  3.85M 1671 XXXX 2304```
```08May   2.6M 1413 XXXX 1840```
```02May   3.4M 1671 XXXX 2035```
```18Mar   3.4M 1543 XX06 2203```
```19Feb 3.485M 1671 XX03 2086```
```07Feb   2.7M 1413 XX04 1911```
```25Jan   3.1M 1543 XX07 2009```
```------------2023-----------```
```13Dec  3.25M 1671 XX02 1945```
```01Dec     3M 1413 XX04 2123```
```30Nov  3.45M 1632 XX03 2114```
```27Nov  3.35M 1671 XX03 2005```
```26Oct 3.375M 1543 XXXX 2187```
_Source: DLD, Databot_
_BUA - built-up area, sq.ft._
_P/sf - price per sq.ft._
_B - bedrooms; O - office_
_M - million, K- thousand_
_S - studio, R - shop_
_*Max 30 latest transactions_
www.trydatabot.com</t>
  </si>
  <si>
    <t>1008557, *MARKET</t>
  </si>
  <si>
    <t>*MARKET*
*SNAPSHOT*
*BLVD CRESCENT T1+T2+P*
_Area: Downtown_
_Type: 2 bedroom apartment_
*Price dynamics, Dirham/sq.ft.*
_(M - median value)_
```2560|               *      ```
```    |                 *    ```
```    |                      ```
```    |      *      *       *```
```    |   *    *   *     *** ```
```2233|---------------------M```
```    |*   *  * ***  *       ```
```    |                      ```
```    | *   *                ```
```    |                *     ```
```1840|  *                   ```
```____|______________________```
```    |Mar2024        Jul2025```
_Source: see table below_
*Latest sales transactions*
```Date   Price  BUA Type P/sf```
```------------2025-----------```
```15Jul 3.875M 1671 XX03 2319```
```26Jun   3.2M 1412 XX04 2266```
```26May  3.25M 1413 XX04 2300```
```25Mar   3.3M 1437 XX03 2296```
```24Mar   4.2M 1671 XX02 2513```
```18Feb   3.4M 1700 XXXX 2000```
```17Feb  3.95M 1543 XX06 2560```
```10Jan  3.41M 1543 XX07 2210```
```08Jan   3.6M 1542 XX06 2335```
```------------2024-----------```
```12Dec  3.75M 1633 XX03 2296```
```06Dec   3.1M 1412 XX04 2195```
```26Nov  3.35M 1542 XX07 2173```
```19Nov  3.39M 1542 XX07 2198```
```18Nov  3.45M 1542 XX06 2237```
```06Nov  3.15M 1413 XX04 2229```
```16Oct  3.95M 1671 XX02 2364```
```26Sep  3.45M 1671 XX03 2065```
```28Jun  3.35M 1542 XX06 2173```
```21May  3.85M 1671 XXXX 2304```
```08May   2.6M 1413 XXXX 1840```
```02May   3.4M 1671 XXXX 2035```
```18Mar   3.4M 1543 XX06 2203```
```19Feb 3.485M 1671 XX03 2086```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</si>
  <si>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1008559, *RESELL</t>
  </si>
  <si>
    <t>*RESELL*
*VS PRIMARY*
*BLVD CRESCENT T1+T2+P*
_Area: Downtown_
_Type: 2 bedroom apartment_
*Price dynamics, Dirham/sq.ft.*
_(x - primary; * - resell)_
```2560|               * *    ```
```    |                      ```
```    |         x  **    ** *```
```    |    x      *  *     * ```
```2132|   x xx               ```
```    |  x             *     ```
```    |x      xx             ```
```    |          x           ```
```    |                      ```
```1494| x                    ```
```____|______________________```
```    |Dec2019        Jul2025```
_Source: see a table below_
*Latest resell transactions*
```Date   Price  BUA Type P/sf```
```------------2025-----------```
```15Jul 3.875M 1671 XX03 2319```
```26Jun   3.2M 1412 XX04 2266```
```26May  3.25M 1413 XX04 2300```
```25Mar   3.3M 1437 XX03 2296```
```24Mar   4.2M 1671 XX02 2513```
```18Feb   3.4M 1700 XXXX 2000```
```17Feb  3.95M 1543 XX06 2560```
```10Jan  3.41M 1543 XX07 2210```
```08Jan   3.6M 1542 XX06 2335```
```------------2024-----------```
```12Dec  3.75M 1633 XX03 2296```
```06Dec   3.1M 1412 XX04 2195```
```26Nov  3.35M 1542 XX07 2173```
```19Nov  3.39M 1542 XX07 2198```
```18Nov  3.45M 1542 XX06 2237```
```06Nov  3.15M 1413 XX04 2229```
```16Oct  3.95M 1671 XX02 2364```
```26Sep  3.45M 1671 XX03 2065```
*Latest primary transactions*
```------------2025-----------```
```25Jun 4.041M 2292 XXXX 1763```
```------------2024-----------```
```20Jun 3.876M 1632 XX03 2375```
```------------2023-----------```
```17Oct 4.523M 2419 XXXX 1870```
```05Jul 3.377M 1797 XXXX 1879```
```------------2021-----------```
```09Aug 3.477M 1671 XX02 2081```
```19Apr 3.561M 1632 XX03 2182```
```18Apr 3.524M 1542 XX06 2285```
```------------2020-----------```
```06Oct 3.304M 1543 XX07 2141```
```09Apr 4.582M 2264 PXXX 2024```
```22Jan 3.343M 2238 XX03 1494```
```------------2019-----------```
_Source: DLD, Databot_
_BUA - built-up area, sq.ft._
_P/sf - price per sq.ft._
_B - bedrooms; O - office_
_M - million, K- thousand_
_S - studio, R - shop_
www.trydatabot.com</t>
  </si>
  <si>
    <t>1008560, *SALES*</t>
  </si>
  <si>
    <t>*SALES*
*TRANSACTIONS (RESALE)**
*BLVD CRESCENT T1+T2+P*
_Area: Downtown_
_Type: 3 bedroom apartment_
```Date   Price  BUA Type P/sf```
```------------2025-----------```
```29Dec  4.65M 1979 XX02 2350```
```16Dec 4.975M 1982 XX02 2510```
```26Jun   6.1M 2232 XX01 2733```
```12Jun  4.51M 1979 XX02 2279```
```27May  4.95M 1976 XX02 2505```
```01May   5.4M 2251 XX01 2399```
```20Jan  4.85M 1982 XX02 2447```
```------------2024-----------```
```06Dec 4.654M 2227 XX03 2090```
```28Nov   4.7M 1976 XX02 2379```
```28Nov  5.85M 2251 XX01 2599```
```23Sep 4.995M 2251 XX01 2219```
```23Aug   4.7M 1982 XX02 2371```
```18Jul   5.6M 2226 XX03 2516```
```12Jul   4.7M 1979 XX02 2375```
```04Jul 4.925M 2183 XX01 2256```
```12Jun  5.25M 2232 XXXX 2352```
```07Jun   4.9M 2251 XXXX 2177```
```05Jun   5.3M 2228 XXXX 2379```
```13May   4.5M 1979 XXXX 2274```
```09May  4.99M 2250 XXXX 2218```
```24Jan   4.9M 2226 XX03 2201```
```------------2023-----------```
```11Dec   5.1M 1978 XX02 2578```
```17Oct   4.9M 2226 XX03 2201```
```09Oct  4.75M 2250 XX01 2111```
```21Aug   4.6M 2251 XX01 2044```
```17Aug     5M 2251 XX01 2221```
```31Jul  4.45M 2251 XX01 1977```
```17Jul   4.8M 2228 XX03 2154```
```10Jul   4.4M 2226 XX03 1977```
```26Jun   4.2M 1978 XX02 2123```
_Source: DLD, Databot_
_BUA - built-up area, sq.ft._
_P/sf - price per sq.ft._
_B - bedrooms; O - office_
_M - million, K- thousand_
_S - studio, R - shop_
_*Max 30 latest transactions_
www.trydatabot.com</t>
  </si>
  <si>
    <t>1008561, *MARKET</t>
  </si>
  <si>
    <t>*MARKET*
*SNAPSHOT*
*BLVD CRESCENT T1+T2+P*
_Area: Downtown_
_Type: 3 bedroom apartment_
*Price dynamics, Dirham/sq.ft.*
_(M - median value)_
```2733|                   *  ```
```    |                      ```
```    |*           *         ```
```    |         *          * ```
```    |               * *    ```
```    |                *     ```
```2373|---------------------M```
```    |    * * * *  *       *```
```    |   *   *          *   ```
```    | **  *     *          ```
```2090|              *       ```
```____|______________________```
```    |Dec2023        Dec2025```
_Source: see table below_
*Latest sales transactions*
```Date   Price  BUA Type P/sf```
```------------2025-----------```
```29Dec  4.65M 1979 XX02 2350```
```16Dec 4.975M 1982 XX02 2510```
```26Jun   6.1M 2232 XX01 2733```
```12Jun  4.51M 1979 XX02 2279```
```27May  4.95M 1976 XX02 2505```
```01May   5.4M 2251 XX01 2399```
```20Jan  4.85M 1982 XX02 2447```
```------------2024-----------```
```06Dec 4.654M 2227 XX03 2090```
```28Nov   4.7M 1976 XX02 2379```
```28Nov  5.85M 2251 XX01 2599```
```23Sep 4.995M 2251 XX01 2219```
```23Aug   4.7M 1982 XX02 2371```
```18Jul   5.6M 2226 XX03 2516```
```12Jul   4.7M 1979 XX02 2375```
```04Jul 4.925M 2183 XX01 2256```
```12Jun  5.25M 2232 XXXX 2352```
```07Jun   4.9M 2251 XXXX 2177```
```05Jun   5.3M 2228 XXXX 2379```
```13May   4.5M 1979 XXXX 2274```
```09May  4.99M 2250 XXXX 2218```
```24Jan   4.9M 2226 XX03 2201```
```------------2023-----------```
```11Dec   5.1M 1978 XX02 2578```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</si>
  <si>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1008563, *RESELL</t>
  </si>
  <si>
    <t>*RESELL*
*VS PRIMARY*
*BLVD CRESCENT T1+T2+P*
_Area: Downtown_
_Type: 3 bedroom apartment_
*Price dynamics, Dirham/sq.ft.*
_(x - primary; * - resell)_
```2733|                   *  ```
```    |            *         ```
```    |                 *  * ```
```    |             * **    *```
```2281|       xx         *   ```
```    |x   xx   xx*          ```
```    | xx           *       ```
```    |                      ```
```    |   x                  ```
```1602|      x               ```
```____|______________________```
```    |Apr2020        Dec2025```
_Source: see a table below_
*Latest resell transactions*
```Date   Price  BUA Type P/sf```
```------------2025-----------```
```29Dec  4.65M 1979 XX02 2350```
```16Dec 4.975M 1982 XX02 2510```
```26Jun   6.1M 2232 XX01 2733```
```12Jun  4.51M 1979 XX02 2279```
```27May  4.95M 1976 XX02 2505```
```01May   5.4M 2251 XX01 2399```
```20Jan  4.85M 1982 XX02 2447```
```------------2024-----------```
```06Dec 4.654M 2227 XX03 2090```
```28Nov   4.7M 1976 XX02 2379```
```28Nov  5.85M 2251 XX01 2599```
```23Sep 4.995M 2251 XX01 2219```
```23Aug   4.7M 1982 XX02 2371```
```18Jul   5.6M 2226 XX03 2516```
```12Jul   4.7M 1979 XX02 2375```
```04Jul 4.925M 2183 XX01 2256```
```12Jun  5.25M 2232 XXXX 2352```
```07Jun   4.9M 2251 XXXX 2177```
*Latest primary transactions*
```------------2024-----------```
```17Jul     5M 2251 XX01 2221```
```------------2023-----------```
```16Feb  6.74M 3086 XXXX 2184```
```------------2022-----------```
```01Mar 5.184M 2251 XX01 2303```
```26Jan 5.016M 2250 XX01 2229```
```------------2021-----------```
```08Dec 7.527M 4698 XX08 1602```
```05Oct 4.928M 2250 XX01 2190```
```14Jun 4.705M 2226 XX03 2114```
```------------2020-----------```
```30Nov 3.969M 2227 XX03 1782```
```04Oct 4.094M 1978 XX02 2070```
```14Jun 4.098M 1976 XX02 2074```
```09Apr 4.245M 1982 XX02 2142```
_Source: DLD, Databot_
_BUA - built-up area, sq.ft._
_P/sf - price per sq.ft._
_B - bedrooms; O - office_
_M - million, K- thousand_
_S - studio, R - shop_
www.trydatabot.com</t>
  </si>
  <si>
    <t>1008564, *SALES*</t>
  </si>
  <si>
    <t>*SALES*
*TRANSACTIONS (RESALE)**
*BLVD CRESCENT T1+T2+P*
_Area: Downtown_
_Type: 4 bedroom apartment_
```Date   Price  BUA Type P/sf```
```------------2023-----------```
```17Jul  23.3M 9810 XX01 2375```
```29Mar    20M 6975 XX01 2867```
_Source: DLD, Databot_
_BUA - built-up area, sq.ft._
_P/sf - price per sq.ft._
_B - bedrooms; O - office_
_M - million, K- thousand_
_S - studio, R - shop_
_*Max 30 latest transactions_
www.trydatabot.com</t>
  </si>
  <si>
    <t>1008565, *MARKET</t>
  </si>
  <si>
    <t>*MARKET*
*SNAPSHOT*
*BLVD CRESCENT T1+T2+P*
_Area: Downtown_
_Type: 4 bedroom apartment_
*Price dynamics, Dirham/sq.ft.*
_(M - median value)_
```2867|                    * ```
```    |                      ```
```    |                      ```
```    |                      ```
```    |                      ```
```2621|---------------------M```
```    |                      ```
```    |                      ```
```    |                      ```
```    |                      ```
```2375|                     *```
```____|______________________```
```    |Mar2023        Jul2023```
_Source: see table below_
*Latest sales transactions*
```Date   Price  BUA Type P/sf```
```------------2023-----------```
```17Jul  23.3M 9810 XX01 2375```
```29Mar    20M 6975 XX01 2867```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</si>
  <si>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1008567, *RESELL</t>
  </si>
  <si>
    <t>*RESELL*
*VS PRIMARY*
*BLVD CRESCENT T1+T2+P*
_Area: Downtown_
_Type: 4 bedroom apartment_
*Price dynamics, Dirham/sq.ft.*
_(x - primary; * - resell)_
```2867|                    * ```
```    |                      ```
```    |                      ```
```    |                     *```
```2087|                      ```
```    |          x           ```
```    |        x             ```
```    |                      ```
```    |                      ```
```917 |         x            ```
```____|______________________```
```    |Dec1899        Jul2023```
_Source: see a table below_
*Latest resell transactions*
```Date   Price  BUA Type P/sf```
```------------2023-----------```
```17Jul  23.3M 9810 XX01 2375```
```29Mar    20M 6975 XX01 2867```
*Latest primary transactions*
```------------2019-----------```
```14Feb     9M 4819 XX02 1868```
```14Feb     9M 9810 XX01  917```
```------------2018-----------```
```01May 11.93M 6975 XX01 1710```
_Source: DLD, Databot_
_BUA - built-up area, sq.ft._
_P/sf - price per sq.ft._
_B - bedrooms; O - office_
_M - million, K- thousand_
_S - studio, R - shop_
www.trydatabot.com</t>
  </si>
  <si>
    <t>1008597, *SALES*</t>
  </si>
  <si>
    <t>*SALES*
*TRANSACTIONS (RESALE)**
*BLVD CRESCENT T1+T2+P*
_Area: Downtown_
_All types/bedrooms_
```Date    Price   BUA  Type B```
```------------2025-----------```
```29Dec   4.65M  1979  XX02 3```
```19Dec    2.9M  1159  XXXX 1```
```16Dec  4.975M  1982  XX02 3```
```06Nov   2.35M   908  XXXX 1```
```15Jul  3.875M  1671  XX03 2```
```09Jul  1.748M   908  XXXX 1```
```26Jun    3.2M  1412  XX04 2```
```26Jun    6.1M  2232  XX01 3```
```12Jun   4.51M  1979  XX02 3```
```27May   4.95M  1976  XX02 3```
```26May   3.25M  1413  XX04 2```
```20May   2.33M  1023  XXXX 1```
```01May    5.4M  2251  XX01 3```
```25Mar    3.3M  1437  XX03 2```
```24Mar    4.2M  1671  XX02 2```
```18Mar    2.3M   959  XX04 1```
```17Mar    2.1M  1009  XX05 1```
```03Mar   2.35M  1008  XX05 1```
```26Feb    2.1M   959  XX04 1```
```18Feb    3.4M  1700  XXXX 2```
```17Feb   3.95M  1543  XX06 2```
```06Feb    2.2M  1023  XXXX 1```
```20Jan   4.85M  1982  XX02 3```
```10Jan   3.41M  1543  XX07 2```
```08Jan    3.6M  1542  XX06 2```
```------------2024-----------```
```20Dec    2.8M  1159  XXXX 1```
```12Dec   3.75M  1633  XX03 2```
```06Dec    3.1M  1412  XX04 2```
```06Dec  4.654M  2227  XX03 3```
```29Nov   2.19M  1009  XX05 1```
_Source: DLD, Databot_
_BUA - built-up area, sq.ft._
_P/sf - price per sq.ft._
_B - bedrooms; O - office_
_M - million, K- thousand_
_S - studio, R - shop_
_*Max 30 latest transactions_
www.trydatabot.com</t>
  </si>
  <si>
    <t>1008598, by code - other areas, *BUILDI</t>
  </si>
  <si>
    <t xml:space="preserve">*BUILDING*
*PROFILE*
*BLVD CRESCENT T1+T2+P*
_Area: Downtown_
_Tap&amp;hold to copy a reply_
```-------------------------```
```Report              Reply```
```-------------------------```
*1 B/R*
```Resell, ROI       1008552```
```Primary sales     1008600```
```Price chart       1008553```
```Rentals               n/a```
```Appreciation      1008555```
*2 B/R*
```Resell, ROI       1008556```
```Primary sales     1008601```
```Price chart       1008557```
```Rentals               n/a```
```Appreciation      1008559```
*3 B/R*
```Resell, ROI       1008560```
```Primary sales     1008602```
```Price chart       1008561```
```Rentals               n/a```
```Appreciation      1008563```
*4 B/R*
```Resell, ROI       1008564```
```Primary sales     1008603```
```Price chart       1008565```
```Rentals               n/a```
```Appreciation      1008567```
*All types/bedrooms*
```Resell, ROI       1008597```
```Primary sales     1008611```
```Rentals               n/a```
</t>
  </si>
  <si>
    <t>1008600, *SALES*</t>
  </si>
  <si>
    <t>*SALES*
*TRANSACTIONS (PRIMARY)**
*BLVD CRESCENT T1+T2+P*
_Area: Downtown_
_Type: 1 bedroom apartment_
```Date   Price  BUA Type P/sf```
```------------2025-----------```
```16Sep 1.486M  959 XXXX 1550```
```------------2024-----------```
```05Dec 2.543M 1057 XXXX 2406```
```------------2021-----------```
```17May 2.336M 1159 XX04 2015```
```------------2020-----------```
```12Nov 1.643M  909 XX05 1807```
```27Sep 2.604M 1883 XX01 1383```
```21Jun 1.748M  908 XX05 1925```
```14Jun 2.382M 1159 XX04 2055```
```18May 2.255M 1159 XX04 1946```
```17Mar 2.417M 1159 XX01 2085```
```------------2019-----------```
```07Oct 1.971M  977 PXXX 2017```
```22Jul 1.742M 1008 XX05 1728```
```16Jun 2.041M 1023 PXXX 1995```
```23May 1.986M  969 PXXX 2049```
```23May 1.746M  795 PXXX 2196```
```03Apr 1.706M  909 XX05 1877```
```02Apr 2.282M 1159 XX04 1969```
```19Mar 2.017M  928 XX02 2173```
```14Mar 1.676M  908 XX05 1846```
```12Mar 1.771M 1009 XX05 1755```
```------------2018-----------```
```19Dec 1.894M 1010 XX04 1875```
_Source: DLD, Databot_
_BUA - built-up area, sq.ft._
_P/sf - price per sq.ft._
_B - bedrooms; O - office_
_M - million, K- thousand_
_S - studio, R - shop_
_*Max 20 latest transactions_
www.trydatabot.com</t>
  </si>
  <si>
    <t>1008601, *SALES*</t>
  </si>
  <si>
    <t>*SALES*
*TRANSACTIONS (PRIMARY)**
*BLVD CRESCENT T1+T2+P*
_Area: Downtown_
_Type: 2 bedroom apartment_
```Date   Price  BUA Type P/sf```
```------------2025-----------```
```25Jun 4.041M 2292 XXXX 1763```
```------------2024-----------```
```20Jun 3.876M 1632 XX03 2375```
```------------2023-----------```
```17Oct 4.523M 2419 XXXX 1870```
```05Jul 3.377M 1797 XXXX 1879```
```------------2021-----------```
```09Aug 3.477M 1671 XX02 2081```
```19Apr 3.561M 1632 XX03 2182```
```18Apr 3.524M 1542 XX06 2285```
```------------2020-----------```
```06Oct 3.304M 1543 XX07 2141```
```09Apr 4.582M 2264 PXXX 2024```
```22Jan 3.343M 2238 XX03 1494```
```------------2019-----------```
```25Dec 3.642M 1931 PXXX 1886```
```10Dec 3.265M 1632 XX03 2001```
```18Nov 3.321M 1543 XX06 2152```
```13Nov 3.269M 1542 XX06 2120```
```14Oct 3.447M 1671 XX02 2063```
```27Aug 3.331M 1543 XX06 2159```
```21Jul 3.355M 1543 XX06 2174```
```19Jun 3.367M 1437 XX03 2343```
```19Jun 2.568M 1413 XX04 1817```
```16Jun 3.357M 1436 XX06 2338```
_Source: DLD, Databot_
_BUA - built-up area, sq.ft._
_P/sf - price per sq.ft._
_B - bedrooms; O - office_
_M - million, K- thousand_
_S - studio, R - shop_
_*Max 20 latest transactions_
www.trydatabot.com</t>
  </si>
  <si>
    <t>1008602, *SALES*</t>
  </si>
  <si>
    <t>*SALES*
*TRANSACTIONS (PRIMARY)**
*BLVD CRESCENT T1+T2+P*
_Area: Downtown_
_Type: 3 bedroom apartment_
```Date   Price  BUA Type P/sf```
```------------2024-----------```
```17Jul     5M 2251 XX01 2221```
```------------2023-----------```
```16Feb  6.74M 3086 XXXX 2184```
```------------2022-----------```
```01Mar 5.184M 2251 XX01 2303```
```26Jan 5.016M 2250 XX01 2229```
```------------2021-----------```
```08Dec 7.527M 4698 XX08 1602```
```05Oct 4.928M 2250 XX01 2190```
```14Jun 4.705M 2226 XX03 2114```
```------------2020-----------```
```30Nov 3.969M 2227 XX03 1782```
```04Oct 4.094M 1978 XX02 2070```
```14Jun 4.098M 1976 XX02 2074```
```09Apr 4.245M 1982 XX02 2142```
```26Jan 4.586M 2183 XX01 2101```
```------------2019-----------```
```19Nov  5.34M 2771 XX02 1927```
```13Nov  4.37M 1982 XX02 2205```
```12Nov  4.65M 2251 XX01 2066```
```12Nov 4.439M 1979 XX02 2243```
```14Oct 4.364M 1978 XX02 2206```
```10Sep 4.549M 2327 XX01 1955```
```27Aug 5.477M 2773 XX01 1975```
```19Aug 4.315M 2507 XX02 1721```
_Source: DLD, Databot_
_BUA - built-up area, sq.ft._
_P/sf - price per sq.ft._
_B - bedrooms; O - office_
_M - million, K- thousand_
_S - studio, R - shop_
_*Max 20 latest transactions_
www.trydatabot.com</t>
  </si>
  <si>
    <t>1008603, *SALES*</t>
  </si>
  <si>
    <t>*SALES*
*TRANSACTIONS (PRIMARY)**
*BLVD CRESCENT T1+T2+P*
_Area: Downtown_
_Type: 4 bedroom apartment_
```Date   Price  BUA Type P/sf```
```------------2019-----------```
```14Feb     9M 4819 XX02 1868```
```14Feb     9M 9810 XX01  917```
```------------2018-----------```
```01May 11.93M 6975 XX01 1710```
_Source: DLD, Databot_
_BUA - built-up area, sq.ft._
_P/sf - price per sq.ft._
_B - bedrooms; O - office_
_M - million, K- thousand_
_S - studio, R - shop_
_*Max 20 latest transactions_
www.trydatabot.com</t>
  </si>
  <si>
    <t>1008611, *SALES*</t>
  </si>
  <si>
    <t>*SALES*
*TRANSACTIONS (PRIMARY)**
*BLVD CRESCENT T1+T2+P*
_Area: Downtown_
_All types/bedrooms_
```Date    Price   BUA  Type B```
```------------2025-----------```
```16Sep  1.486M   959  XXXX 1```
```25Jun  4.041M  2292  XXXX 2```
```------------2024-----------```
```05Dec  2.543M  1057  XXXX 1```
```17Jul      5M  2251  XX01 3```
```20Jun  3.876M  1632  XX03 2```
```------------2023-----------```
```17Oct  4.523M  2419  XXXX 2```
```05Jul  3.377M  1797  XXXX 2```
```16Feb   6.74M  3086  XXXX 3```
```------------2022-----------```
```01Mar  5.184M  2251  XX01 3```
```26Jan  5.016M  2250  XX01 3```
```------------2021-----------```
```08Dec  7.527M  4698  XX08 3```
```05Oct  4.928M  2250  XX01 3```
```09Aug  3.477M  1671  XX02 2```
```14Jun  4.705M  2226  XX03 3```
```17May  2.336M  1159  XX04 1```
```19Apr  3.561M  1632  XX03 2```
```18Apr  3.524M  1542  XX06 2```
```------------2020-----------```
```30Nov  3.969M  2227  XX03 3```
```12Nov  1.643M   909  XX05 1```
```06Oct  3.304M  1543  XX07 2```
_Source: DLD, Databot_
_BUA - built-up area, sq.ft._
_P/sf - price per sq.ft._
_B - bedrooms; O - office_
_M - million, K- thousand_
_S - studio, R - shop_
_*Max 20 latest transactions_
www.trydatabot.com</t>
  </si>
  <si>
    <t>1008618, *NEW RE</t>
  </si>
  <si>
    <t>*NEW RENT*
*CONTRACTS**
_(renewals are not included)_
*BLVD PLAZA T1+T2*
_Area: Downtown_
_Type: _
```Date  Price   BUA  Type D/s```
```------------2026-----------```
```15Jan  120K   872  XXXX 138```
```06Jan   80K   549  XXXX 146```
```------------2025-----------```
```24Dec  100K   549  XXXX 182```
```20Dec  110K   710  XXXX 155```
```01Dec  135K   872  XXXX 155```
```24Nov  130K   850  XXXX 153```
```17Nov  165K   872  XXXX 189```
```11Nov  127K   807  XXXX 157```
```04Nov  135K   872  XXXX 155```
```04Nov  135K   872  XXXX 155```
```18Oct  140K  1367  XXXX 102```
```16Oct  144K   850  XXXX 169```
```15Oct  100K   614  XXXX 163```
```14Oct   85K   614  XXXX 138```
```14Oct  100K   807  XXXX 124```
```11Oct  130K   872  XXXX 149```
```05Oct  105K   549  XXXX 191```
```05Oct  105K   549  XXXX 191```
```04Oct  110K   549  XXXX 200```
```20Sep  110K   710  XXXX 155```
_Source: DLD, Databot_
_BUA - built-up area, sq.ft._
_P/sf - price per sq.ft._
_B - bedrooms; O - office_
_M - million, K- thousand_
_S - studio, R - shop_
_*20 latest contracts_
www.trydatabot.com</t>
  </si>
  <si>
    <t>Blvd Plaza T2</t>
  </si>
  <si>
    <t>1008622, *NEW RE</t>
  </si>
  <si>
    <t>*NEW RENT*
*CONTRACTS**
_(renewals are not included)_
*BLVD PLAZA T1+T2*
_Area: Downtown_
_Type: _
```Date  Price   BUA  Type D/s```
```------------2025-----------```
```18Nov  185K  1292  XXXX 143```
```14Nov  160K  1023  XXXX 156```
```31Oct  180K  1023  XXXX 176```
```21Oct  200K  1023  XXXX 196```
```21Oct  200K  1023  XXXX 196```
```17Oct  185K  1292  XXXX 143```
```12Oct  200K  1281  XXXX 156```
```08Oct  160K  1023  XXXX 156```
```01Oct  150K  1292  XXXX 116```
```01Oct  200K  1292  XXXX 155```
```15Sep  210K  1281  XXXX 164```
```01Sep  175K  1292  XXXX 135```
```19Aug  217K  1292  XXXX 168```
```13Aug  175K  1292  XXXX 135```
```21Jul  195K  1292  XXXX 151```
```05Jul  185K  1292  XXXX 143```
```16Jun  165K  1023  XXXX 161```
```10Jun  170K  1292  XXXX 132```
```07Jun  185K  1292  XXXX 143```
```20May  185K  1281  XXXX 144```
_Source: DLD, Databot_
_BUA - built-up area, sq.ft._
_P/sf - price per sq.ft._
_B - bedrooms; O - office_
_M - million, K- thousand_
_S - studio, R - shop_
_*20 latest contracts_
www.trydatabot.com</t>
  </si>
  <si>
    <t>1008626, *NEW RE</t>
  </si>
  <si>
    <t>*NEW RENT*
*CONTRACTS**
_(renewals are not included)_
*BLVD PLAZA T1+T2*
_Area: Downtown_
_Type: _
```Date  Price   BUA  Type D/s```
```------------2025-----------```
```16Oct  280K  1711  XXXX 164```
```01Aug  280K  1711  XXXX 164```
```01Jun  200K  1711  XXXX 117```
```------------2024-----------```
```20Sep  230K  1711  XXXX 134```
```05May   20K  1711  XXXX  12```
```------------2023-----------```
```20Sep  230K  1711  XXXX 134```
```19May  290K  1711  XXXX 169```
```19May  290K  1711  XXXX 169```
```16Jan  300K  1711  XXXX 175```
```------------2022-----------```
```01Jul  200K  1711  XXXX 117```
```12May  500K  3014  XXXX 166```
```16Feb  300K  2368  XXXX 127```
```14Feb  180K  1711  XXXX 105```
_Source: DLD, Databot_
_BUA - built-up area, sq.ft._
_P/sf - price per sq.ft._
_B - bedrooms; O - office_
_M - million, K- thousand_
_S - studio, R - shop_
_*20 latest contracts_
www.trydatabot.com</t>
  </si>
  <si>
    <t>1008640, *SALES*</t>
  </si>
  <si>
    <t>*SALES*
*TRANSACTIONS (RESALE)**
*BLVD PLAZA T2*
_Area: Downtown_
_Type: office_
```Date   Price  BUA Type P/sf```
```------------2025-----------```
```03Oct    21M 3354 XX03 6261```
```31Mar    23M 3868 XX03 5946```
```25Feb    25M 4465 XX03 5599```
```------------2024-----------```
```13Nov 23.11M 3364 XX01 6871```
```13Nov 26.64M 3866 XX02 6890```
```03Sep  15.2M 3377 XX01 4500```
```22Jul  12.5M 3371 XX01 3708```
```------------2023-----------```
```15Dec 11.77M 3364 XX01 3500```
```15Dec 13.53M 3866 XX02 3500```
```30Nov    17M 4363 XX02 3896```
```07Nov 17.73M 4507 XX03 3933```
```07Nov 13.27M 3375 XX04 3933```
```17Jul 15.75M 3371 XX01 4672```
```10Jul  20.7M 3362 XX04 6157```
```05Jul    18M 4152 XX03 4335```
```19Jun 3.731M 4152 XX03  898```
```04Jan  16.5M 3362 XX04 4908```
```------------2022-----------```
```26Dec   8.3M 3137 XX04 2646```
```26Dec  11.4M 4319 XX03 2639```
```26Dec  11.2M 4167 XX02 2688```
```26Dec     8M 3130 XX01 2556```
```26Dec   7.6M 3256 XX01 2334```
```26Dec  11.2M 4268 XX02 2624```
```26Dec  11.6M 4371 XX03 2654```
```26Dec   8.7M 3246 XX04 2680```
```03Jun     8M 2859 XX02 2798```
```12Apr 7.113M 3371 XX01 2110```
```26Jan    28M  13K XX01 2229```
```------------2021-----------```
```07Dec 9.801M 4496 XX03 2180```
```17Nov 9.492M 4354 XX02 2180```
_Source: DLD, Databot_
_BUA - built-up area, sq.ft._
_P/sf - price per sq.ft._
_B - bedrooms; O - office_
_M - million, K- thousand_
_S - studio, R - shop_
_*Max 30 latest transactions_
www.trydatabot.com</t>
  </si>
  <si>
    <t>1008641, *MARKET</t>
  </si>
  <si>
    <t>*MARKET*
*SNAPSHOT*
*BLVD PLAZA T2*
_Area: Downtown_
_Type: office_
*Price dynamics, Dirham/sq.ft.*
_(M - median value)_
```6890|                 **   ```
```    |        *            *```
```    |                   ** ```
```    |     *                ```
```    |       * *      *     ```
```3933|---------------------M```
```    |          ***  *      ```
```    |             **       ```
```    | ****                 ```
```    |*                     ```
```898 |      *               ```
```____|______________________```
```    |Dec2022        Oct2025```
_Source: see table below_
*Latest sales transactions*
```Date   Price  BUA Type P/sf```
```------------2025-----------```
```03Oct    21M 3354 XX03 6261```
```31Mar    23M 3868 XX03 5946```
```25Feb    25M 4465 XX03 5599```
```------------2024-----------```
```13Nov 23.11M 3364 XX01 6871```
```13Nov 26.64M 3866 XX02 6890```
```03Sep  15.2M 3377 XX01 4500```
```22Jul  12.5M 3371 XX01 3708```
```------------2023-----------```
```15Dec 11.77M 3364 XX01 3500```
```15Dec 13.53M 3866 XX02 3500```
```30Nov    17M 4363 XX02 3896```
```07Nov 17.73M 4507 XX03 3933```
```07Nov 13.27M 3375 XX04 3933```
```17Jul 15.75M 3371 XX01 4672```
```10Jul  20.7M 3362 XX04 6157```
```05Jul    18M 4152 XX03 4335```
```19Jun 3.731M 4152 XX03  898```
```04Jan  16.5M 3362 XX04 4908```
```------------2022-----------```
```26Dec   8.3M 3137 XX04 2646```
```26Dec  11.4M 4319 XX03 2639```
```26Dec  11.2M 4167 XX02 2688```
```26Dec     8M 3130 XX01 2556```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</si>
  <si>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1008643, *RESELL</t>
  </si>
  <si>
    <t>*RESELL*
*VS PRIMARY*
*BLVD PLAZA T2*
_Area: Downtown_
_Type: office_
*Price dynamics, Dirham/sq.ft.*
_(x - primary; * - resell)_
```6890|                 **   ```
```    |                      ```
```    |                     *```
```    |                    * ```
```5534|                   *  ```
```    |          x           ```
```    |                      ```
```    |                *     ```
```    |           **         ```
```3500|             ***      ```
```____|______________________```
```    |Dec1899        Oct2025```
_Source: see a table below_
*Latest resell transactions*
```Date   Price  BUA Type P/sf```
```------------2025-----------```
```03Oct    21M 3354 XX03 6261```
```31Mar    23M 3868 XX03 5946```
```25Feb    25M 4465 XX03 5599```
```------------2024-----------```
```13Nov 23.11M 3364 XX01 6871```
```13Nov 26.64M 3866 XX02 6890```
```03Sep  15.2M 3377 XX01 4500```
```22Jul  12.5M 3371 XX01 3708```
```------------2023-----------```
```15Dec 11.77M 3364 XX01 3500```
```15Dec 13.53M 3866 XX02 3500```
```30Nov    17M 4363 XX02 3896```
```07Nov 17.73M 4507 XX03 3933```
```07Nov 13.27M 3375 XX04 3933```
```17Jul 15.75M 3371 XX01 4672```
```10Jul  20.7M 3362 XX04 6157```
```05Jul    18M 4152 XX03 4335```
```19Jun 3.731M 4152 XX03  898```
*Latest primary transactions*
```------------2024-----------```
```16Jul  17.5M 3354 XX03 5217```</t>
  </si>
  <si>
    <t>1008646, *NEW RE</t>
  </si>
  <si>
    <t>*NEW RENT*
*CONTRACTS**
_(renewals are not included)_
*BLVD PLAZA T1+T2*
_Area: Downtown_
_Type: _
```Date  Price   BUA  Type D/s```
```------------2022-----------```
```15Sep  125K   990  XXXX 126```
```01Sep  220K  1755  XXXX 125```
```20Aug  260K  2282  XXXX 114```
_Source: DLD, Databot_
_BUA - built-up area, sq.ft._
_P/sf - price per sq.ft._
_B - bedrooms; O - office_
_M - million, K- thousand_
_S - studio, R - shop_
_*20 latest contracts_
www.trydatabot.com</t>
  </si>
  <si>
    <t>1008660, *NEW RE</t>
  </si>
  <si>
    <t>*NEW RENT*
*CONTRACTS**
_(renewals are not included)_
*BLVD PLAZA T1+T2*
_Area: Downtown_
_All types/bedrooms_
```Date    Price   BUA Type  B```
```------------2026-----------```
```15Jan    120K   872 XXXX  1```
```06Jan     80K   549 XXXX  1```
```------------2025-----------```
```24Dec    100K   549 XXXX  1```
```20Dec    110K   710 XXXX  1```
```01Dec    135K   872 XXXX  1```
```24Nov    130K   850 XXXX  1```
```18Nov    185K  1292 XXXX  2```
```17Nov    165K   872 XXXX  1```
```14Nov    160K  1023 XXXX  2```
```11Nov    127K   807 XXXX  1```
```04Nov    135K   872 XXXX  1```
```04Nov    135K   872 XXXX  1```
```31Oct    180K  1023 XXXX  2```
```21Oct    200K  1023 XXXX  2```
```21Oct    200K  1023 XXXX  2```
```18Oct    140K  1367 XXXX  1```
```17Oct    185K  1292 XXXX  2```
```16Oct    280K  1711 XXXX  3```
```16Oct    144K   850 XXXX  1```
```15Oct    100K   614 XXXX  1```
_Source: DLD, Databot_
_BUA - built-up area, sq.ft._
_P/sf - price per sq.ft._
_B - bedrooms; O - office_
_M - million, K- thousand_
_S - studio, R - shop_
_*20 latest contracts_
www.trydatabot.com</t>
  </si>
  <si>
    <t>1008662, by code, *BUILDI</t>
  </si>
  <si>
    <t xml:space="preserve">*BUILDING*
*PROFILE*
*BLVD PLAZA T2*
_Area: Downtown_
_Tap&amp;hold to copy a reply_
```-------------------------```
```Report              Reply```
```-------------------------```
*Office*
```Resell, ROI       1008640```
```Primary sales     1008670```
```Price chart       1008641```
```Rentals               n/a```
```Appreciation      1008643```
*All types/bedrooms*
```Resell, ROI       1008661```
```Primary sales     1008675```
```Rentals           1008660```
</t>
  </si>
  <si>
    <t>1008670, *SALES*</t>
  </si>
  <si>
    <t>*SALES*
*TRANSACTIONS (PRIMARY)**
*BLVD PLAZA T2*
_Area: Downtown_
_Type: office_
```Date   Price  BUA Type P/sf```
```------------2024-----------```
```16Jul  17.5M 3354 XX03 5217```
_Source: DLD, Databot_
_BUA - built-up area, sq.ft._
_P/sf - price per sq.ft._
_B - bedrooms; O - office_
_M - million, K- thousand_
_S - studio, R - shop_
_*Max 20 latest transactions_
www.trydatabot.com</t>
  </si>
  <si>
    <t>1008675, *SALES*</t>
  </si>
  <si>
    <t>*SALES*
*TRANSACTIONS (PRIMARY)**
*BLVD PLAZA T2*
_Area: Downtown_
_All types/bedrooms_
```Date    Price   BUA  Type B```
```------------2024-----------```
```16Jul   17.5M  3354  XX03 O```
_Source: DLD, Databot_
_BUA - built-up area, sq.ft._
_P/sf - price per sq.ft._
_B - bedrooms; O - office_
_M - million, K- thousand_
_S - studio, R - shop_
_*Max 20 latest transactions_
www.trydatabot.com</t>
  </si>
  <si>
    <t>1008682, *NEW RE</t>
  </si>
  <si>
    <t>Blvd Plaza T1</t>
  </si>
  <si>
    <t>1008686, *NEW RE</t>
  </si>
  <si>
    <t>1008690, *NEW RE</t>
  </si>
  <si>
    <t>1008704, *SALES*</t>
  </si>
  <si>
    <t>*SALES*
*TRANSACTIONS (RESALE)**
*BLVD PLAZA T1*
_Area: Downtown_
_Type: office_
```Date   Price  BUA Type P/sf```
```------------2026-----------```
```15Jan  21.5M 3673 XX03 5854```
```15Jan  21.5M 3373 XX04 6374```
```13Jan  22.5M 3655 XX02 6156```
```------------2025-----------```
```11Dec    20M 3266 XX04 6124```
```21Jul 4.729M 1837 XXXX 2574```
```09Jun    18M 3374 XX01 5335```
```29May    19M 3374 XX01 5631```
```16May    17M 3338 XX01 5093```
```09May  18.4M 3674 XX02 5008```
```05May  24.5M 3374 XX01 7261```
```12Mar  16.5M 3674 XX02 4491```
```10Jan  18.8M 2976 XX04 6317```
```------------2024-----------```
```30Dec 18.25M 4346 XX02 4200```
```09Oct  10.9M 4167 XX03 2616```
```06Sep  21.5M 3339 XX04 6439```
```03Sep 15.18M 3374 XX01 4499```
```26Jul     8M 2177 XXXX 3675```
```04Jul 12.52M 3374 XX01 3711```
```23May 12.53M 3674 XX02 3409```
```23Feb 15.19M 3373 XX04 4502```
```22Feb 15.19M 3374 XX01 4501```
```22Feb 16.53M 3673 XX03 4500```
```19Jan  13.3M 3674 XX02 3620```
```------------2023-----------```
```11Dec    16M 4005 XX03 3995```
```02Nov    10M 3374 XX01 2964```
```31Oct 10.04M 3374 XX01 2975```
```31Oct 10.93M 3673 XX03 2975```
```31Oct 10.04M 3373 XX04 2975```
```24Oct    14M 3266 XX04 4287```
```28Sep    15M 3373 XX04 4447```
_Source: DLD, Databot_
_BUA - built-up area, sq.ft._
_P/sf - price per sq.ft._
_B - bedrooms; O - office_
_M - million, K- thousand_
_S - studio, R - shop_
_*Max 30 latest transactions_
www.trydatabot.com</t>
  </si>
  <si>
    <t>1008705, *MARKET</t>
  </si>
  <si>
    <t>*MARKET*
*SNAPSHOT*
*BLVD PLAZA T1*
_Area: Downtown_
_Type: office_
*Price dynamics, Dirham/sq.ft.*
_(M - median value)_
```7261|            *         ```
```    |                      ```
```    |       *  *       *** ```
```    |               *     *```
```    |                *     ```
```4755|---------------------M```
```    |             **       ```
```    |***   *    *          ```
```    |         *            ```
```    |   ***                ```
```2574|        *        *    ```
```____|______________________```
```    |Feb2024        Jan2026```
_Source: see table below_
*Latest sales transactions*
```Date   Price  BUA Type P/sf```
```------------2026-----------```
```15Jan  21.5M 3673 XX03 5854```
```15Jan  21.5M 3373 XX04 6374```
```13Jan  22.5M 3655 XX02 6156```
```------------2025-----------```
```11Dec    20M 3266 XX04 6124```
```21Jul 4.729M 1837 XXXX 2574```
```09Jun    18M 3374 XX01 5335```
```29May    19M 3374 XX01 5631```
```16May    17M 3338 XX01 5093```
```09May  18.4M 3674 XX02 5008```
```05May  24.5M 3374 XX01 7261```
```12Mar  16.5M 3674 XX02 4491```
```10Jan  18.8M 2976 XX04 6317```
```------------2024-----------```
```30Dec 18.25M 4346 XX02 4200```
```09Oct  10.9M 4167 XX03 2616```
```06Sep  21.5M 3339 XX04 6439```
```03Sep 15.18M 3374 XX01 4499```
```26Jul     8M 2177 XXXX 3675```
```04Jul 12.52M 3374 XX01 3711```
```23May 12.53M 3674 XX02 3409```
```23Feb 15.19M 3373 XX04 4502```
```22Feb 15.19M 3374 XX01 4501```
```22Feb 16.53M 3673 XX03 4500```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</si>
  <si>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1008707, *RESELL</t>
  </si>
  <si>
    <t>*RESELL*
*VS PRIMARY*
*BLVD PLAZA T1*
_Area: Downtown_
_Type: office_
*Price dynamics, Dirham/sq.ft.*
_(x - primary; * - resell)_
```7261|            *         ```
```    |                      ```
```    |                  *** ```
```    |               *     *```
```5385|                *     ```
```    |             **       ```
```    |          x*          ```
```    |                      ```
```    |                      ```
```2574|                 *    ```
```____|______________________```
```    |Dec1899        Jan2026```
_Source: see a table below_
*Latest resell transactions*
```Date   Price  BUA Type P/sf```
```------------2026-----------```
```15Jan  21.5M 3673 XX03 5854```
```15Jan  21.5M 3373 XX04 6374```
```13Jan  22.5M 3655 XX02 6156```
```------------2025-----------```
```11Dec    20M 3266 XX04 6124```
```21Jul 4.729M 1837 XXXX 2574```
```09Jun    18M 3374 XX01 5335```
```29May    19M 3374 XX01 5631```
```16May    17M 3338 XX01 5093```
```09May  18.4M 3674 XX02 5008```
```05May  24.5M 3374 XX01 7261```
```12Mar  16.5M 3674 XX02 4491```
```10Jan  18.8M 2976 XX04 6317```
```------------2024-----------```
```30Dec 18.25M 4346 XX02 4200```
```09Oct  10.9M 4167 XX03 2616```
```06Sep  21.5M 3339 XX04 6439```
```03Sep 15.18M 3374 XX01 4499```
*Latest primary transactions*
```------------2024-----------```
```17Oct 17.19M 3675 XX02 4678```</t>
  </si>
  <si>
    <t>1008710, *NEW RE</t>
  </si>
  <si>
    <t>1008724, *NEW RE</t>
  </si>
  <si>
    <t>1008726, by code, *BUILDI</t>
  </si>
  <si>
    <t xml:space="preserve">*BUILDING*
*PROFILE*
*BLVD PLAZA T1*
_Area: Downtown_
_Tap&amp;hold to copy a reply_
```-------------------------```
```Report              Reply```
```-------------------------```
*Office*
```Resell, ROI       1008704```
```Primary sales     1008734```
```Price chart       1008705```
```Rentals               n/a```
```Appreciation      1008707```
*All types/bedrooms*
```Resell, ROI       1008725```
```Primary sales     1008739```
```Rentals           1008724```
</t>
  </si>
  <si>
    <t>1008734, *SALES*</t>
  </si>
  <si>
    <t>*SALES*
*TRANSACTIONS (PRIMARY)**
*BLVD PLAZA T1*
_Area: Downtown_
_Type: office_
```Date   Price  BUA Type P/sf```
```------------2024-----------```
```17Oct 17.19M 3675 XX02 4678```
_Source: DLD, Databot_
_BUA - built-up area, sq.ft._
_P/sf - price per sq.ft._
_B - bedrooms; O - office_
_M - million, K- thousand_
_S - studio, R - shop_
_*Max 20 latest transactions_
www.trydatabot.com</t>
  </si>
  <si>
    <t>1008739, *SALES*</t>
  </si>
  <si>
    <t>*SALES*
*TRANSACTIONS (PRIMARY)**
*BLVD PLAZA T1*
_Area: Downtown_
_All types/bedrooms_
```Date    Price   BUA  Type B```
```------------2024-----------```
```17Oct  17.19M  3675  XX02 O```
_Source: DLD, Databot_
_BUA - built-up area, sq.ft._
_P/sf - price per sq.ft._
_B - bedrooms; O - office_
_M - million, K- thousand_
_S - studio, R - shop_
_*Max 20 latest transactions_
www.trydatabot.com</t>
  </si>
  <si>
    <t>1008746, *NEW RE</t>
  </si>
  <si>
    <t>Blvd Plaza T1+T2</t>
  </si>
  <si>
    <t>1008750, *NEW RE</t>
  </si>
  <si>
    <t>1008754, *NEW RE</t>
  </si>
  <si>
    <t>1008768, *SALES*</t>
  </si>
  <si>
    <t>*SALES*
*TRANSACTIONS (RESALE)**
*BLVD PLAZA T1+T2*
_Area: Downtown_
_Type: office_
```Date   Price  BUA Type P/sf```
```------------2025-----------```
```03Oct    21M 3354 XX03 6261```
```31Mar    23M 3868 XX03 5946```
```25Feb    25M 4465 XX03 5599```
```------------2024-----------```
```13Nov 23.11M 3364 XX01 6871```
```13Nov 26.64M 3866 XX02 6890```
```03Sep  15.2M 3377 XX01 4500```
```22Jul  12.5M 3371 XX01 3708```
```------------2023-----------```
```15Dec 11.77M 3364 XX01 3500```
```15Dec 13.53M 3866 XX02 3500```
```30Nov    17M 4363 XX02 3896```
```07Nov 17.73M 4507 XX03 3933```
```07Nov 13.27M 3375 XX04 3933```
```17Jul 15.75M 3371 XX01 4672```
```10Jul  20.7M 3362 XX04 6157```
```05Jul    18M 4152 XX03 4335```
```19Jun 3.731M 4152 XX03  898```
```04Jan  16.5M 3362 XX04 4908```
```------------2022-----------```
```26Dec   8.3M 3137 XX04 2646```
```26Dec  11.4M 4319 XX03 2639```
```26Dec  11.2M 4167 XX02 2688```
```26Dec     8M 3130 XX01 2556```
```26Dec   7.6M 3256 XX01 2334```
```26Dec  11.2M 4268 XX02 2624```
```26Dec  11.6M 4371 XX03 2654```
```26Dec   8.7M 3246 XX04 2680```
```03Jun     8M 2859 XX02 2798```
```12Apr 7.113M 3371 XX01 2110```
```26Jan    28M  13K XX01 2229```
```------------2021-----------```
```07Dec 9.801M 4496 XX03 2180```
```17Nov 9.492M 4354 XX02 2180```
_Source: DLD, Databot_
_BUA - built-up area, sq.ft._
_P/sf - price per sq.ft._
_B - bedrooms; O - office_
_M - million, K- thousand_
_S - studio, R - shop_
_*Max 30 latest transactions_
www.trydatabot.com</t>
  </si>
  <si>
    <t>1008769, *MARKET</t>
  </si>
  <si>
    <t>*MARKET*
*SNAPSHOT*
*BLVD PLAZA T1+T2*
_Area: Downtown_
_Type: office_
*Price dynamics, Dirham/sq.ft.*
_(M - median value)_
```6890|                 **   ```
```    |        *            *```
```    |                   ** ```
```    |     *                ```
```    |       * *      *     ```
```3933|---------------------M```
```    |          ***  *      ```
```    |             **       ```
```    | ****                 ```
```    |*                     ```
```898 |      *               ```
```____|______________________```
```    |Dec2022        Oct2025```
_Source: see table below_
*Latest sales transactions*
```Date   Price  BUA Type P/sf```
```------------2025-----------```
```03Oct    21M 3354 XX03 6261```
```31Mar    23M 3868 XX03 5946```
```25Feb    25M 4465 XX03 5599```
```------------2024-----------```
```13Nov 23.11M 3364 XX01 6871```
```13Nov 26.64M 3866 XX02 6890```
```03Sep  15.2M 3377 XX01 4500```
```22Jul  12.5M 3371 XX01 3708```
```------------2023-----------```
```15Dec 11.77M 3364 XX01 3500```
```15Dec 13.53M 3866 XX02 3500```
```30Nov    17M 4363 XX02 3896```
```07Nov 17.73M 4507 XX03 3933```
```07Nov 13.27M 3375 XX04 3933```
```17Jul 15.75M 3371 XX01 4672```
```10Jul  20.7M 3362 XX04 6157```
```05Jul    18M 4152 XX03 4335```
```19Jun 3.731M 4152 XX03  898```
```04Jan  16.5M 3362 XX04 4908```
```------------2022-----------```
```26Dec   8.3M 3137 XX04 2646```
```26Dec  11.4M 4319 XX03 2639```
```26Dec  11.2M 4167 XX02 2688```
```26Dec     8M 3130 XX01 2556```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</si>
  <si>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1008771, *RESELL</t>
  </si>
  <si>
    <t>*RESELL*
*VS PRIMARY*
*BLVD PLAZA T1+T2*
_Area: Downtown_
_Type: office_
*Price dynamics, Dirham/sq.ft.*
_(x - primary; * - resell)_
```6890|                 **   ```
```    |                      ```
```    |                     *```
```    |                    * ```
```5534|                   *  ```
```    |          x           ```
```    |                      ```
```    |                *     ```
```    |           **         ```
```3500|             ***      ```
```____|______________________```
```    |Dec1899        Oct2025```
_Source: see a table below_
*Latest resell transactions*
```Date   Price  BUA Type P/sf```
```------------2025-----------```
```03Oct    21M 3354 XX03 6261```
```31Mar    23M 3868 XX03 5946```
```25Feb    25M 4465 XX03 5599```
```------------2024-----------```
```13Nov 23.11M 3364 XX01 6871```
```13Nov 26.64M 3866 XX02 6890```
```03Sep  15.2M 3377 XX01 4500```
```22Jul  12.5M 3371 XX01 3708```
```------------2023-----------```
```15Dec 11.77M 3364 XX01 3500```
```15Dec 13.53M 3866 XX02 3500```
```30Nov    17M 4363 XX02 3896```
```07Nov 17.73M 4507 XX03 3933```
```07Nov 13.27M 3375 XX04 3933```
```17Jul 15.75M 3371 XX01 4672```
```10Jul  20.7M 3362 XX04 6157```
```05Jul    18M 4152 XX03 4335```
```19Jun 3.731M 4152 XX03  898```
*Latest primary transactions*
```------------2024-----------```
```16Jul  17.5M 3354 XX03 5217```</t>
  </si>
  <si>
    <t>1008774, *NEW RE</t>
  </si>
  <si>
    <t>1008788, *NEW RE</t>
  </si>
  <si>
    <t>1008790, by code, *BUILDI</t>
  </si>
  <si>
    <t xml:space="preserve">*BUILDING*
*PROFILE*
*BLVD PLAZA T1+T2*
_Area: Downtown_
_Tap&amp;hold to copy a reply_
```-------------------------```
```Report              Reply```
```-------------------------```
*Office*
```Resell, ROI       1008768```
```Primary sales     1008798```
```Price chart       1008769```
```Rentals               n/a```
```Appreciation      1008771```
*All types/bedrooms*
```Resell, ROI       1008789```
```Primary sales     1008803```
```Rentals           1008788```
</t>
  </si>
  <si>
    <t>1008798, *SALES*</t>
  </si>
  <si>
    <t>*SALES*
*TRANSACTIONS (PRIMARY)**
*BLVD PLAZA T1+T2*
_Area: Downtown_
_Type: office_
```Date   Price  BUA Type P/sf```
```------------2024-----------```
```16Jul  17.5M 3354 XX03 5217```
_Source: DLD, Databot_
_BUA - built-up area, sq.ft._
_P/sf - price per sq.ft._
_B - bedrooms; O - office_
_M - million, K- thousand_
_S - studio, R - shop_
_*Max 20 latest transactions_
www.trydatabot.com</t>
  </si>
  <si>
    <t>1008803, *SALES*</t>
  </si>
  <si>
    <t>*SALES*
*TRANSACTIONS (PRIMARY)**
*BLVD PLAZA T1+T2*
_Area: Downtown_
_All types/bedrooms_
```Date    Price   BUA  Type B```
```------------2024-----------```
```16Jul   17.5M  3354  XX03 O```
_Source: DLD, Databot_
_BUA - built-up area, sq.ft._
_P/sf - price per sq.ft._
_B - bedrooms; O - office_
_M - million, K- thousand_
_S - studio, R - shop_
_*Max 20 latest transactions_
www.trydatabot.com</t>
  </si>
  <si>
    <t>1008808, *SALES*</t>
  </si>
  <si>
    <r>
      <rPr/>
      <t xml:space="preserve">*SALES*
*TRANSACTIONS (RESALE)**
*BOULEVARD POINT*
_Area: Downtown_
_Type: 1 bedroom apartment_
_Gross ROI=6%_
_Median annual rent=150K_
```Date   Price  BUA Type P/sf```
```------------2026-----------```
```13Jan  2.15M  928 XX01 2317```
```------------2025-----------```
```04Dec   2.1M  933 XXXX 2251```
```06Nov  2.05M  795 XXXX 2579```
```09Oct  2.65M  980 XX04 2704```
```17Sep   2.1M  933 XX12 2251```
```17Sep   2.1M  933 XXXX 2251```
```10Sep  2.53M  865 XX08 2925```
```13Aug  2.32M  930 XX01 2495```
```31Jul   2.7M  773 XXXX 3493```
```29Jul   2.5M  975 XXXX 2564```
```22Jul  2.48M  773 XXXX 3208```
```21Jul  2.45M  773 XXXX 3169```
```17Jul   2.6M  985 XX05 2640```
```16Jul  2.65M  983 XXXX 2696```
```15Jul  2.35M  975 XXXX 2410```
```03Jul  2.55M  796 XXXX 3204```
```02Jul  2.97M  917 XXXX 3239```
```30Jun 2.134M  795 XXXX 2684```
```10Jun  2.43M  796 XXXX 3053```
```04Jun   2.5M  773 XXXX 3234```
```26May  2.35M  773 XXXX 3040```
```12May   2.6M  982 XX06 2648```
```05May   2.5M  773 XXXX 3234```
```01May   2.4M  975 XXXX 2462```
```24Apr  2.85M 1262 XX03 2258```
```03Apr   2.9M  993 XX04 2920```
```24Mar   2.4M  928 XX01 2586```
```21Mar   2.2M  931 XX01 2363```
```19Mar   2.6M  931 XX01 2793```
```18Mar   2.5M  866 XXXX 2887```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</si>
  <si>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Boulevard Point</t>
  </si>
  <si>
    <t>1008809, *MARKET</t>
  </si>
  <si>
    <r>
      <rPr/>
      <t xml:space="preserve">*MARKET*
*SNAPSHOT*
*BOULEVARD POINT*
_Area: Downtown_
_Type: 1 bedroom apartment_
*Price dynamics, Dirham/sq.ft.*
_(M - median value)_
```3493|             *        ```
```    |                      ```
```    |  *  **    *          ```
```    |          *           ```
```    | * *                  ```
```    |               *      ```
```2690|---------------------M```
```    |        *         *   ```
```    |*   *    *  *      *  ```
```    |       *      *       ```
```2251|                **  **```
```____|______________________```
```    |May2025        Jan2026```
_Source: see table below_
*Latest sales transactions*
```Date   Price  BUA Type P/sf```
```------------2026-----------```
```13Jan  2.15M  928 XX01 2317```
```------------2025-----------```
```04Dec   2.1M  933 XXXX 2251```
```06Nov  2.05M  795 XXXX 2579```
```09Oct  2.65M  980 XX04 2704```
```17Sep   2.1M  933 XX12 2251```
```17Sep   2.1M  933 XXXX 2251```
```10Sep  2.53M  865 XX08 2925```
```13Aug  2.32M  930 XX01 2495```
```31Jul   2.7M  773 XXXX 3493```
```29Jul   2.5M  975 XXXX 2564```
```22Jul  2.48M  773 XXXX 3208```
```21Jul  2.45M  773 XXXX 3169```
```17Jul   2.6M  985 XX05 2640```
```16Jul  2.65M  983 XXXX 2696```
```15Jul  2.35M  975 XXXX 2410```
```03Jul  2.55M  796 XXXX 3204```
```02Jul  2.97M  917 XXXX 3239```
```30Jun 2.134M  795 XXXX 2684```
```10Jun  2.43M  796 XXXX 3053```
```04Jun   2.5M  773 XXXX 3234```
```26May  2.35M  773 XXXX 3040```
```12May   2.6M  982 XX06 2648```
```05May   2.5M  773 XXXX 3234```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</t>
    </r>
    <r>
      <rPr>
        <color rgb="FF1155CC"/>
        <u/>
      </rPr>
      <t>www.trydatabot.com</t>
    </r>
  </si>
  <si>
    <t>1008810, *NEW RE</t>
  </si>
  <si>
    <t>*NEW RENT*
*CONTRACTS**
_(renewals are not included)_
*BOULEVARD POINT*
_Area: Downtown_
_Type: 1 bedroom apartment_
```Date  Price   BUA  Type D/s```
```------------2026-----------```
```15Jan  160K   936  XXXX 171```
```10Jan  195K  1442  XXXX 135```
```------------2025-----------```
```22Dec  145K   775  XXXX 187```
```15Dec  120K   797  XXXX 151```
```13Dec  150K   926  XXXX 162```
```05Dec  150K   775  XXXX 194```
```05Dec  135K   926  XXXX 146```
```01Dec  150K   926  XXXX 162```
```27Nov  150K   926  XXXX 162```
```20Nov  125K  1367  XXXX  91```
```08Nov  160K   980  XXXX 163```
```27Oct  160K   797  XXXX 201```
```08Oct  160K   936  XXXX 171```
```08Oct 79.7K  1625  XXXX  49```
```08Oct  158K  1625  XXXX  97```
```24Sep  110K   775  XXXX 142```
```15Sep  130K   980  XXXX 133```
```14Sep  118K  1496  XXXX  79```
```12Sep  155K   926  XXXX 167```
```12Sep  155K   926  XXXX 167```
_Source: DLD, Databot_
_BUA - built-up area, sq.ft._
_P/sf - price per sq.ft._
_B - bedrooms; O - office_
_M - million, K- thousand_
_S - studio, R - shop_
_*20 latest contracts_
www.trydatabot.com</t>
  </si>
  <si>
    <t>1008811, *RESELL</t>
  </si>
  <si>
    <t>*RESELL*
*VS PRIMARY*
*BOULEVARD POINT*
_Area: Downtown_
_Type: 1 bedroom apartment_
*Price dynamics, Dirham/sq.ft.*
_(x - primary; * - resell)_
```3493|             *        ```
```    |                      ```
```    |           *          ```
```    |                      ```
```2913|               *      ```
```    | x  x             *   ```
```    |            *      *  ```
```    |     x  x     *       ```
```    |          x     **  **```
```2046|x xx  xx x            ```
```____|______________________```
```    |Jul2021        Jan2026```
_Source: see a table below_
*Latest resell transactions*
```Date   Price  BUA Type P/sf```
```------------2026-----------```
```13Jan  2.15M  928 XX01 2317```
```------------2025-----------```
```04Dec   2.1M  933 XXXX 2251```
```06Nov  2.05M  795 XXXX 2579```
```09Oct  2.65M  980 XX04 2704```
```17Sep   2.1M  933 XX12 2251```
```17Sep   2.1M  933 XXXX 2251```
```10Sep  2.53M  865 XX08 2925```
```13Aug  2.32M  930 XX01 2495```
```31Jul   2.7M  773 XXXX 3493```
```29Jul   2.5M  975 XXXX 2564```
```22Jul  2.48M  773 XXXX 3208```
```21Jul  2.45M  773 XXXX 3169```
```17Jul   2.6M  985 XX05 2640```
```16Jul  2.65M  983 XXXX 2696```
```15Jul  2.35M  975 XXXX 2410```
```03Jul  2.55M  796 XXXX 3204```
```02Jul  2.97M  917 XXXX 3239```
*Latest primary transactions*
```------------2023-----------```
```22Feb 2.046M  865 XX08 2365```
```22Feb 1.926M  933 XXXX 2064```
```------------2022-----------```
```06Apr 1.967M  773 XXXX 2544```
```30Mar 1.667M  795 XXXX 2097```
```31Jan 1.627M  795 XXXX 2046```
```13Jan 1.927M  773 XXXX 2493```
```03Jan  2.71M  996 XX03 2721```
```------------2021-----------```
```08Dec  1.99M  930 XX01 2140```
```07Oct 1.645M  795 XXXX 2069```
```21Sep 2.701M  993 XX04 2720```
```28Jul 2.031M  928 XX01 2188```
```27Apr 2.323M  983 XX06 2363```
```18Feb 2.445M  983 XX05 2487```
_Source: DLD, Databot_
_BUA - built-up area, sq.ft._
_P/sf - price per sq.ft._
_B - bedrooms; O - office_
_M - million, K- thousand_
_S - studio, R - shop_
www.trydatabot.com</t>
  </si>
  <si>
    <t>1008812, *SALES*</t>
  </si>
  <si>
    <r>
      <rPr/>
      <t xml:space="preserve">*SALES*
*TRANSACTIONS (RESALE)**
*BOULEVARD POINT*
_Area: Downtown_
_Type: 2 bedroom apartment_
_Gross ROI=5.61%_
_Median annual rent=255K_
```Date   Price  BUA Type P/sf```
```------------2025-----------```
```30Dec   4.6M 1923 XX02 2392```
```31Jul   4.9M 1916 XX02 2557```
```24Jul  4.95M 1363 XXXX 3632```
```08Jul 3.232M 1332 XX13 2426```
```20Jun   3.1M 1332 XXXX 2327```
```16Jun   4.9M 1529 XXXX 3205```
```07May   5.2M 1417 XX02 3670```
```22Apr   4.9M 1400 XX05 3500```
```07Apr 4.225M 1423 XX02 2969```
```28Mar  5.05M 1400 XX05 3607```
```19Mar  4.55M 1417 XX02 3211```
```14Mar   4.9M 1414 XX02 3465```
```10Mar   4.6M 1457 XX04 3157```
```17Jan   4.3M 1363 XXXX 3155```
```16Jan  5.58M 1841 XX07 3031```
```06Jan  2.69M 1426 XX02 1886```
```------------2024-----------```
```25Dec   4.7M 1417 XX02 3317```
```29Nov   5.4M 1529 XX06 3532```
```30Oct   4.4M 1433 XX02 3070```
```03Oct  4.75M 2345 XX07 2026```
```26Sep 5.425M 1363 XXXX 3980```
```24Sep   4.9M 2005 XX03 2444```
```30Aug   4.6M 1363 XXXX 3375```
```30Aug     5M 1414 XX02 3536```
```29Aug  4.75M 1841 XX07 2580```
```01May   5.5M 1414 XX02 3890```
```25Apr  4.28M 1414 XX02 3027```
```15Apr  4.45M 1457 XX04 3054```
```27Mar 4.475M 1457 XX04 3071```
```22Feb 5.325M 1400 XX05 3804```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</si>
  <si>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1008813, *MARKET</t>
  </si>
  <si>
    <t>*MARKET*
*SNAPSHOT*
*BOULEVARD POINT*
_Area: Downtown_
_Type: 2 bedroom apartment_
*Price dynamics, Dirham/sq.ft.*
_(M - median value)_
```3980| *                    ```
```    |               *      ```
```    |    *     * * *    *  ```
```    |     *                ```
```3156|---------------------M```
```    |   *    ** *    *     ```
```    |       *     *        ```
```    |                      ```
```    |*                 * * ```
```    |                 *   *```
```1886|  *   *               ```
```____|______________________```
```    |Sep2024        Dec2025```
_Source: see table below_
*Latest sales transactions*
```Date   Price  BUA Type P/sf```
```------------2025-----------```
```30Dec   4.6M 1923 XX02 2392```
```31Jul   4.9M 1916 XX02 2557```
```24Jul  4.95M 1363 XXXX 3632```
```08Jul 3.232M 1332 XX13 2426```
```20Jun   3.1M 1332 XXXX 2327```
```16Jun   4.9M 1529 XXXX 3205```
```07May   5.2M 1417 XX02 3670```
```22Apr   4.9M 1400 XX05 3500```
```07Apr 4.225M 1423 XX02 2969```
```28Mar  5.05M 1400 XX05 3607```
```19Mar  4.55M 1417 XX02 3211```
```14Mar   4.9M 1414 XX02 3465```
```10Mar   4.6M 1457 XX04 3157```
```17Jan   4.3M 1363 XXXX 3155```
```16Jan  5.58M 1841 XX07 3031```
```06Jan  2.69M 1426 XX02 1886```
```------------2024-----------```
```25Dec   4.7M 1417 XX02 3317```
```29Nov   5.4M 1529 XX06 3532```
```30Oct   4.4M 1433 XX02 3070```
```03Oct  4.75M 2345 XX07 2026```
```26Sep 5.425M 1363 XXXX 3980```
```24Sep   4.9M 2005 XX03 2444```
```30Aug   4.6M 1363 XXXX 3375```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</si>
  <si>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1008814, *NEW RE</t>
  </si>
  <si>
    <t>*NEW RENT*
*CONTRACTS**
_(renewals are not included)_
*BOULEVARD POINT*
_Area: Downtown_
_Type: 2 bedroom apartment_
```Date  Price   BUA  Type D/s```
```------------2025-----------```
```05Dec  270K  1367  XXXX 198```
```01Dec   50K  1464  XXXX  34```
```24Nov  285K  1367  XXXX 208```
```21Nov  240K  1453  XXXX 165```
```10Nov  300K  1399  XXXX 214```
```24Oct  370K  1410  XXXX 262```
```01Oct  300K  1453  XXXX 206```
```01Oct  260K  1410  XXXX 184```
```26Sep  200K  1335  XXXX 150```
```25Sep  215K  1410  XXXX 152```
```20Sep  250K  1410  XXXX 177```
```17Sep  275K  1410  XXXX 195```
```15Sep  280K  1367  XXXX 205```
```07Sep  220K  1432  XXXX 154```
```25Aug  290K  1367  XXXX 212```
```21Aug  260K  1399  XXXX 186```
```20Aug  245K  1410  XXXX 174```
```20Aug  245K  1410  XXXX 174```
```20Aug  245K  1410  XXXX 174```
```15Aug  225K  1410  XXXX 160```
_Source: DLD, Databot_
_BUA - built-up area, sq.ft._
_P/sf - price per sq.ft._
_B - bedrooms; O - office_
_M - million, K- thousand_
_S - studio, R - shop_
_*20 latest contracts_
www.trydatabot.com</t>
  </si>
  <si>
    <t>1008815, *RESELL</t>
  </si>
  <si>
    <t>*RESELL*
*VS PRIMARY*
*BOULEVARD POINT*
_Area: Downtown_
_Type: 2 bedroom apartment_
*Price dynamics, Dirham/sq.ft.*
_(x - primary; * - resell)_
```3670|            *  *   *  ```
```    |              *       ```
```    |           *    *     ```
```    |             *        ```
```2674|x     x  x          * ```
```    |  xxxx  x x      **  *```
```    |                      ```
```    |                      ```
```    |       x              ```
```1185| x                    ```
```____|______________________```
```    |Apr2020        Dec2025```
_Source: see a table below_
*Latest resell transactions*
```Date   Price  BUA Type P/sf```
```------------2025-----------```
```30Dec   4.6M 1923 XX02 2392```
```31Jul   4.9M 1916 XX02 2557```
```24Jul  4.95M 1363 XXXX 3632```
```08Jul 3.232M 1332 XX13 2426```
```20Jun   3.1M 1332 XXXX 2327```
```16Jun   4.9M 1529 XXXX 3205```
```07May   5.2M 1417 XX02 3670```
```22Apr   4.9M 1400 XX05 3500```
```07Apr 4.225M 1423 XX02 2969```
```28Mar  5.05M 1400 XX05 3607```
```19Mar  4.55M 1417 XX02 3211```
```14Mar   4.9M 1414 XX02 3465```
```10Mar   4.6M 1457 XX04 3157```
```17Jan   4.3M 1363 XXXX 3155```
```16Jan  5.58M 1841 XX07 3031```
```06Jan  2.69M 1426 XX02 1886```
```------------2024-----------```
```25Dec   4.7M 1417 XX02 3317```
*Latest primary transactions*
```------------2021-----------```
```24Oct 3.504M 1417 XX02 2473```
```04Oct 3.686M 1433 XX02 2572```
```18Aug 3.388M 1400 XX05 2420```
```11Jul 2.186M 1332 XXXX 1641```
```06May 4.023M 1494 XX07 2693```
```29Mar 3.449M 1414 XX02 2439```
```------------2020-----------```
```25Nov 3.388M 1400 XX05 2420```
```15Nov 3.371M 1457 XX04 2314```
```25Aug 3.351M 1414 XX02 2370```
```20Aug 2.375M 2005 XX03 1185```
```09Apr   3.6M 1399 XX05 2573```
```------------2019-----------```
```18Dec 3.374M 1363 XX05 2475```
```24Oct 2.186M 1332 XXXX 1641```
_Source: DLD, Databot_
_BUA - built-up area, sq.ft._
_P/sf - price per sq.ft._
_B - bedrooms; O - office_
_M - million, K- thousand_
_S - studio, R - shop_
www.trydatabot.com</t>
  </si>
  <si>
    <t>1008816, *SALES*</t>
  </si>
  <si>
    <r>
      <rPr/>
      <t xml:space="preserve">*SALES*
*TRANSACTIONS (RESALE)**
*BOULEVARD POINT*
_Area: Downtown_
_Type: 3 bedroom apartment_
_Gross ROI=4.82%_
_Median annual rent=337.5K_
```Date   Price  BUA Type P/sf```
```------------2025-----------```
```25Nov  8.25M 1825 XX03 4521```
```13Nov   8.5M 2121 XX06 4008```
```13Oct   6.6M 2081 XX02 3172```
```23Sep   6.7M 1825 XX03 3671```
```10Sep     7M 1833 XX03 3819```
```25Aug  8.25M 2105 XX06 3919```
```29Jul   8.2M 1833 XX03 4474```
```02Jul     3M  977 XXXX 3071```
```29May     7M 1833 XX03 3819```
```10Apr   6.4M 1825 XX03 3507```
```27Mar  6.35M 1825 XX03 3479```
```08Jan   6.1M 1833 XX03 3328```
```------------2024-----------```
```19Dec   7.1M 1821 XX04 3899```
```17Dec  5.85M 1825 XX03 3205```
```05Dec     6M 1825 XX03 3288```
```21Nov  6.18M 1833 XX03 3372```
```15Nov     5M 2121 XX06 2357```
```13Nov   8.8M 2105 XX06 4181```
```04Nov 6.875M 1821 XX04 3775```
```25Sep  6.55M 1821 XX04 3597```
```19Sep  6.65M 2105 XX06 3159```
```28Aug   6.7M 2121 XX06 3159```
```23Jul  5.85M 1825 XX03 3205```
```11Jul  6.35M 1825 XX03 3479```
```24Jun   7.7M 3909 XXXX 1970```
```03Jun   6.2M 2105 XX06 2945```
```17May  8.45M 3908 XXXX 2162```
```13May   6.4M 2105 XX06 3040```
```08May  6.05M 1833 XX03 3301```
```27Mar   5.8M 1833 XX03 3164```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</si>
  <si>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1008817, *MARKET</t>
  </si>
  <si>
    <t>*MARKET*
*SNAPSHOT*
*BOULEVARD POINT*
_Area: Downtown_
_Type: 3 bedroom apartment_
*Price dynamics, Dirham/sq.ft.*
_(M - median value)_
```4521|               *     *```
```    |                      ```
```    |    *               * ```
```    |   *     *   *  **    ```
```3552|---------------------M```
```    |  *               *   ```
```    |      *    **         ```
```    |**     ** *        *  ```
```    |              *       ```
```    |                      ```
```2357|     *                ```
```____|______________________```
```    |Aug2024        Nov2025```
_Source: see table below_
*Latest sales transactions*
```Date   Price  BUA Type P/sf```
```------------2025-----------```
```25Nov  8.25M 1825 XX03 4521```
```13Nov   8.5M 2121 XX06 4008```
```13Oct   6.6M 2081 XX02 3172```
```23Sep   6.7M 1825 XX03 3671```
```10Sep     7M 1833 XX03 3819```
```25Aug  8.25M 2105 XX06 3919```
```29Jul   8.2M 1833 XX03 4474```
```02Jul     3M  977 XXXX 3071```
```29May     7M 1833 XX03 3819```
```10Apr   6.4M 1825 XX03 3507```
```27Mar  6.35M 1825 XX03 3479```
```08Jan   6.1M 1833 XX03 3328```
```------------2024-----------```
```19Dec   7.1M 1821 XX04 3899```
```17Dec  5.85M 1825 XX03 3205```
```05Dec     6M 1825 XX03 3288```
```21Nov  6.18M 1833 XX03 3372```
```15Nov     5M 2121 XX06 2357```
```13Nov   8.8M 2105 XX06 4181```
```04Nov 6.875M 1821 XX04 3775```
```25Sep  6.55M 1821 XX04 3597```
```19Sep  6.65M 2105 XX06 3159```
```28Aug   6.7M 2121 XX06 3159```
```23Jul  5.85M 1825 XX03 3205```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</si>
  <si>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1008818, *NEW RE</t>
  </si>
  <si>
    <t>*NEW RENT*
*CONTRACTS**
_(renewals are not included)_
*BOULEVARD POINT*
_Area: Downtown_
_Type: 3 bedroom apartment_
```Date  Price   BUA  Type D/s```
```------------2026-----------```
```01Jan  365K  2357  XXXX 155```
```------------2025-----------```
```25Dec  295K  3068  XXXX  96```
```01Dec  350K  1830  XXXX 191```
```01Dec  375K  1830  XXXX 205```
```01Dec  370K  1819  XXXX 203```
```01Dec  600K  2120  XXXX 283```
```20Nov  335K  1819  XXXX 184```
```31Oct  340K  1819  XXXX 187```
```15Oct  320K  1830  XXXX 175```
```03Oct  320K  1819  XXXX 176```
```03Oct  340K  1819  XXXX 187```
```25Sep  270K  2077  XXXX 130```
```30Aug  310K  1830  XXXX 169```
```29Aug  660K  2110  XXXX 313```
```01Aug  380K  2110  XXXX 180```
```25Jul  330K  2110  XXXX 156```
```09Jul  320K  1830  XXXX 175```
```05Jul  330K  2110  XXXX 156```
```01Jul  300K  1830  XXXX 164```
```01Jul  550K  3907  XXXX 141```
_Source: DLD, Databot_
_BUA - built-up area, sq.ft._
_P/sf - price per sq.ft._
_B - bedrooms; O - office_
_M - million, K- thousand_
_S - studio, R - shop_
_*20 latest contracts_
www.trydatabot.com</t>
  </si>
  <si>
    <t>1008819, *RESELL</t>
  </si>
  <si>
    <t>*RESELL*
*VS PRIMARY*
*BOULEVARD POINT*
_Area: Downtown_
_Type: 3 bedroom apartment_
*Price dynamics, Dirham/sq.ft.*
_(x - primary; * - resell)_
```4521|               *     *```
```    |                      ```
```    |             *  **  * ```
```    |           **     *   ```
```3321|                   *  ```
```    |              *       ```
```    |       x  x           ```
```    |     x  x             ```
```    |         x            ```
```1526|      x               ```
```____|______________________```
```    |Dec1899        Nov2025```
_Source: see a table below_
*Latest resell transactions*
```Date   Price  BUA Type P/sf```
```------------2025-----------```
```25Nov  8.25M 1825 XX03 4521```
```13Nov   8.5M 2121 XX06 4008```
```13Oct   6.6M 2081 XX02 3172```
```23Sep   6.7M 1825 XX03 3671```
```10Sep     7M 1833 XX03 3819```
```25Aug  8.25M 2105 XX06 3919```
```29Jul   8.2M 1833 XX03 4474```
```02Jul     3M  977 XXXX 3071```
```29May     7M 1833 XX03 3819```
```10Apr   6.4M 1825 XX03 3507```
```27Mar  6.35M 1825 XX03 3479```
```08Jan   6.1M 1833 XX03 3328```
```------------2024-----------```
```19Dec   7.1M 1821 XX04 3899```
```17Dec  5.85M 1825 XX03 3205```
```05Dec     6M 1825 XX03 3288```
```21Nov  6.18M 1833 XX03 3372```
```15Nov     5M 2121 XX06 2357```
*Latest primary transactions*
```------------2022-----------```
```21Jan  5.82M 2121 XX06 2744```
```------------2021-----------```
```14Dec 5.103M 2764 XX02 1846```
```28Nov 4.961M 2090 XX02 2373```
```15Mar 4.885M 1829 XX04 2671```
```------------2020-----------```
```06Jan 5.968M 3910 XXXX 1526```
```------------2018-----------```
```08Jan 5.057M 2121 XX06 2384```
_Source: DLD, Databot_
_BUA - built-up area, sq.ft._
_P/sf - price per sq.ft._
_B - bedrooms; O - office_
_M - million, K- thousand_
_S - studio, R - shop_
www.trydatabot.com</t>
  </si>
  <si>
    <t>1008820, *SALES*</t>
  </si>
  <si>
    <t>*SALES*
*TRANSACTIONS (RESALE)**
*BOULEVARD POINT*
_Area: Downtown_
_Type: 4 bedroom apartment_
```Date   Price  BUA Type P/sf```
```------------2024-----------```
```22Jul  15.5M 2977 XX01 5207```
```------------2023-----------```
```19Sep 18.75M 5573 XXXX 3364```
```07Jun  16.5M 4543 XX02 3632```
```01Mar 10.75M 2925 XX02 3675```
```------------2022-----------```
```31Oct 10.67M 4543 XX02 2348```
```------------2021-----------```
```10Feb  4.95M 2977 XX01 1663```
_Source: DLD, Databot_
_BUA - built-up area, sq.ft._
_P/sf - price per sq.ft._
_B - bedrooms; O - office_
_M - million, K- thousand_
_S - studio, R - shop_
_*Max 30 latest transactions_
www.trydatabot.com</t>
  </si>
  <si>
    <t>1008821, *MARKET</t>
  </si>
  <si>
    <t>*MARKET*
*SNAPSHOT*
*BOULEVARD POINT*
_Area: Downtown_
_Type: 4 bedroom apartment_
*Price dynamics, Dirham/sq.ft.*
_(M - median value)_
```5207|                     *```
```    |                      ```
```    |                      ```
```    |                      ```
```    |                  **  ```
```3498|---------------------M```
```    |                    * ```
```    |                      ```
```    |                      ```
```    |                 *    ```
```1663|                *     ```
```____|______________________```
```    |Feb2021        Jul2024```
_Source: see table below_
*Latest sales transactions*
```Date   Price  BUA Type P/sf```
```------------2024-----------```
```22Jul  15.5M 2977 XX01 5207```
```------------2023-----------```
```19Sep 18.75M 5573 XXXX 3364```
```07Jun  16.5M 4543 XX02 3632```
```01Mar 10.75M 2925 XX02 3675```
```------------2022-----------```
```31Oct 10.67M 4543 XX02 2348```
```------------2021-----------```
```10Feb  4.95M 2977 XX01 1663```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</si>
  <si>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1008822, *NEW RE</t>
  </si>
  <si>
    <t>*NEW RENT*
*CONTRACTS**
_(renewals are not included)_
*BOULEVARD POINT*
_Area: Downtown_
_Type: 4 bedroom apartment_
```Date  Price   BUA  Type D/s```
```------------2025-----------```
```15Feb  750K  2982  XXXX 252```
```01Jan  850K  3541  XXXX 240```
```------------2023-----------```
```15Dec  753K  5576  XXXX 135```
```------------2022-----------```
```15Sep  435K  3541  XXXX 123```
```------------2021-----------```
```15Dec  500K  5576  XXXX  90```
```04Nov  355K  2928  XXXX 121```
```11Jul  425K  3541  XXXX 120```
```01Mar  310K  2982  XXXX 104```
```01Mar  310K  2982  XXXX 104```
```------------2020-----------```
```15Dec  440K  5576  XXXX  79```
```04Nov  355K  2928  XXXX 121```
_Source: DLD, Databot_
_BUA - built-up area, sq.ft._
_P/sf - price per sq.ft._
_B - bedrooms; O - office_
_M - million, K- thousand_
_S - studio, R - shop_
_*20 latest contracts_
www.trydatabot.com</t>
  </si>
  <si>
    <t>1008823, *RESELL</t>
  </si>
  <si>
    <t>*RESELL*
*VS PRIMARY*
*BOULEVARD POINT*
_Area: Downtown_
_Type: 4 bedroom apartment_
*Price dynamics, Dirham/sq.ft.*
_(x - primary; * - resell)_
```5207|                     *```
```    |                      ```
```    |                      ```
```    |                      ```
```3755|                  **  ```
```    |          x         * ```
```    |                      ```
```    |                      ```
```    |                 *    ```
```1581|         x      *     ```
```____|______________________```
```    |Dec1899        Jul2024```
_Source: see a table below_
*Latest resell transactions*
```Date   Price  BUA Type P/sf```
```------------2024-----------```
```22Jul  15.5M 2977 XX01 5207```
```------------2023-----------```
```19Sep 18.75M 5573 XXXX 3364```
```07Jun  16.5M 4543 XX02 3632```
```01Mar 10.75M 2925 XX02 3675```
```------------2022-----------```
```31Oct 10.67M 4543 XX02 2348```
```------------2021-----------```
```10Feb  4.95M 2977 XX01 1663```
*Latest primary transactions*
```------------2023-----------```
```02Aug 9.971M 2925 XX02 3409```
```------------2020-----------```
```26Jan 8.812M 5573 XXXX 1581```
_Source: DLD, Databot_
_BUA - built-up area, sq.ft._
_P/sf - price per sq.ft._
_B - bedrooms; O - office_
_M - million, K- thousand_
_S - studio, R - shop_
www.trydatabot.com</t>
  </si>
  <si>
    <t>1008824, *SALES*</t>
  </si>
  <si>
    <t>*SALES*
*TRANSACTIONS**
*BOULEVARD POINT*
_Area: Downtown_
_Type: 5 bedroom apartment_
```Date   Price  BUA Type P/sf```
```------------2026-----------```
```08Jan    20M 4044 XX03 4946```
```------------2024-----------```
```19Feb  16.4M 4044 XX03 4055```
```------------2018-----------```
```11Oct 8.084M 4044 XX03 1999```
_Source: DLD, Databot_
_BUA - built-up area, sq.ft._
_P/sf - price per sq.ft._
_B - bedrooms; O - office_
_M - million, K- thousand_
_S - studio, R - shop_
_*Max 30 latest transactions_
www.trydatabot.com</t>
  </si>
  <si>
    <t>1008825, *MARKET</t>
  </si>
  <si>
    <t>*MARKET*
*SNAPSHOT*
*BOULEVARD POINT*
_Area: Downtown_
_Type: 5 bedroom apartment_
*Price dynamics, Dirham/sq.ft.*
_(M - median value)_
```4946|                     *```
```    |                      ```
```    |                      ```
```4055|---------------------M```
```    |                    * ```
```    |                      ```
```    |                      ```
```    |                      ```
```    |                      ```
```    |                      ```
```1999|                   *  ```
```____|______________________```
```    |Oct2018        Jan2026```
_Source: see table below_
*Latest sales transactions*
```Date   Price  BUA Type P/sf```
```------------2026-----------```
```08Jan    20M 4044 XX03 4946```
```------------2024-----------```
```19Feb  16.4M 4044 XX03 4055```
```------------2018-----------```
```11Oct 8.084M 4044 XX03 1999```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</si>
  <si>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1008826, *NEW RE</t>
  </si>
  <si>
    <t>*NEW RENT*
*CONTRACTS**
_(renewals are not included)_
*BOULEVARD POINT*
_Area: Downtown_
_Type: 5 bedroom apartment_
```Date  Price   BUA  Type D/s```
```------------2025-----------```
```01Sep  900K  4047  XXXX 222```
```------------2022-----------```
```15Nov    1M  4047  XXXX 247```
```------------2021-----------```
```01Sep  880K  4047  XXXX 217```
_Source: DLD, Databot_
_BUA - built-up area, sq.ft._
_P/sf - price per sq.ft._
_B - bedrooms; O - office_
_M - million, K- thousand_
_S - studio, R - shop_
_*20 latest contracts_
www.trydatabot.com</t>
  </si>
  <si>
    <t>1008852, *NEW RE</t>
  </si>
  <si>
    <t>*NEW RENT*
*CONTRACTS**
_(renewals are not included)_
*BOULEVARD POINT*
_Area: Downtown_
_All types/bedrooms_
```Date    Price   BUA Type  B```
```------------2026-----------```
```15Jan    160K   936 XXXX  1```
```10Jan    195K  1442 XXXX  1```
```01Jan    365K  2357 XXXX  3```
```------------2025-----------```
```25Dec    295K  3068 XXXX  3```
```22Dec    145K   775 XXXX  1```
```15Dec    120K   797 XXXX  1```
```13Dec    150K   926 XXXX  1```
```05Dec    150K   775 XXXX  1```
```05Dec    135K   926 XXXX  1```
```05Dec    270K  1367 XXXX  2```
```01Dec    350K  1830 XXXX  3```
```01Dec    375K  1830 XXXX  3```
```01Dec    150K   926 XXXX  1```
```01Dec    370K  1819 XXXX  3```
```01Dec    600K  2120 XXXX  3```
```01Dec     50K  1464 XXXX  2```
```27Nov    150K   926 XXXX  1```
```24Nov    285K  1367 XXXX  2```
```21Nov    240K  1453 XXXX  2```
```20Nov    125K  1367 XXXX  1```
_Source: DLD, Databot_
_BUA - built-up area, sq.ft._
_P/sf - price per sq.ft._
_B - bedrooms; O - office_
_M - million, K- thousand_
_S - studio, R - shop_
_*20 latest contracts_
www.trydatabot.com</t>
  </si>
  <si>
    <t>1008853, *SALES*</t>
  </si>
  <si>
    <t>*SALES*
*TRANSACTIONS (RESALE)**
*BOULEVARD POINT*
_Area: Downtown_
_All types/bedrooms_
```Date    Price   BUA  Type B```
```------------2026-----------```
```13Jan   2.15M   928  XX01 1```
```08Jan     20M  4044  XX03 5```
```------------2025-----------```
```30Dec    4.6M  1923  XX02 2```
```04Dec    2.1M   933  XXXX 1```
```25Nov   8.25M  1825  XX03 3```
```13Nov    8.5M  2121  XX06 3```
```06Nov   2.05M   795  XXXX 1```
```13Oct    6.6M  2081  XX02 3```
```09Oct   2.65M   980  XX04 1```
```23Sep    6.7M  1825  XX03 3```
```17Sep    2.1M   933  XX12 1```
```17Sep    2.1M   933  XXXX 1```
```10Sep   2.53M   865  XX08 1```
```10Sep      7M  1833  XX03 3```
```25Aug   8.25M  2105  XX06 3```
```13Aug   2.32M   930  XX01 1```
```31Jul    4.9M  1916  XX02 2```
```31Jul    2.7M   773  XXXX 1```
```29Jul    8.2M  1833  XX03 3```
```29Jul    2.5M   975  XXXX 1```
```24Jul   4.95M  1363  XXXX 2```
```22Jul   2.48M   773  XXXX 1```
```21Jul   2.45M   773  XXXX 1```
```17Jul    2.6M   985  XX05 1```
```16Jul   2.65M   983  XXXX 1```
```15Jul   2.35M   975  XXXX 1```
```08Jul  3.232M  1332  XX13 2```
```03Jul   2.55M   796  XXXX 1```
```02Jul   2.97M   917  XXXX 1```
```02Jul      3M   977  XXXX 3```
_Source: DLD, Databot_
_BUA - built-up area, sq.ft._
_P/sf - price per sq.ft._
_B - bedrooms; O - office_
_M - million, K- thousand_
_S - studio, R - shop_
_*Max 30 latest transactions_
www.trydatabot.com</t>
  </si>
  <si>
    <t>1008854, Boulevard Point, BLVD Point, Bolevard Point, *BUILDI</t>
  </si>
  <si>
    <t xml:space="preserve">*BUILDING*
*PROFILE*
*BOULEVARD POINT*
_Area: Downtown_
_Tap&amp;hold to copy a reply_
```-------------------------```
```Report              Reply```
```-------------------------```
*1 B/R*
```Resell, ROI       1008808```
```Primary sales     1008856```
```Price chart       1008809```
```Rentals           1008810```
```Appreciation      1008811```
*2 B/R*
```Resell, ROI       1008812```
```Primary sales     1008857```
```Price chart       1008813```
```Rentals           1008814```
```Appreciation      1008815```
*3 B/R*
```Resell, ROI       1008816```
```Primary sales     1008858```
```Price chart       1008817```
```Rentals           1008818```
```Appreciation      1008819```
*4 B/R*
```Resell, ROI       1008820```
```Primary sales     1008859```
```Price chart       1008821```
```Rentals           1008822```
```Appreciation      1008823```
*5 B/R*
```Sales, ROI        1008824```
```Price chart       1008825```
```Rentals           1008826```
*All types/bedrooms*
```Resell, ROI       1008853```
```Primary sales     1008867```
```Rentals           1008852```
</t>
  </si>
  <si>
    <t>1008856, *SALES*</t>
  </si>
  <si>
    <t>*SALES*
*TRANSACTIONS (PRIMARY)**
*BOULEVARD POINT*
_Area: Downtown_
_Type: 1 bedroom apartment_
```Date   Price  BUA Type P/sf```
```------------2023-----------```
```22Feb 2.046M  865 XX08 2365```
```22Feb 1.926M  933 XXXX 2064```
```------------2022-----------```
```06Apr 1.967M  773 XXXX 2544```
```30Mar 1.667M  795 XXXX 2097```
```31Jan 1.627M  795 XXXX 2046```
```13Jan 1.927M  773 XXXX 2493```
```03Jan  2.71M  996 XX03 2721```
```------------2021-----------```
```08Dec  1.99M  930 XX01 2140```
```07Oct 1.645M  795 XXXX 2069```
```21Sep 2.701M  993 XX04 2720```
```28Jul 2.031M  928 XX01 2188```
```27Apr 2.323M  983 XX06 2363```
```18Feb 2.445M  983 XX05 2487```
```------------2020-----------```
```24Nov 1.412M  796 XXXX 1774```
```12Oct 1.706M  866 XX00 1970```
```12Oct 1.608M  933 XX10 1723```
```03Sep 1.411M  795 XXXX 1775```
```11Aug  1.71M  866 XX00 1974```
```02Jul  1.42M  796 XXXX 1784```
```11Mar 1.448M  795 XXXX 1821```
_Source: DLD, Databot_
_BUA - built-up area, sq.ft._
_P/sf - price per sq.ft._
_B - bedrooms; O - office_
_M - million, K- thousand_
_S - studio, R - shop_
_*Max 20 latest transactions_
www.trydatabot.com</t>
  </si>
  <si>
    <t>1008857, *SALES*</t>
  </si>
  <si>
    <t>*SALES*
*TRANSACTIONS (PRIMARY)**
*BOULEVARD POINT*
_Area: Downtown_
_Type: 2 bedroom apartment_
```Date   Price  BUA Type P/sf```
```------------2021-----------```
```24Oct 3.504M 1417 XX02 2473```
```04Oct 3.686M 1433 XX02 2572```
```18Aug 3.388M 1400 XX05 2420```
```11Jul 2.186M 1332 XXXX 1641```
```06May 4.023M 1494 XX07 2693```
```29Mar 3.449M 1414 XX02 2439```
```------------2020-----------```
```25Nov 3.388M 1400 XX05 2420```
```15Nov 3.371M 1457 XX04 2314```
```25Aug 3.351M 1414 XX02 2370```
```20Aug 2.375M 2005 XX03 1185```
```09Apr   3.6M 1399 XX05 2573```
```------------2019-----------```
```18Dec 3.374M 1363 XX05 2475```
```24Oct 2.186M 1332 XXXX 1641```
```13Oct 2.182M 1332 XXXX 1638```
```07Oct 2.167M 1332 XXXX 1627```
```16Sep 3.251M 1448 XX03 2245```
```04Sep 2.174M 1332 XXXX 1632```
```03Sep 2.162M 1332 XXXX 1623```
```03Sep 2.191M 1332 XXXX 1645```
```03Sep 2.174M 1332 XXXX 1632```
_Source: DLD, Databot_
_BUA - built-up area, sq.ft._
_P/sf - price per sq.ft._
_B - bedrooms; O - office_
_M - million, K- thousand_
_S - studio, R - shop_
_*Max 20 latest transactions_
www.trydatabot.com</t>
  </si>
  <si>
    <t>1008858, *SALES*</t>
  </si>
  <si>
    <t>*SALES*
*TRANSACTIONS (PRIMARY)**
*BOULEVARD POINT*
_Area: Downtown_
_Type: 3 bedroom apartment_
```Date   Price  BUA Type P/sf```
```------------2022-----------```
```21Jan  5.82M 2121 XX06 2744```
```------------2021-----------```
```14Dec 5.103M 2764 XX02 1846```
```28Nov 4.961M 2090 XX02 2373```
```15Mar 4.885M 1829 XX04 2671```
```------------2020-----------```
```06Jan 5.968M 3910 XXXX 1526```
```------------2018-----------```
```08Jan 5.057M 2121 XX06 2384```
_Source: DLD, Databot_
_BUA - built-up area, sq.ft._
_P/sf - price per sq.ft._
_B - bedrooms; O - office_
_M - million, K- thousand_
_S - studio, R - shop_
_*Max 20 latest transactions_
www.trydatabot.com</t>
  </si>
  <si>
    <t>1008859, *SALES*</t>
  </si>
  <si>
    <t>*SALES*
*TRANSACTIONS (PRIMARY)**
*BOULEVARD POINT*
_Area: Downtown_
_Type: 4 bedroom apartment_
```Date   Price  BUA Type P/sf```
```------------2023-----------```
```02Aug 9.971M 2925 XX02 3409```
```------------2020-----------```
```26Jan 8.812M 5573 XXXX 1581```
_Source: DLD, Databot_
_BUA - built-up area, sq.ft._
_P/sf - price per sq.ft._
_B - bedrooms; O - office_
_M - million, K- thousand_
_S - studio, R - shop_
_*Max 20 latest transactions_
www.trydatabot.com</t>
  </si>
  <si>
    <t>1008867, *SALES*</t>
  </si>
  <si>
    <t>*SALES*
*TRANSACTIONS (PRIMARY)**
*BOULEVARD POINT*
_Area: Downtown_
_All types/bedrooms_
```Date    Price   BUA  Type B```
```------------2023-----------```
```02Aug  9.971M  2925  XX02 4```
```22Feb  2.046M   865  XX08 1```
```22Feb  1.926M   933  XXXX 1```
```------------2022-----------```
```06Apr  1.967M   773  XXXX 1```
```30Mar  1.667M   795  XXXX 1```
```31Jan  1.627M   795  XXXX 1```
```21Jan   5.82M  2121  XX06 3```
```13Jan  1.927M   773  XXXX 1```
```03Jan   2.71M   996  XX03 1```
```------------2021-----------```
```14Dec  5.103M  2764  XX02 3```
```08Dec   1.99M   930  XX01 1```
```28Nov  4.961M  2090  XX02 3```
```24Oct  3.504M  1417  XX02 2```
```07Oct  1.645M   795  XXXX 1```
```04Oct  3.686M  1433  XX02 2```
```21Sep  2.701M   993  XX04 1```
```18Aug  3.388M  1400  XX05 2```
```28Jul  2.031M   928  XX01 1```
```11Jul  2.186M  1332  XXXX 2```
```06May  4.023M  1494  XX07 2```
_Source: DLD, Databot_
_BUA - built-up area, sq.ft._
_P/sf - price per sq.ft._
_B - bedrooms; O - office_
_M - million, K- thousand_
_S - studio, R - shop_
_*Max 20 latest transactions_
www.trydatabot.com</t>
  </si>
  <si>
    <t>1008872, *SALES*</t>
  </si>
  <si>
    <r>
      <rPr/>
      <t xml:space="preserve">*SALES*
*TRANSACTIONS (RESALE)**
*BURJ CROWN*
_Area: Downtown_
_Type: 1 bedroom apartment_
_Gross ROI=5.91%_
_Median annual rent=120K_
```Date   Price  BUA Type P/sf```
```------------2026-----------```
```20Jan   2.1M  578 XXXX 3633```
```19Jan   2.3M  648 XX06 3549```
```19Jan   2.3M  585 XXXX 3932```
```08Jan   1.8M  585 XXXX 3077```
```08Jan  1.85M  648 XX06 2855```
```08Jan   1.8M  585 XXXX 3077```
```------------2025-----------```
```27Nov     2M  578 XXXX 3460```
```03Jun  2.15M  618 XXXX 3479```
```05Feb  1.75M  578 XXXX 3028```
```04Feb     2M  578 XXXX 3460```
```------------2024-----------```
```16Dec  2.25M  638 XXXX 3527```
```09Dec   1.7M  578 XXXX 2941```
```18Nov  1.86M  578 XXXX 3218```
```08Nov   2.3M  638 XXXX 3605```
```09Oct 1.432M  638 XXXX 2244```
```22Jul  2.35M  578 XXXX 4066```
```19Jul   1.9M  648 XX06 2932```
```16Jul  2.25M  638 XXXX 3527```
```04Jul  1.83M  578 XXXX 3166```
```29Apr   1.9M  606 XXXX 3135```
```18Apr  1.85M  585 XXXX 3162```
```04Apr  1.76M  578 XXXX 3045```
```27Mar  1.77M  585 XXXX 3026```
```26Mar  2.18M  648 XXXX 3364```
```27Feb     2M  618 XXXX 3236```
```19Feb     2M  638 XXXX 3135```
```------------2023-----------```
```28Dec  1.85M  585 XXXX 3162```
```21Dec  1.85M  578 XXXX 3201```
```21Dec  1.85M  578 XXXX 3201```
```20Dec  1.85M  578 XXXX 3201```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</si>
  <si>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Burj Crown</t>
  </si>
  <si>
    <t>1008873, *MARKET</t>
  </si>
  <si>
    <t>*MARKET*
*SNAPSHOT*
*BURJ CROWN*
_Area: Downtown_
_Type: 1 bedroom apartment_
*Price dynamics, Dirham/sq.ft.*
_(M - median value)_
```4066|      *               ```
```    |                   *  ```
```    |                     *```
```    |    *   *  ** **    * ```
```    |                      ```
```3192|---------------------M```
```    | ***     *      * *   ```
```    |*    *    *  *        ```
```    |                 *    ```
```    |                      ```
```2244|       *              ```
```____|______________________```
```    |Apr2024        Jan2026```
_Source: see table below_
*Latest sales transactions*
```Date   Price  BUA Type P/sf```
```------------2026-----------```
```20Jan   2.1M  578 XXXX 3633```
```19Jan   2.3M  648 XX06 3549```
```19Jan   2.3M  585 XXXX 3932```
```08Jan   1.8M  585 XXXX 3077```
```08Jan  1.85M  648 XX06 2855```
```08Jan   1.8M  585 XXXX 3077```
```------------2025-----------```
```27Nov     2M  578 XXXX 3460```
```03Jun  2.15M  618 XXXX 3479```
```05Feb  1.75M  578 XXXX 3028```
```04Feb     2M  578 XXXX 3460```
```------------2024-----------```
```16Dec  2.25M  638 XXXX 3527```
```09Dec   1.7M  578 XXXX 2941```
```18Nov  1.86M  578 XXXX 3218```
```08Nov   2.3M  638 XXXX 3605```
```09Oct 1.432M  638 XXXX 2244```
```22Jul  2.35M  578 XXXX 4066```
```19Jul   1.9M  648 XX06 2932```
```16Jul  2.25M  638 XXXX 3527```
```04Jul  1.83M  578 XXXX 3166```
```29Apr   1.9M  606 XXXX 3135```
```18Apr  1.85M  585 XXXX 3162```
```04Apr  1.76M  578 XXXX 3045```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</si>
  <si>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1008874, *NEW RE</t>
  </si>
  <si>
    <t>*NEW RENT*
*CONTRACTS**
_(renewals are not included)_
*BURJ CROWN*
_Area: Downtown_
_Type: 1 bedroom apartment_
```Date  Price   BUA  Type D/s```
```------------2026-----------```
```15Jan  115K   581  XXXX 198```
```09Jan  110K   635  XXXX 173```
```07Jan  135K   614  XXXX 220```
```------------2025-----------```
```31Dec  127K   635  XXXX 199```
```01Dec  145K   581  XXXX 250```
```01Dec  125K   581  XXXX 215```
```26Nov  135K   581  XXXX 232```
```15Nov  120K   581  XXXX 207```
```01Nov  125K   635  XXXX 197```
```15Oct  145K   581  XXXX 250```
```01Oct  130K   635  XXXX 205```
```06Sep  120K   614  XXXX 195```
```01Sep  105K   635  XXXX 165```
```23Aug  100K   603  XXXX 166```
```23Aug  100K   624  XXXX 160```
```23Aug  105K   581  XXXX 181```
```22Aug  130K   635  XXXX 205```
```21Aug  110K   635  XXXX 173```
```03Aug  120K   635  XXXX 189```
```01Aug  110K   635  XXXX 173```
_Source: DLD, Databot_
_BUA - built-up area, sq.ft._
_P/sf - price per sq.ft._
_B - bedrooms; O - office_
_M - million, K- thousand_
_S - studio, R - shop_
_*20 latest contracts_
www.trydatabot.com</t>
  </si>
  <si>
    <t>1008875, *RESELL</t>
  </si>
  <si>
    <t>*RESELL*
*VS PRIMARY*
*BURJ CROWN*
_Area: Downtown_
_Type: 1 bedroom apartment_
*Price dynamics, Dirham/sq.ft.*
_(x - primary; * - resell)_
```3932|                   *  ```
```    |                     *```
```    |           ** **    * ```
```    |                      ```
```3068|             *  * *   ```
```    |                 *    ```
```    |         x            ```
```    |    x                 ```
```    |x x       x           ```
```1768| x x xxxx             ```
```____|______________________```
```    |Sep2020        Jan2026```
_Source: see a table below_
*Latest resell transactions*
```Date   Price  BUA Type P/sf```
```------------2026-----------```
```20Jan   2.1M  578 XXXX 3633```
```19Jan   2.3M  648 XX06 3549```
```19Jan   2.3M  585 XXXX 3932```
```08Jan   1.8M  585 XXXX 3077```
```08Jan  1.85M  648 XX06 2855```
```08Jan   1.8M  585 XXXX 3077```
```------------2025-----------```
```27Nov     2M  578 XXXX 3460```
```03Jun  2.15M  618 XXXX 3479```
```05Feb  1.75M  578 XXXX 3028```
```04Feb     2M  578 XXXX 3460```
```------------2024-----------```
```16Dec  2.25M  638 XXXX 3527```
```09Dec   1.7M  578 XXXX 2941```
```18Nov  1.86M  578 XXXX 3218```
```08Nov   2.3M  638 XXXX 3605```
```09Oct 1.432M  638 XXXX 2244```
```22Jul  2.35M  578 XXXX 4066```
*Latest primary transactions*
```------------2022-----------```
```09Dec 1.423M  637 XXXX 2234```
```01Sep 1.747M  637 XXXX 2742```
```19May 1.024M  578 XXXX 1771```
```19May 1.022M  578 XXXX 1768```
```10May 1.022M  578 XXXX 1768```
```22Mar 1.214M  618 XXXX 1964```
```------------2021-----------```
```25Aug 1.404M  578 XXXX 2429```
```------------2020-----------```
```06Dec 1.024M  578 XXXX 1771```
```06Dec 1.423M  637 XXXX 2234```
```29Nov 1.022M  578 XXXX 1768```
```27Sep 1.338M  622 XXXX 2151```
```24Sep 1.412M  637 XXXX 2216```
```24Sep 1.098M  578 XXXX 1899```
_Source: DLD, Databot_
_BUA - built-up area, sq.ft._
_P/sf - price per sq.ft._
_B - bedrooms; O - office_
_M - million, K- thousand_
_S - studio, R - shop_
www.trydatabot.com</t>
  </si>
  <si>
    <t>1008876, *SALES*</t>
  </si>
  <si>
    <t>*SALES*
*TRANSACTIONS (RESALE)**
*BURJ CROWN*
_Area: Downtown_
_Type: 2 bedroom apartment_
_Gross ROI=6.72%_
_Median annual rent=189K_
```Date   Price  BUA Type P/sf```
```------------2026-----------```
```19Jan  3.15M 1085 XXXX 2903```
```08Jan   2.6M 1085 XXXX 2396```
```08Jan  2.65M 1085 XXXX 2442```
```08Jan   2.6M 1084 XXXX 2399```
```07Jan   2.7M 1010 XX11 2673```
```------------2025-----------```
```17Nov  3.06M 1010 XX11 3030```
```22Oct  2.83M 1072 XXXX 2640```
```17Oct  3.05M 1085 XXXX 2811```
```21Aug  2.94M 1005 XX01 2925```
```25Jun   2.7M 1071 XXXX 2521```
```27May  2.93M 1005 XX01 2915```
```22May  2.88M 1004 XX11 2869```
```08Apr   2.7M 1004 XX11 2689```
```08Apr   2.8M 1005 XX01 2786```
```20Mar  2.85M  992 XX05 2873```
```06Feb  2.55M 1004 XX11 2540```
```05Feb  3.05M 1072 XXXX 2845```
```04Feb     3M 1072 XXXX 2799```
```30Jan  3.62M 1072 XXXX 3377```
```24Jan  2.85M 1005 XX01 2836```
```07Jan  2.96M 1084 XXXX 2731```
```------------2024-----------```
```09Dec     3M 1071 XXXX 2801```
```04Dec  2.73M 1072 XXXX 2547```
```28Nov  2.88M 1084 XXXX 2657```
```21Nov  2.75M 1010 XX11 2723```
```15Nov   2.9M 1005 XX01 2886```
```14Nov   2.9M 1005 XX01 2886```
```11Nov  2.85M 1011 XX01 2819```
```28Oct 2.695M 1005 XX01 2682```
```22Oct  2.75M 1005 XX01 2736```
_Source: DLD, Databot_
_BUA - built-up area, sq.ft._
_P/sf - price per sq.ft._
_B - bedrooms; O - office_
_M - million, K- thousand_
_S - studio, R - shop_
_*Max 30 latest transactions_
www.trydatabot.com</t>
  </si>
  <si>
    <t>1008877, *MARKET</t>
  </si>
  <si>
    <t>*MARKET*
*SNAPSHOT*
*BURJ CROWN*
_Area: Downtown_
_Type: 2 bedroom apartment_
*Price dynamics, Dirham/sq.ft.*
_(M - median value)_
```3377|   *                  ```
```    |                      ```
```    |                      ```
```    |                      ```
```    |                *     ```
```    |     * *  ** *       *```
```2800|---------------------M```
```    |* * *   *     *       ```
```    | *       *       *    ```
```    |      *     *  *      ```
```2396|                  *** ```
```____|______________________```
```    |Dec2024        Jan2026```
_Source: see table below_
*Latest sales transactions*
```Date   Price  BUA Type P/sf```
```------------2026-----------```
```19Jan  3.15M 1085 XXXX 2903```
```08Jan   2.6M 1085 XXXX 2396```
```08Jan  2.65M 1085 XXXX 2442```
```08Jan   2.6M 1084 XXXX 2399```
```07Jan   2.7M 1010 XX11 2673```
```------------2025-----------```
```17Nov  3.06M 1010 XX11 3030```
```22Oct  2.83M 1072 XXXX 2640```
```17Oct  3.05M 1085 XXXX 2811```
```21Aug  2.94M 1005 XX01 2925```
```25Jun   2.7M 1071 XXXX 2521```
```27May  2.93M 1005 XX01 2915```
```22May  2.88M 1004 XX11 2869```
```08Apr   2.7M 1004 XX11 2689```
```08Apr   2.8M 1005 XX01 2786```
```20Mar  2.85M  992 XX05 2873```
```06Feb  2.55M 1004 XX11 2540```
```05Feb  3.05M 1072 XXXX 2845```
```04Feb     3M 1072 XXXX 2799```
```30Jan  3.62M 1072 XXXX 3377```
```24Jan  2.85M 1005 XX01 2836```
```07Jan  2.96M 1084 XXXX 2731```
```------------2024-----------```
```09Dec     3M 1071 XXXX 2801```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</si>
  <si>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1008878, *NEW RE</t>
  </si>
  <si>
    <t>*NEW RENT*
*CONTRACTS**
_(renewals are not included)_
*BURJ CROWN*
_Area: Downtown_
_Type: 2 bedroom apartment_
```Date  Price   BUA  Type D/s```
```------------2026-----------```
```10Jan  175K  1076  XXXX 163```
```------------2025-----------```
```15Dec  180K  1076  XXXX 167```
```07Dec  220K  1076  XXXX 204```
```05Dec  230K   990  XXXX 232```
```01Dec  190K  1076  XXXX 177```
```01Dec  180K  1076  XXXX 167```
```27Nov  170K  1076  XXXX 158```
```26Nov  195K  1087  XXXX 179```
```18Nov  300K  1076  XXXX 279```
```17Nov  178K  1001  XXXX 177```
```13Nov  194K  1001  XXXX 194```
```10Nov  189K  1076  XXXX 176```
```06Nov  150K   990  XXXX 152```
```05Nov  190K  1076  XXXX 177```
```16Oct  195K  1012  XXXX 193```
```02Oct  190K  1001  XXXX 190```
```01Oct  175K  1076  XXXX 163```
```01Oct  180K  1076  XXXX 167```
```01Oct  189K  1076  XXXX 176```
```01Oct  170K  1076  XXXX 158```
_Source: DLD, Databot_
_BUA - built-up area, sq.ft._
_P/sf - price per sq.ft._
_B - bedrooms; O - office_
_M - million, K- thousand_
_S - studio, R - shop_
_*20 latest contracts_
www.trydatabot.com</t>
  </si>
  <si>
    <t>1008879, *RESELL</t>
  </si>
  <si>
    <t>*RESELL*
*VS PRIMARY*
*BURJ CROWN*
_Area: Downtown_
_Type: 2 bedroom apartment_
*Price dynamics, Dirham/sq.ft.*
_(x - primary; * - resell)_
```3030|                *     ```
```    |           * *       *```
```    |              *       ```
```    |               * *    ```
```2494|xxxx    xx  *      *  ```
```    |                  * * ```
```    |     xx               ```
```    |       x              ```
```    |    x                 ```
```1689|          x           ```
```____|______________________```
```    |Jul2022        Jan2026```
_Source: see a table below_
*Latest resell transactions*
```Date   Price  BUA Type P/sf```
```------------2026-----------```
```19Jan  3.15M 1085 XXXX 2903```
```08Jan   2.6M 1085 XXXX 2396```
```08Jan  2.65M 1085 XXXX 2442```
```08Jan   2.6M 1084 XXXX 2399```
```07Jan   2.7M 1010 XX11 2673```
```------------2025-----------```
```17Nov  3.06M 1010 XX11 3030```
```22Oct  2.83M 1072 XXXX 2640```
```17Oct  3.05M 1085 XXXX 2811```
```21Aug  2.94M 1005 XX01 2925```
```25Jun   2.7M 1071 XXXX 2521```
```27May  2.93M 1005 XX01 2915```
```22May  2.88M 1004 XX11 2869```
```08Apr   2.7M 1004 XX11 2689```
```08Apr   2.8M 1005 XX01 2786```
```20Mar  2.85M  992 XX05 2873```
```06Feb  2.55M 1004 XX11 2540```
```05Feb  3.05M 1072 XXXX 2845```
*Latest primary transactions*
```------------2024-----------```
```01Oct 1.696M 1004 XX11 1689```
```16Jan  2.68M 1072 XXXX 2500```
```------------2023-----------```
```20Jul 2.637M 1061 XXXX 2485```
```08Jun   2.1M  994 XX11 2113```
```25Apr 2.197M  998 XX01 2201```
```25Apr 2.215M  994 XX11 2228```
```03Feb     2M  998 XX01 2004```
```------------2022-----------```
```26Sep 2.674M 1061 XXXX 2520```
```22Jul 2.415M  966 XXXX 2500```
```22Jul 2.508M 1029 XXXX 2437```
```21Jul 2.508M 1029 XXXX 2437```
```21Jul 2.419M  967 XXXX 2501```
```28Jun 2.486M  988 XXXX 2516```
_Source: DLD, Databot_
_BUA - built-up area, sq.ft._
_P/sf - price per sq.ft._
_B - bedrooms; O - office_
_M - million, K- thousand_
_S - studio, R - shop_
www.trydatabot.com</t>
  </si>
  <si>
    <t>1008880, *SALES*</t>
  </si>
  <si>
    <t>*SALES*
*TRANSACTIONS (RESALE)**
*BURJ CROWN*
_Area: Downtown_
_Type: 3 bedroom apartment_
_Gross ROI=6.5%_
_Median annual rent=260K_
```Date   Price  BUA Type P/sf```
```------------2026-----------```
```14Jan  3.95M 1356 XXXX 2913```
```------------2025-----------```
```05Nov   4.1M 1356 XXXX 3024```
```23Oct   4.3M 1356 XXXX 3171```
```08Oct     4M 1356 XXXX 2950```
```07Oct     4M 1356 XXXX 2950```
```30Sep   3.9M 1356 XXXX 2876```
```18Sep   3.6M 1356 XXXX 2655```
```18Sep   3.6M 1356 XXXX 2655```
```04Sep   3.6M 1356 XXXX 2655```
```04Sep   3.6M 1356 XXXX 2655```
```01Sep   3.6M 1356 XXXX 2655```
```01Sep   3.6M 1356 XXXX 2655```
```29Aug 3.825M 1362 XXXX 2808```
```25Aug     4M 1356 XXXX 2950```
```10Jul  4.25M 1356 XXXX 3134```
```10Jul  4.25M 1356 XXXX 3134```
```10Jul  4.25M 1356 XXXX 3134```
```10Jul  4.25M 1356 XXXX 3134```
```18Jun   3.5M 1356 XXXX 2581```
```02Jun  4.35M 1356 XXXX 3208```
```30May     4M 1356 XXXX 2950```
```08Apr  4.05M 1356 XXXX 2987```
```11Feb  4.25M 1356 XXXX 3134```
```04Feb  4.25M 1356 XXXX 3134```
```------------2024-----------```
```25Nov   3.9M 1356 XXXX 2876```
```20Nov   3.9M 1362 XXXX 2863```
```20Nov   3.9M 1362 XX05 2863```
```15Nov 3.925M 1362 XX05 2882```
```07Nov  3.85M 1362 XX05 2827```
```05Nov  3.39M 1356 XXXX 2500```
_Source: DLD, Databot_
_BUA - built-up area, sq.ft._
_P/sf - price per sq.ft._
_B - bedrooms; O - office_
_M - million, K- thousand_
_S - studio, R - shop_
_*Max 30 latest transactions_
www.trydatabot.com</t>
  </si>
  <si>
    <t>1008881, *MARKET</t>
  </si>
  <si>
    <t>*MARKET*
*SNAPSHOT*
*BURJ CROWN*
_Area: Downtown_
_Type: 3 bedroom apartment_
*Price dynamics, Dirham/sq.ft.*
_(M - median value)_
```3208|  *                   ```
```    |    ****           *  ```
```    |                      ```
```    |                    * ```
```2950|---------------------M```
```    |**      *        **   ```
```    |                *    *```
```    |         *            ```
```    |                      ```
```    |          ******      ```
```2581|   *                  ```
```____|______________________```
```    |Apr2025        Jan2026```
_Source: see table below_
*Latest sales transactions*
```Date   Price  BUA Type P/sf```
```------------2026-----------```
```14Jan  3.95M 1356 XXXX 2913```
```------------2025-----------```
```05Nov   4.1M 1356 XXXX 3024```
```23Oct   4.3M 1356 XXXX 3171```
```08Oct     4M 1356 XXXX 2950```
```07Oct     4M 1356 XXXX 2950```
```30Sep   3.9M 1356 XXXX 2876```
```18Sep   3.6M 1356 XXXX 2655```
```18Sep   3.6M 1356 XXXX 2655```
```04Sep   3.6M 1356 XXXX 2655```
```04Sep   3.6M 1356 XXXX 2655```
```01Sep   3.6M 1356 XXXX 2655```
```01Sep   3.6M 1356 XXXX 2655```
```29Aug 3.825M 1362 XXXX 2808```
```25Aug     4M 1356 XXXX 2950```
```10Jul  4.25M 1356 XXXX 3134```
```10Jul  4.25M 1356 XXXX 3134```
```10Jul  4.25M 1356 XXXX 3134```
```10Jul  4.25M 1356 XXXX 3134```
```18Jun   3.5M 1356 XXXX 2581```
```02Jun  4.35M 1356 XXXX 3208```
```30May     4M 1356 XXXX 2950```
```08Apr  4.05M 1356 XXXX 2987```
```11Feb  4.25M 1356 XXXX 3134```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</si>
  <si>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1008882, *NEW RE</t>
  </si>
  <si>
    <t>*NEW RENT*
*CONTRACTS**
_(renewals are not included)_
*BURJ CROWN*
_Area: Downtown_
_Type: 3 bedroom apartment_
```Date  Price   BUA  Type D/s```
```------------2025-----------```
```20Dec  250K  1356  XXXX 184```
```21Oct  280K  1356  XXXX 206```
```15Sep  260K  1356  XXXX 192```
```15Sep  220K  1356  XXXX 162```
```15Sep  225K  1636  XXXX 138```
```15Sep  260K  1356  XXXX 192```
```10Jul  245K  1356  XXXX 181```
```03Apr  245K  1356  XXXX 181```
```06Mar  270K  1356  XXXX 199```
```01Mar  280K  1367  XXXX 205```
```21Feb  250K  1356  XXXX 184```
```15Jan  300K  1356  XXXX 221```
```------------2024-----------```
```12Dec  300K  1356  XXXX 221```
```05Dec  270K  1356  XXXX 199```
```14Nov  255K  1356  XXXX 188```
```03Nov  300K  1356  XXXX 221```
```01Nov  250K  1356  XXXX 184```
```21Oct  275K  1356  XXXX 203```
```18Oct  200K  1356  XXXX 147```
```17Sep  320K  1356  XXXX 236```
_Source: DLD, Databot_
_BUA - built-up area, sq.ft._
_P/sf - price per sq.ft._
_B - bedrooms; O - office_
_M - million, K- thousand_
_S - studio, R - shop_
_*20 latest contracts_
www.trydatabot.com</t>
  </si>
  <si>
    <t>1008883, *RESELL</t>
  </si>
  <si>
    <t>*RESELL*
*VS PRIMARY*
*BURJ CROWN*
_Area: Downtown_
_Type: 3 bedroom apartment_
*Price dynamics, Dirham/sq.ft.*
_(x - primary; * - resell)_
```3171|        x          *  ```
```    |          x         * ```
```    |                ***  *```
```    |         x            ```
```2687|           *****      ```
```    |                      ```
```    |                      ```
```    |    x                 ```
```    |xxx    x              ```
```1958|   x xx               ```
```____|______________________```
```    |Dec2021        Jan2026```
_Source: see a table below_
*Latest resell transactions*
```Date   Price  BUA Type P/sf```
```------------2026-----------```
```14Jan  3.95M 1356 XXXX 2913```
```------------2025-----------```
```05Nov   4.1M 1356 XXXX 3024```
```23Oct   4.3M 1356 XXXX 3171```
```08Oct     4M 1356 XXXX 2950```
```07Oct     4M 1356 XXXX 2950```
```30Sep   3.9M 1356 XXXX 2876```
```18Sep   3.6M 1356 XXXX 2655```
```18Sep   3.6M 1356 XXXX 2655```
```04Sep   3.6M 1356 XXXX 2655```
```04Sep   3.6M 1356 XXXX 2655```
```01Sep   3.6M 1356 XXXX 2655```
```01Sep   3.6M 1356 XXXX 2655```
```29Aug 3.825M 1362 XXXX 2808```
```25Aug     4M 1356 XXXX 2950```
```10Jul  4.25M 1356 XXXX 3134```
```10Jul  4.25M 1356 XXXX 3134```
```10Jul  4.25M 1356 XXXX 3134```
*Latest primary transactions*
```------------2025-----------```
```02Apr 4.802M 1574 XX01 3051```
```05Mar 4.659M 1638 XX02 2844```
```------------2024-----------```
```26Dec 4.268M 1356 XXXX 3147```
```------------2023-----------```
```26Jul 3.027M 1355 XXXX 2234```
```------------2022-----------```
```30Aug 2.657M 1352 XXXX 1965```
```30Aug 2.647M 1352 XXXX 1958```
```14Jul 3.103M 1352 XXXX 2295```
```07Feb 2.728M 1352 XXXX 2018```
```06Jan  2.96M 1352 XXXX 2189```
```------------2021-----------```
```19Dec 3.029M 1352 XXXX 2240```
```19Dec 3.024M 1352 XXXX 2237```
_Source: DLD, Databot_
_BUA - built-up area, sq.ft._
_P/sf - price per sq.ft._
_B - bedrooms; O - office_
_M - million, K- thousand_
_S - studio, R - shop_
www.trydatabot.com</t>
  </si>
  <si>
    <t>1008902, *NEW RE</t>
  </si>
  <si>
    <t>*NEW RENT*
*CONTRACTS**
_(renewals are not included)_
*BURJ CROWN*
_Area: Downtown_
_Type: _
```Date  Price   BUA  Type D/s```
```------------2025-----------```
```22Apr  286K  1087  XXXX 263```
```------------2024-----------```
```18Apr  215K  1302  XXXX 165```
```------------2023-----------```
```10Dec  169K  1087  XXXX 156```
_Source: DLD, Databot_
_BUA - built-up area, sq.ft._
_P/sf - price per sq.ft._
_B - bedrooms; O - office_
_M - million, K- thousand_
_S - studio, R - shop_
_*20 latest contracts_
www.trydatabot.com</t>
  </si>
  <si>
    <t>1008916, *NEW RE</t>
  </si>
  <si>
    <t>*NEW RENT*
*CONTRACTS**
_(renewals are not included)_
*BURJ CROWN*
_Area: Downtown_
_All types/bedrooms_
```Date    Price   BUA Type  B```
```------------2026-----------```
```15Jan    115K   581 XXXX  1```
```10Jan    175K  1076 XXXX  2```
```09Jan    110K   635 XXXX  1```
```07Jan    135K   614 XXXX  1```
```------------2025-----------```
```31Dec  126.5K   635 XXXX  1```
```20Dec    250K  1356 XXXX  3```
```15Dec    180K  1076 XXXX  2```
```07Dec    220K  1076 XXXX  2```
```05Dec    230K   990 XXXX  2```
```01Dec    145K   581 XXXX  1```
```01Dec    125K   581 XXXX  1```
```01Dec    190K  1076 XXXX  2```
```01Dec    180K  1076 XXXX  2```
```27Nov    170K  1076 XXXX  2```
```26Nov    135K   581 XXXX  1```
```26Nov    195K  1087 XXXX  2```
```18Nov    300K  1076 XXXX  2```
```17Nov  177.5K  1001 XXXX  2```
```15Nov    120K   581 XXXX  1```
```13Nov  194.5K  1001 XXXX  2```
_Source: DLD, Databot_
_BUA - built-up area, sq.ft._
_P/sf - price per sq.ft._
_B - bedrooms; O - office_
_M - million, K- thousand_
_S - studio, R - shop_
_*20 latest contracts_
www.trydatabot.com</t>
  </si>
  <si>
    <t>1008917, *SALES*</t>
  </si>
  <si>
    <t>*SALES*
*TRANSACTIONS (RESALE)**
*BURJ CROWN*
_Area: Downtown_
_All types/bedrooms_
```Date    Price   BUA  Type B```
```------------2026-----------```
```20Jan    2.1M   578  XXXX 1```
```19Jan   3.15M  1085  XXXX 2```
```19Jan    2.3M   648  XX06 1```
```19Jan    2.3M   585  XXXX 1```
```14Jan   3.95M  1356  XXXX 3```
```08Jan    1.8M   585  XXXX 1```
```08Jan    2.6M  1085  XXXX 2```
```08Jan   1.85M   648  XX06 1```
```08Jan   2.65M  1085  XXXX 2```
```08Jan    1.8M   585  XXXX 1```
```08Jan    2.6M  1084  XXXX 2```
```07Jan    2.7M  1010  XX11 2```
```------------2025-----------```
```27Nov      2M   578  XXXX 1```
```17Nov   3.06M  1010  XX11 2```
```05Nov    4.1M  1356  XXXX 3```
```23Oct    4.3M  1356  XXXX 3```
```22Oct   2.83M  1072  XXXX 2```
```17Oct   3.05M  1085  XXXX 2```
```08Oct      4M  1356  XXXX 3```
```07Oct      4M  1356  XXXX 3```
```30Sep    3.9M  1356  XXXX 3```
```18Sep    3.6M  1356  XXXX 3```
```18Sep    3.6M  1356  XXXX 3```
```04Sep    3.6M  1356  XXXX 3```
```04Sep    3.6M  1356  XXXX 3```
```01Sep    3.6M  1356  XXXX 3```
```01Sep    3.6M  1356  XXXX 3```
```29Aug  3.825M  1362  XXXX 3```
```25Aug      4M  1356  XXXX 3```
```21Aug   2.94M  1005  XX01 2```
_Source: DLD, Databot_
_BUA - built-up area, sq.ft._
_P/sf - price per sq.ft._
_B - bedrooms; O - office_
_M - million, K- thousand_
_S - studio, R - shop_
_*Max 30 latest transactions_
www.trydatabot.com</t>
  </si>
  <si>
    <t>1008918, Burj Crown, *BUILDI</t>
  </si>
  <si>
    <t xml:space="preserve">*BUILDING*
*PROFILE*
*BURJ CROWN*
_Area: Downtown_
_Tap&amp;hold to copy a reply_
```-------------------------```
```Report              Reply```
```-------------------------```
*1 B/R*
```Resell, ROI       1008872```
```Primary sales     1008920```
```Price chart       1008873```
```Rentals           1008874```
```Appreciation      1008875```
*2 B/R*
```Resell, ROI       1008876```
```Primary sales     1008921```
```Price chart       1008877```
```Rentals           1008878```
```Appreciation      1008879```
*3 B/R*
```Resell, ROI       1008880```
```Primary sales     1008922```
```Price chart       1008881```
```Rentals           1008882```
```Appreciation      1008883```
*All types/bedrooms*
```Resell, ROI       1008917```
```Primary sales     1008931```
```Rentals           1008916```
</t>
  </si>
  <si>
    <t>1008920, *SALES*</t>
  </si>
  <si>
    <t>*SALES*
*TRANSACTIONS (PRIMARY)**
*BURJ CROWN*
_Area: Downtown_
_Type: 1 bedroom apartment_
```Date   Price  BUA Type P/sf```
```------------2022-----------```
```09Dec 1.423M  637 XXXX 2234```
```01Sep 1.747M  637 XXXX 2742```
```19May 1.024M  578 XXXX 1771```
```19May 1.022M  578 XXXX 1768```
```10May 1.022M  578 XXXX 1768```
```22Mar 1.214M  618 XXXX 1964```
```------------2021-----------```
```25Aug 1.404M  578 XXXX 2429```
```------------2020-----------```
```06Dec 1.024M  578 XXXX 1771```
```06Dec 1.423M  637 XXXX 2234```
```29Nov 1.022M  578 XXXX 1768```
```27Sep 1.338M  622 XXXX 2151```
```24Sep 1.412M  637 XXXX 2216```
```24Sep 1.098M  578 XXXX 1899```
```24Sep  1.23M  634 XXXX 1940```
```11Jun 1.144M  578 XXXX 1979```
```11Jun 1.144M  578 XXXX 1979```
```16Mar 1.093M  585 XXXX 1869```
```16Mar 1.099M  585 XXXX 1879```
```15Mar 1.254M  637 XXXX 1968```
```15Mar 1.223M  634 XXXX 1929```
_Source: DLD, Databot_
_BUA - built-up area, sq.ft._
_P/sf - price per sq.ft._
_B - bedrooms; O - office_
_M - million, K- thousand_
_S - studio, R - shop_
_*Max 20 latest transactions_
www.trydatabot.com</t>
  </si>
  <si>
    <t>1008921, *SALES*</t>
  </si>
  <si>
    <t>*SALES*
*TRANSACTIONS (PRIMARY)**
*BURJ CROWN*
_Area: Downtown_
_Type: 2 bedroom apartment_
```Date   Price  BUA Type P/sf```
```------------2024-----------```
```01Oct 1.696M 1004 XX11 1689```
```16Jan  2.68M 1072 XXXX 2500```
```------------2023-----------```
```20Jul 2.637M 1061 XXXX 2485```
```08Jun   2.1M  994 XX11 2113```
```25Apr 2.197M  998 XX01 2201```
```25Apr 2.215M  994 XX11 2228```
```03Feb     2M  998 XX01 2004```
```------------2022-----------```
```26Sep 2.674M 1061 XXXX 2520```
```22Jul 2.415M  966 XXXX 2500```
```22Jul 2.508M 1029 XXXX 2437```
```21Jul 2.508M 1029 XXXX 2437```
```21Jul 2.419M  967 XXXX 2501```
```28Jun 2.486M  988 XXXX 2516```
```23Jun 2.585M 1061 XXXX 2436```
```16Jun 2.439M  987 XXXX 2471```
```15Jun 2.564M 1029 XXXX 2492```
```14Jun 2.472M  967 XXXX 2556```
```14Jun  2.47M  966 XXXX 2557```
```14Jun 2.485M  987 XXXX 2518```
```02Jun   2.2M 1066 XXXX 2064```
_Source: DLD, Databot_
_BUA - built-up area, sq.ft._
_P/sf - price per sq.ft._
_B - bedrooms; O - office_
_M - million, K- thousand_
_S - studio, R - shop_
_*Max 20 latest transactions_
www.trydatabot.com</t>
  </si>
  <si>
    <t>1008922, *SALES*</t>
  </si>
  <si>
    <t>*SALES*
*TRANSACTIONS (PRIMARY)**
*BURJ CROWN*
_Area: Downtown_
_Type: 3 bedroom apartment_
```Date   Price  BUA Type P/sf```
```------------2025-----------```
```02Apr 4.802M 1574 XX01 3051```
```05Mar 4.659M 1638 XX02 2844```
```------------2024-----------```
```26Dec 4.268M 1356 XXXX 3147```
```------------2023-----------```
```26Jul 3.027M 1355 XXXX 2234```
```------------2022-----------```
```30Aug 2.657M 1352 XXXX 1965```
```30Aug 2.647M 1352 XXXX 1958```
```14Jul 3.103M 1352 XXXX 2295```
```07Feb 2.728M 1352 XXXX 2018```
```06Jan  2.96M 1352 XXXX 2189```
```------------2021-----------```
```19Dec 3.029M 1352 XXXX 2240```
```19Dec 3.024M 1352 XXXX 2237```
```14Dec 2.883M 1355 XXXX 2127```
```08Dec 2.988M 1352 XXXX 2210```
```08Dec 2.994M 1352 XXXX 2214```
```08Dec 2.999M 1352 XXXX 2218```
```08Dec 3.006M 1352 XXXX 2223```
```08Dec 3.018M 1352 XXXX 2232```
```28Nov 2.978M 1352 XXXX 2203```
```16Nov 2.966M 1352 XXXX 2194```
```10Nov 2.983M 1352 XXXX 2206```
_Source: DLD, Databot_
_BUA - built-up area, sq.ft._
_P/sf - price per sq.ft._
_B - bedrooms; O - office_
_M - million, K- thousand_
_S - studio, R - shop_
_*Max 20 latest transactions_
www.trydatabot.com</t>
  </si>
  <si>
    <t>1008931, *SALES*</t>
  </si>
  <si>
    <t>*SALES*
*TRANSACTIONS (PRIMARY)**
*BURJ CROWN*
_Area: Downtown_
_All types/bedrooms_
```Date    Price   BUA  Type B```
```------------2025-----------```
```02Apr  4.802M  1574  XX01 3```
```05Mar  4.659M  1638  XX02 3```
```------------2024-----------```
```26Dec  4.268M  1356  XXXX 3```
```01Oct  1.696M  1004  XX11 2```
```16Jan   2.68M  1072  XXXX 2```
```------------2023-----------```
```26Jul  3.027M  1355  XXXX 3```
```20Jul  2.637M  1061  XXXX 2```
```08Jun    2.1M   994  XX11 2```
```25Apr  2.197M   998  XX01 2```
```25Apr  2.215M   994  XX11 2```
```03Feb      2M   998  XX01 2```
```------------2022-----------```
```09Dec  1.423M   637  XXXX 1```
```26Sep  2.674M  1061  XXXX 2```
```01Sep  1.747M   637  XXXX 1```
```30Aug  2.657M  1352  XXXX 3```
```30Aug  2.647M  1352  XXXX 3```
```22Jul  2.415M   966  XXXX 2```
```22Jul  2.508M  1029  XXXX 2```
```21Jul  2.508M  1029  XXXX 2```
```21Jul  2.419M   967  XXXX 2```
_Source: DLD, Databot_
_BUA - built-up area, sq.ft._
_P/sf - price per sq.ft._
_B - bedrooms; O - office_
_M - million, K- thousand_
_S - studio, R - shop_
_*Max 20 latest transactions_
www.trydatabot.com</t>
  </si>
  <si>
    <t>1008932, *SALES*</t>
  </si>
  <si>
    <t>*SALES*
*TRANSACTIONS**
*BURJ KHALIFA*
_Area: Downtown_
_Type: studio apartment_
```Date   Price  BUA Type P/sf```
```------------2025-----------```
```19Jun  25.3K  546 XXXX   46```
```03Feb   2.2M  546 XXXX 4029```
```------------2024-----------```
```16Dec  41.4K  546 XXXX   76```
```27Nov   2.1M  548 XXXX 3832```
```12Jul    91K  546 XXXX  167```
```03Apr   2.1M  546 XXXX 3846```
```22Jan  77.8K  546 XXXX  142```
```------------2023-----------```
```12Dec 2.028M  546 XXXX 3714```
_Source: DLD, Databot_
_BUA - built-up area, sq.ft._
_P/sf - price per sq.ft._
_B - bedrooms; O - office_
_M - million, K- thousand_
_S - studio, R - shop_
_*Max 30 latest transactions_
www.trydatabot.com</t>
  </si>
  <si>
    <t>Burj Khalifa</t>
  </si>
  <si>
    <t>1008933, *MARKET</t>
  </si>
  <si>
    <t>*MARKET*
*SNAPSHOT*
*BURJ KHALIFA*
_Area: Downtown_
_Type: studio apartment_
*Price dynamics, Dirham/sq.ft.*
_(M - median value)_
```4029|                * * * ```
```    |              *       ```
```    |                      ```
```    |                      ```
```    |                      ```
```1941|---------------------M```
```    |                      ```
```    |                      ```
```    |                      ```
```    |                      ```
```46 |************** * * * *```
```____|______________________```
```    |Dec2023        Jun2025```
_Source: see table below_
*Latest sales transactions*
```Date   Price  BUA Type P/sf```
```------------2025-----------```
```19Jun  25.3K  546 XXXX   46```
```03Feb   2.2M  546 XXXX 4029```
```------------2024-----------```
```16Dec  41.4K  546 XXXX   76```
```27Nov   2.1M  548 XXXX 3832```
```12Jul    91K  546 XXXX  167```
```03Apr   2.1M  546 XXXX 3846```
```22Jan  77.8K  546 XXXX  142```
```------------2023-----------```
```12Dec 2.028M  546 XXXX 3714```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</si>
  <si>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1008936, *SALES*</t>
  </si>
  <si>
    <t>*SALES*
*TRANSACTIONS**
*BURJ KHALIFA*
_Area: Downtown_
_Type: 1 bedroom apartment_
```Date   Price  BUA Type P/sf```
```------------2026-----------```
```06Jan   3.4M 1096 XXXX 3102```
```------------2025-----------```
```26Dec  3.15M 1096 XXXX 2874```
```24Dec  2.73M  986 XXXX 2769```
```18Dec   3.2M 1096 XXXX 2920```
```05Dec     3M  936 XXXX 3205```
```04Dec     3M 1133 XXXX 2648```
```27Nov  2.87M 1133 XXXX 2533```
```27Nov  3.25M 1049 XX01 3098```
```21Nov   3.2M 1049 XX01 3051```
```20Nov 3.319M 1388 XXXX 2391```
```20Nov  2.65M  986 XXXX 2688```
```19Nov  3.15M 1133 XXXX 2780```
```17Nov   3.1M 1011 XX02 3066```
```07Nov 2.702M 1096 XXXX 2465```
```26Sep  3.05M 1133 XXXX 2692```
```23Sep  3.25M 1096 XXXX 2965```
```19Sep  2.56M 1049 XX01 2440```
```02Sep     3M 1096 XXXX 2737```
```01Sep   2.9M 1173 XXXX 2472```
```25Aug  3.07M 1133 XXXX 2710```
```19Aug   2.7M  986 XXXX 2738```
```09Jul   1.5M  234 XXXX 6410```
```18Jun  3.35M 1133 XXXX 2957```
```16Jun  3.05M 1096 XXXX 2783```
```03Jun   2.9M 1011 XX02 2868```
```02Jun  3.55M 1406 XXXX 2525```
```29Apr   3.2M 1173 XXXX 2728```
```28Apr 4.075M 1185 XX16 3439```
```23Apr  2.74M 1096 XXXX 2500```
```21Apr 5.256M 1185 XX10 4435```
_Source: DLD, Databot_
_BUA - built-up area, sq.ft._
_P/sf - price per sq.ft._
_B - bedrooms; O - office_
_M - million, K- thousand_
_S - studio, R - shop_
_*Max 30 latest transactions_
www.trydatabot.com</t>
  </si>
  <si>
    <t>1008937, *MARKET</t>
  </si>
  <si>
    <t>*MARKET*
*SNAPSHOT*
*BURJ KHALIFA*
_Area: Downtown_
_Type: 1 bedroom apartment_
*Price dynamics, Dirham/sq.ft.*
_(M - median value)_
```6410|*                     ```
```    |                      ```
```    |                      ```
```    |                      ```
```    |                      ```
```    |                      ```
```    |                      ```
```    |                      ```
```    |      *  *   **  ** **```
```2391| ***** ** ***  **  *  ```
```2391| ***** ** ***  **  *  ```
```____|______________________```
```    |Jul2025        Jan2026```
_Source: see table below_
*Latest sales transactions*
```Date   Price  BUA Type P/sf```
```------------2026-----------```
```06Jan   3.4M 1096 XXXX 3102```
```------------2025-----------```
```26Dec  3.15M 1096 XXXX 2874```
```24Dec  2.73M  986 XXXX 2769```
```18Dec   3.2M 1096 XXXX 2920```
```05Dec     3M  936 XXXX 3205```
```04Dec     3M 1133 XXXX 2648```
```27Nov  2.87M 1133 XXXX 2533```
```27Nov  3.25M 1049 XX01 3098```
```21Nov   3.2M 1049 XX01 3051```
```20Nov 3.319M 1388 XXXX 2391```
```20Nov  2.65M  986 XXXX 2688```
```19Nov  3.15M 1133 XXXX 2780```
```17Nov   3.1M 1011 XX02 3066```
```07Nov 2.702M 1096 XXXX 2465```
```26Sep  3.05M 1133 XXXX 2692```
```23Sep  3.25M 1096 XXXX 2965```
```19Sep  2.56M 1049 XX01 2440```
```02Sep     3M 1096 XXXX 2737```
```01Sep   2.9M 1173 XXXX 2472```
```25Aug  3.07M 1133 XXXX 2710```
```19Aug   2.7M  986 XXXX 2738```
```09Jul   1.5M  234 XXXX 6410```
```18Jun  3.35M 1133 XXXX 2957```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</si>
  <si>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1008940, *SALES*</t>
  </si>
  <si>
    <t>*SALES*
*TRANSACTIONS (RESALE)**
*BURJ KHALIFA*
_Area: Downtown_
_Type: 2 bedroom apartment_
```Date   Price  BUA Type P/sf```
```------------2026-----------```
```21Jan  4.85M 2038 XX03 2380```
```19Jan 5.912M 1888 XXXX 3131```
```19Jan 6.438M 2053 XXXX 3136```
```12Jan  5.44M 2038 XX03 2669```
```12Jan     4M 1888 XXXX 2119```
```06Jan   5.2M 1778 XXXX 2925```
```------------2025-----------```
```22Dec  6.65M 1546 XXXX 4301```
```18Dec   8.9M 1778 XXXX 5006```
```18Dec     6M 1546 XXXX 3881```
```17Dec 5.344M 2056 XXXX 2599```
```04Dec  8.65M 1778 XXXX 4865```
```27Nov   7.5M 1968 XX09 3811```
```26Nov   7.3M 1926 XXXX 3790```
```26Nov   7.8M 2109 XX05 3698```
```24Nov   6.1M 1888 XXXX 3231```
```13Nov   7.7M 2008 XXXX 3835```
```05Nov   5.1M 1716 XXXX 2972```
```04Nov   5.6M 1546 XXXX 3622```
```29Oct   5.1M 1968 XX09 2591```
```08Oct   5.5M 2053 XXXX 2679```
```03Oct   5.7M 1888 XXXX 3019```
```22Sep   9.5M 2172 XX09 4374```
```18Sep   7.8M 1778 XXXX 4387```
```17Sep     5M 1546 XXXX 3234```
```03Sep  8.55M 2218 XXXX 3855```
```03Sep  4.65M 1428 XX01 3256```
```01Sep  6.15M 1888 XXXX 3257```
```18Aug 6.759M 1909 XXXX 3541```
```13Aug     4M 1926 XXXX 2077```
```07Aug  7.75M 1888 XXXX 4105```
_Source: DLD, Databot_
_BUA - built-up area, sq.ft._
_P/sf - price per sq.ft._
_B - bedrooms; O - office_
_M - million, K- thousand_
_S - studio, R - shop_
_*Max 30 latest transactions_
www.trydatabot.com</t>
  </si>
  <si>
    <t>1008941, *MARKET</t>
  </si>
  <si>
    <t>*MARKET*
*SNAPSHOT*
*BURJ KHALIFA*
_Area: Downtown_
_Type: 2 bedroom apartment_
*Price dynamics, Dirham/sq.ft.*
_(M - median value)_
```5006|           *  *       ```
```    |                      ```
```    |*              *      ```
```    |                      ```
```    |      *  **  *        ```
```    |    *   *             ```
```3184|---------------------M```
```    |       *           ** ```
```    | *   *          *     ```
```    |  **        *     *   ```
```2119|                 *   *```
```____|______________________```
```    |Sep2025        Jan2026```
_Source: see table below_
*Latest sales transactions*
```Date   Price  BUA Type P/sf```
```------------2026-----------```
```21Jan  4.85M 2038 XX03 2380```
```19Jan 5.912M 1888 XXXX 3131```
```19Jan 6.438M 2053 XXXX 3136```
```12Jan  5.44M 2038 XX03 2669```
```12Jan     4M 1888 XXXX 2119```
```06Jan   5.2M 1778 XXXX 2925```
```------------2025-----------```
```22Dec  6.65M 1546 XXXX 4301```
```18Dec   8.9M 1778 XXXX 5006```
```18Dec     6M 1546 XXXX 3881```
```17Dec 5.344M 2056 XXXX 2599```
```04Dec  8.65M 1778 XXXX 4865```
```27Nov   7.5M 1968 XX09 3811```
```26Nov   7.3M 1926 XXXX 3790```
```26Nov   7.8M 2109 XX05 3698```
```24Nov   6.1M 1888 XXXX 3231```
```13Nov   7.7M 2008 XXXX 3835```
```05Nov   5.1M 1716 XXXX 2972```
```04Nov   5.6M 1546 XXXX 3622```
```29Oct   5.1M 1968 XX09 2591```
```08Oct   5.5M 2053 XXXX 2679```
```03Oct   5.7M 1888 XXXX 3019```
```22Sep   9.5M 2172 XX09 4374```
```18Sep   7.8M 1778 XXXX 4387```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</si>
  <si>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1008943, *RESELL</t>
  </si>
  <si>
    <t>*RESELL*
*VS PRIMARY*
*BURJ KHALIFA*
_Area: Downtown_
_Type: 2 bedroom apartment_
*Price dynamics, Dirham/sq.ft.*
_(x - primary; * - resell)_
```5006|           *  *       ```
```    |                      ```
```    |               *      ```
```    |                      ```
```3850|             *        ```
```    |                      ```
```    |                   ** ```
```    |                *     ```
```    |          x *     *   ```
```2119|                 *   *```
```____|______________________```
```    |Dec1899        Jan2026```
_Source: see a table below_
*Latest resell transactions*
```Date   Price  BUA Type P/sf```
```------------2026-----------```
```21Jan  4.85M 2038 XX03 2380```
```19Jan 5.912M 1888 XXXX 3131```
```19Jan 6.438M 2053 XXXX 3136```
```12Jan  5.44M 2038 XX03 2669```
```12Jan     4M 1888 XXXX 2119```
```06Jan   5.2M 1778 XXXX 2925```
```------------2025-----------```
```22Dec  6.65M 1546 XXXX 4301```
```18Dec   8.9M 1778 XXXX 5006```
```18Dec     6M 1546 XXXX 3881```
```17Dec 5.344M 2056 XXXX 2599```
```04Dec  8.65M 1778 XXXX 4865```
```27Nov   7.5M 1968 XX09 3811```
```26Nov   7.3M 1926 XXXX 3790```
```26Nov   7.8M 2109 XX05 3698```
```24Nov   6.1M 1888 XXXX 3231```
```13Nov   7.7M 2008 XXXX 3835```
```05Nov   5.1M 1716 XXXX 2972```
*Latest primary transactions*
```------------2025-----------```
```04Nov 4.415M 1716 XXXX 2573```</t>
  </si>
  <si>
    <t>1008944, *SALES*</t>
  </si>
  <si>
    <t>*SALES*
*TRANSACTIONS**
*BURJ KHALIFA*
_Area: Downtown_
_Type: 3 bedroom apartment_
```Date   Price  BUA Type P/sf```
```------------2025-----------```
```11Dec   7.5M 2333 XXXX 3215```
```09Dec   2.5M 2663 XXXX  939```
```04Dec   8.6M 2333 XXXX 3686```
```04Dec  12.5M 2663 XXXX 4694```
```24Nov 11.05M 2663 XXXX 4150```
```20Nov  6.65M 2333 XXXX 2850```
```29Oct   7.1M 2333 XXXX 3043```
```29Oct  10.3M 2663 XXXX 3868```
```20Oct  6.85M 2333 XXXX 2936```
```20Oct  8.45M 2663 XXXX 3173```
```17Sep  10.3M 2323 XXXX 4434```
```01Sep     7M 2333 XXXX 3000```
```07Jul  10.9M 2923 XX04 3729```
```28May    10M 2663 XXXX 3755```
```16May   6.2M 2333 XXXX 2658```
```11Apr    12M 2728 XXXX 4399```
```17Feb   7.5M 2663 XXXX 2816```
```13Feb   8.7M 2663 XXXX 3267```
```05Feb   9.7M 2663 XXXX 3643```
```------------2024-----------```
```26Dec   8.5M 2663 XXXX 3192```
```26Nov   7.5M 2663 XXXX 2816```
```30Oct   7.7M 2333 XXXX 3300```
```07Oct   8.5M 2333 XXXX 3643```
```25Jul   6.7M 2323 XXXX 2884```
```23May   7.2M 2333 XXXX 3086```
```14May   9.3M 2728 XXXX 3409```
```09May   6.4M 2333 XXXX 2743```
```01May   6.5M 2333 XXXX 2786```
```24Jan   7.3M 2663 XXXX 2741```
```18Jan  8.15M 2663 XXXX 3060```
_Source: DLD, Databot_
_BUA - built-up area, sq.ft._
_P/sf - price per sq.ft._
_B - bedrooms; O - office_
_M - million, K- thousand_
_S - studio, R - shop_
_*Max 30 latest transactions_
www.trydatabot.com</t>
  </si>
  <si>
    <t>1008945, *MARKET</t>
  </si>
  <si>
    <t>*MARKET*
*SNAPSHOT*
*BURJ KHALIFA*
_Area: Downtown_
_Type: 3 bedroom apartment_
*Price dynamics, Dirham/sq.ft.*
_(M - median value)_
```4694|                  *   ```
```    |      *    *     *    ```
```    |        *     *       ```
```    |   *     *         *  ```
```3241|---------------------M```
```    |* * *       *  *     *```
```    | *   * *  *  *  *     ```
```    |                      ```
```    |                      ```
```    |                      ```
```939 |                    * ```
```____|______________________```
```    |Oct2024        Dec2025```
_Source: see table below_
*Latest sales transactions*
```Date   Price  BUA Type P/sf```
```------------2025-----------```
```11Dec   7.5M 2333 XXXX 3215```
```09Dec   2.5M 2663 XXXX  939```
```04Dec   8.6M 2333 XXXX 3686```
```04Dec  12.5M 2663 XXXX 4694```
```24Nov 11.05M 2663 XXXX 4150```
```20Nov  6.65M 2333 XXXX 2850```
```29Oct   7.1M 2333 XXXX 3043```
```29Oct  10.3M 2663 XXXX 3868```
```20Oct  6.85M 2333 XXXX 2936```
```20Oct  8.45M 2663 XXXX 3173```
```17Sep  10.3M 2323 XXXX 4434```
```01Sep     7M 2333 XXXX 3000```
```07Jul  10.9M 2923 XX04 3729```
```28May    10M 2663 XXXX 3755```
```16May   6.2M 2333 XXXX 2658```
```11Apr    12M 2728 XXXX 4399```
```17Feb   7.5M 2663 XXXX 2816```
```13Feb   8.7M 2663 XXXX 3267```
```05Feb   9.7M 2663 XXXX 3643```
```------------2024-----------```
```26Dec   8.5M 2663 XXXX 3192```
```26Nov   7.5M 2663 XXXX 2816```
```30Oct   7.7M 2333 XXXX 3300```
```07Oct   8.5M 2333 XXXX 3643```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</si>
  <si>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1008948, *SALES*</t>
  </si>
  <si>
    <t>*SALES*
*TRANSACTIONS**
*BURJ KHALIFA*
_Area: Downtown_
_Type: 4 bedroom apartment_
```Date   Price  BUA Type P/sf```
```------------2025-----------```
```27Nov 28.73M  10K XX06 2861```
```09Jul  20.5M 4493 XX03 4563```
```27Feb    18M 4493 XX03 4006```
```------------2023-----------```
```13Dec    25M 6457 XX01 3872```
_Source: DLD, Databot_
_BUA - built-up area, sq.ft._
_P/sf - price per sq.ft._
_B - bedrooms; O - office_
_M - million, K- thousand_
_S - studio, R - shop_
_*Max 30 latest transactions_
www.trydatabot.com</t>
  </si>
  <si>
    <t>1008949, *MARKET</t>
  </si>
  <si>
    <t>*MARKET*
*SNAPSHOT*
*BURJ KHALIFA*
_Area: Downtown_
_Type: 4 bedroom apartment_
*Price dynamics, Dirham/sq.ft.*
_(M - median value)_
```4563|                    * ```
```    |                      ```
```    |                      ```
```    |                   *  ```
```3939|---------------------M```
```    |                  *   ```
```    |                      ```
```    |                      ```
```    |                      ```
```    |                      ```
```2861|                     *```
```____|______________________```
```    |Dec2023        Nov2025```
_Source: see table below_
*Latest sales transactions*
```Date   Price  BUA Type P/sf```
```------------2025-----------```
```27Nov 28.73M  10K XX06 2861```
```09Jul  20.5M 4493 XX03 4563```
```27Feb    18M 4493 XX03 4006```
```------------2023-----------```
```13Dec    25M 6457 XX01 3872```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</si>
  <si>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1008952, *SALES*</t>
  </si>
  <si>
    <t>*SALES*
*TRANSACTIONS**
*BURJ KHALIFA*
_Area: Downtown_
_Type: 5 bedroom apartment_
```Date   Price  BUA Type P/sf```
```------------2025-----------```
```27Nov  56.2M  21K XXXX 2679```
_Source: DLD, Databot_
_BUA - built-up area, sq.ft._
_P/sf - price per sq.ft._
_B - bedrooms; O - office_
_M - million, K- thousand_
_S - studio, R - shop_
_*Max 30 latest transactions_
www.trydatabot.com</t>
  </si>
  <si>
    <t>1008953, *MARKET</t>
  </si>
  <si>
    <t>*MARKET*
*SNAPSHOT*
*BURJ KHALIFA*
_Area: Downtown_
_Type: 5 bedroom apartment_
*Price dynamics, Dirham/sq.ft.*
_(M - median value)_
```2679|                     *```
```2679|----------------------```
```    |                     *```
```2679|---------------------M```
```    |                     *```
```2679|---------------------M```
```    |                     *```
```2679|---------------------M```
```    |                     *```
```2679|---------------------M```
```    |                     *```
```____|______________________```
```    |Nov2025        Nov2025```
_Source: see table below_
*Latest sales transactions*
```Date   Price  BUA Type P/sf```
```------------2025-----------```
```27Nov  56.2M  21K XXXX 2679```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</si>
  <si>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1008960, *SALES*</t>
  </si>
  <si>
    <t>*SALES*
*TRANSACTIONS**
*BURJ KHALIFA*
_Area: Downtown_
_Type: office_
```Date   Price  BUA Type P/sf```
```------------2025-----------```
```27Nov    53M 4527 XXXX  12K```
```01Oct  43.9M 8445 XX01 5198```
```01Sep    45M 8807 XXXX 5110```
```01Sep    45M 8807 XXXX 5110```
```13Aug    35M 5375 XXXX 6512```
_Source: DLD, Databot_
_BUA - built-up area, sq.ft._
_P/sf - price per sq.ft._
_B - bedrooms; O - office_
_M - million, K- thousand_
_S - studio, R - shop_
_*Max 30 latest transactions_
www.trydatabot.com</t>
  </si>
  <si>
    <t>1008961, *MARKET</t>
  </si>
  <si>
    <t>*MARKET*
*SNAPSHOT*
*BURJ KHALIFA*
_Area: Downtown_
_Type: office_
*Price dynamics, Dirham/sq.ft.*
_(M - median value)_
```11708|                     *```
```    |                      ```
```    |                      ```
```    |                      ```
```    |                      ```
```    |                      ```
```    |                      ```
```    |                      ```
```    |                 *    ```
```5110|                  *** ```
```5110|                  *** ```
```____|______________________```
```    |Aug2025        Nov2025```
_Source: see table below_
*Latest sales transactions*
```Date   Price  BUA Type P/sf```
```------------2025-----------```
```27Nov    53M 4527 XXXX  12K```
```01Oct  43.9M 8445 XX01 5198```
```01Sep    45M 8807 XXXX 5110```
```01Sep    45M 8807 XXXX 5110```
```13Aug    35M 5375 XXXX 6512```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</si>
  <si>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1008981, *SALES*</t>
  </si>
  <si>
    <t>*SALES*
*TRANSACTIONS (RESALE)**
*BURJ KHALIFA*
_Area: Downtown_
_All types/bedrooms_
```Date    Price   BUA  Type B```
```------------2026-----------```
```21Jan   4.85M  2038  XX03 2```
```19Jan  5.912M  1888  XXXX 2```
```19Jan  6.438M  2053  XXXX 2```
```12Jan   5.44M  2038  XX03 2```
```12Jan      4M  1888  XXXX 2```
```06Jan    5.2M  1778  XXXX 2```
```06Jan    3.4M  1096  XXXX 1```
```------------2025-----------```
```26Dec   3.15M  1096  XXXX 1```
```24Dec   2.73M   986  XXXX 1```
```22Dec   6.65M  1546  XXXX 2```
```18Dec    8.9M  1778  XXXX 2```
```18Dec    3.2M  1096  XXXX 1```
```18Dec      6M  1546  XXXX 2```
```17Dec  5.344M  2056  XXXX 2```
```11Dec    7.5M  2333  XXXX 3```
```09Dec    2.5M  2663  XXXX 3```
```05Dec      3M   936  XXXX 1```
```04Dec    8.6M  2333  XXXX 3```
```04Dec   8.65M  1778  XXXX 2```
```04Dec   12.5M  2663  XXXX 3```
```04Dec      3M  1133  XXXX 1```
```27Nov     53M  4527  XXXX O```
```27Nov    7.5M  1968  XX09 2```
```27Nov   56.2M   21K  XXXX 5```
```27Nov   2.87M  1133  XXXX 1```
```27Nov  28.73M   10K  XX06 4```
```27Nov   3.25M  1049  XX01 1```
```26Nov    7.3M  1926  XXXX 2```
```26Nov    7.8M  2109  XX05 2```
```24Nov    6.1M  1888  XXXX 2```
_Source: DLD, Databot_
_BUA - built-up area, sq.ft._
_P/sf - price per sq.ft._
_B - bedrooms; O - office_
_M - million, K- thousand_
_S - studio, R - shop_
_*Max 30 latest transactions_
www.trydatabot.com</t>
  </si>
  <si>
    <t>1008982, by code, *BUILDI</t>
  </si>
  <si>
    <t xml:space="preserve">*BUILDING*
*PROFILE*
*BURJ KHALIFA*
_Area: Downtown_
_Tap&amp;hold to copy a reply_
```-------------------------```
```Report              Reply```
```-------------------------```
*Studio*
```Sales, ROI        1008932```
```Price chart       1008933```
```Rentals               n/a```
*1 B/R*
```Sales, ROI        1008936```
```Price chart       1008937```
```Rentals               n/a```
*2 B/R*
```Resell, ROI       1008940```
```Primary sales     1008985```
```Price chart       1008941```
```Rentals               n/a```
```Appreciation      1008943```
*3 B/R*
```Sales, ROI        1008944```
```Price chart       1008945```
```Rentals               n/a```
*4 B/R*
```Sales, ROI        1008948```
```Price chart       1008949```
```Rentals               n/a```
*5 B/R*
```Sales, ROI        1008952```
```Price chart       1008953```
```Rentals               n/a```
*Office*
```Sales, ROI        1008960```
```Price chart       1008961```
```Rentals               n/a```
*All types/bedrooms*
```Resell, ROI       1008981```
```Primary sales     1008995```
```Rentals               n/a```
</t>
  </si>
  <si>
    <t>1008985, *SALES*</t>
  </si>
  <si>
    <t>*SALES*
*TRANSACTIONS (PRIMARY)**
*BURJ KHALIFA*
_Area: Downtown_
_Type: 2 bedroom apartment_
```Date   Price  BUA Type P/sf```
```------------2025-----------```
```04Nov 4.415M 1716 XXXX 2573```
_Source: DLD, Databot_
_BUA - built-up area, sq.ft._
_P/sf - price per sq.ft._
_B - bedrooms; O - office_
_M - million, K- thousand_
_S - studio, R - shop_
_*Max 20 latest transactions_
www.trydatabot.com</t>
  </si>
  <si>
    <t>1008995, *SALES*</t>
  </si>
  <si>
    <t>*SALES*
*TRANSACTIONS (PRIMARY)**
*BURJ KHALIFA*
_Area: Downtown_
_All types/bedrooms_
```Date    Price   BUA  Type B```
```------------2025-----------```
```04Nov  4.415M  1716  XXXX 2```
_Source: DLD, Databot_
_BUA - built-up area, sq.ft._
_P/sf - price per sq.ft._
_B - bedrooms; O - office_
_M - million, K- thousand_
_S - studio, R - shop_
_*Max 20 latest transactions_
www.trydatabot.com</t>
  </si>
  <si>
    <t>1009024, *SALES*</t>
  </si>
  <si>
    <t>*SALES*
*TRANSACTIONS**
*BURJ KHALIFA CORPORATE SUITES*
_Area: Downtown_
_Type: office_
```Date   Price  BUA Type P/sf```
```------------2023-----------```
```17Aug 44.27M 8445 XX01 5242```
```24May    35M 6400 XX01 5469```
```06Mar 49.45M 8807 XX01 5615```
```------------2022-----------```
```20Jun  42.6M  13K XX01 3353```
```18Apr    42M  11K XX01 3754```
```22Mar    33M  11K XX01 2950```
```------------2021-----------```
```17Nov 16.04M 6286 XX01 2552```
```------------2020-----------```
```20Oct    33M  11K XX01 2906```
```------------2018-----------```
```13Aug  47.5M  11K XX01 4183```
```10Jul    40M  11K XX01 3523```
```------------2017-----------```
```19Nov 21.11M 3853 XX01 5480```
```------------2015-----------```
```01Apr 36.06M 4527 XX01 7964```
_Source: DLD, Databot_
_BUA - built-up area, sq.ft._
_P/sf - price per sq.ft._
_B - bedrooms; O - office_
_M - million, K- thousand_
_S - studio, R - shop_
_*Max 30 latest transactions_
www.trydatabot.com</t>
  </si>
  <si>
    <t>Burj khalifa Corporate Suites</t>
  </si>
  <si>
    <t>1009025, *MARKET</t>
  </si>
  <si>
    <t>*MARKET*
*SNAPSHOT*
*BURJ KHALIFA CORPORATE SUITES*
_Area: Downtown_
_Type: office_
*Price dynamics, Dirham/sq.ft.*
_(M - median value)_
```7964|          *           ```
```    |                      ```
```    |                      ```
```    |                      ```
```    |                   *  ```
```    |           *        **```
```    |                      ```
```3969|---------------------M```
```    |             *        ```
```    |            *    **   ```
```2552|              ***     ```
```____|______________________```
```    |Apr2015        Aug2023```
_Source: see table below_
*Latest sales transactions*
```Date   Price  BUA Type P/sf```
```------------2023-----------```
```17Aug 44.27M 8445 XX01 5242```
```24May    35M 6400 XX01 5469```
```06Mar 49.45M 8807 XX01 5615```
```------------2022-----------```
```20Jun  42.6M  13K XX01 3353```
```18Apr    42M  11K XX01 3754```
```22Mar    33M  11K XX01 2950```
```------------2021-----------```
```17Nov 16.04M 6286 XX01 2552```
```------------2020-----------```
```20Oct    33M  11K XX01 2906```
```------------2018-----------```
```13Aug  47.5M  11K XX01 4183```
```10Jul    40M  11K XX01 3523```
```------------2017-----------```
```19Nov 21.11M 3853 XX01 5480```
```------------2015-----------```
```01Apr 36.06M 4527 XX01 7964```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</si>
  <si>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1009046, by code, *BUILDI</t>
  </si>
  <si>
    <t xml:space="preserve">*BUILDING*
*PROFILE*
*BURJ KHALIFA CORPORATE SUITES*
_Area: Downtown_
_Tap&amp;hold to copy a reply_
```-------------------------```
```Report              Reply```
```-------------------------```
*Office*
```Sales, ROI        1009024```
```Price chart       1009025```
```Rentals               n/a```
*All types/bedrooms*
```Sales, ROI        1009045```
```Rentals               n/a```
</t>
  </si>
  <si>
    <t>1009072, *SALES*</t>
  </si>
  <si>
    <t>*SALES*
*TRANSACTIONS**
*BURJ KHALIFA RESIDENCES*
_Area: Downtown_
_Type: 3 bedroom apartment_
```Date   Price  BUA Type P/sf```
```------------2025-----------```
```03Sep    20M 5735 XX03 3487```
```26May 16.94M 5735 XX03 2954```
```------------2024-----------```
```22Nov    17M 5735 XX03 2964```
_Source: DLD, Databot_
_BUA - built-up area, sq.ft._
_P/sf - price per sq.ft._
_B - bedrooms; O - office_
_M - million, K- thousand_
_S - studio, R - shop_
_*Max 30 latest transactions_
www.trydatabot.com</t>
  </si>
  <si>
    <t>Burj Khalifa Residences</t>
  </si>
  <si>
    <t>1009073, *MARKET</t>
  </si>
  <si>
    <t>*MARKET*
*SNAPSHOT*
*BURJ KHALIFA RESIDENCES*
_Area: Downtown_
_Type: 3 bedroom apartment_
*Price dynamics, Dirham/sq.ft.*
_(M - median value)_
```3487|                     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```2954|                   ** ```
```2954|                   ** ```
```____|______________________```
```    |Nov2024        Sep2025```
_Source: see table below_
*Latest sales transactions*
```Date   Price  BUA Type P/sf```
```------------2025-----------```
```03Sep    20M 5735 XX03 3487```
```26May 16.94M 5735 XX03 2954```
```------------2024-----------```
```22Nov    17M 5735 XX03 2964```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</si>
  <si>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1009076, *SALES*</t>
  </si>
  <si>
    <t>*SALES*
*TRANSACTIONS**
*BURJ KHALIFA RESIDENCES*
_Area: Downtown_
_Type: 4 bedroom apartment_
```Date   Price  BUA Type P/sf```
```------------2025-----------```
```14Oct 29.52M 8230 XX01 3587```
```------------2024-----------```
```26Jun 20.72M 7736 XX01 2679```
```17Jan 27.98M 8228 XX01 3400```
_Source: DLD, Databot_
_BUA - built-up area, sq.ft._
_P/sf - price per sq.ft._
_B - bedrooms; O - office_
_M - million, K- thousand_
_S - studio, R - shop_
_*Max 30 latest transactions_
www.trydatabot.com</t>
  </si>
  <si>
    <t>1009077, *MARKET</t>
  </si>
  <si>
    <t>*MARKET*
*SNAPSHOT*
*BURJ KHALIFA RESIDENCES*
_Area: Downtown_
_Type: 4 bedroom apartment_
*Price dynamics, Dirham/sq.ft.*
_(M - median value)_
```3587|                     *```
```    |                      ```
```3400|---------------------M```
```    |                   *  ```
```    |                      ```
```    |                      ```
```    |                      ```
```    |                      ```
```    |                      ```
```    |                      ```
```2679|                    * ```
```____|______________________```
```    |Jan2024        Oct2025```
_Source: see table below_
*Latest sales transactions*
```Date   Price  BUA Type P/sf```
```------------2025-----------```
```14Oct 29.52M 8230 XX01 3587```
```------------2024-----------```
```26Jun 20.72M 7736 XX01 2679```
```17Jan 27.98M 8228 XX01 3400```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</si>
  <si>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1009080, *SALES*</t>
  </si>
  <si>
    <t>*SALES*
*TRANSACTIONS**
*BURJ KHALIFA RESIDENCES*
_Area: Downtown_
_Type: 5 bedroom apartment_
```Date   Price  BUA Type P/sf```
```------------2025-----------```
```23Jun 35.94M 8854 XX02 4059```
```------------2024-----------```
```04Jan    44M 8822 XXXX 4988```
_Source: DLD, Databot_
_BUA - built-up area, sq.ft._
_P/sf - price per sq.ft._
_B - bedrooms; O - office_
_M - million, K- thousand_
_S - studio, R - shop_
_*Max 30 latest transactions_
www.trydatabot.com</t>
  </si>
  <si>
    <t>1009081, *MARKET</t>
  </si>
  <si>
    <t>*MARKET*
*SNAPSHOT*
*BURJ KHALIFA RESIDENCES*
_Area: Downtown_
_Type: 5 bedroom apartment_
*Price dynamics, Dirham/sq.ft.*
_(M - median value)_
```4988|                    * ```
```    |                      ```
```    |                      ```
```    |                      ```
```    |                      ```
```4524|---------------------M```
```    |                      ```
```    |                      ```
```    |                      ```
```    |                      ```
```4059|                     *```
```____|______________________```
```    |Jan2024        Jun2025```
_Source: see table below_
*Latest sales transactions*
```Date   Price  BUA Type P/sf```
```------------2025-----------```
```23Jun 35.94M 8854 XX02 4059```
```------------2024-----------```
```04Jan    44M 8822 XXXX 4988```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</si>
  <si>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1009109, *SALES*</t>
  </si>
  <si>
    <t>*SALES*
*TRANSACTIONS**
*BURJ KHALIFA RESIDENCES*
_Area: Downtown_
_All types/bedrooms_
```Date    Price   BUA  Type B```
```------------2025-----------```
```14Oct  29.52M  8230  XX01 4```
```03Sep     20M  5735  XX03 3```
```23Jun  35.94M  8854  XX02 5```
```26May  16.94M  5735  XX03 3```
```------------2024-----------```
```22Nov     17M  5735  XX03 3```
```26Jun  20.72M  7736  XX01 4```
```17Jan  27.98M  8228  XX01 4```
```04Jan     44M  8822  XXXX 5```
_Source: DLD, Databot_
_BUA - built-up area, sq.ft._
_P/sf - price per sq.ft._
_B - bedrooms; O - office_
_M - million, K- thousand_
_S - studio, R - shop_
_*Max 30 latest transactions_
www.trydatabot.com</t>
  </si>
  <si>
    <t>1009110, by code, *BUILDI</t>
  </si>
  <si>
    <t xml:space="preserve">*BUILDING*
*PROFILE*
*BURJ KHALIFA RESIDENCES*
_Area: Downtown_
_Tap&amp;hold to copy a reply_
```-------------------------```
```Report              Reply```
```-------------------------```
*3 B/R*
```Sales, ROI        1009072```
```Price chart       1009073```
```Rentals               n/a```
*4 B/R*
```Sales, ROI        1009076```
```Price chart       1009077```
```Rentals               n/a```
*5 B/R*
```Sales, ROI        1009080```
```Price chart       1009081```
```Rentals               n/a```
*All types/bedrooms*
```Sales, ROI        1009109```
```Rentals               n/a```
</t>
  </si>
  <si>
    <t>1009136, *SALES*</t>
  </si>
  <si>
    <t>*SALES*
*TRANSACTIONS**
*THE RESIDENCE|BURJ KHALIFA*
_Area: Downtown_
_Type: 3 bedroom apartment_
```Date   Price  BUA Type P/sf```
```------------2023-----------```
```25Aug 8.576M 2867 XXXX 2991```
```02Jun 14.73M 5735 XX03 2568```
```11Apr 15.11M 5735 XX03 2636```
```31Mar 14.97M 5735 XX03 2611```
```26Jan    15M 5735 XX03 2616```
```11Jan  15.2M 5735 XX03 2650```
```11Jan 15.09M 5735 XX03 2631```
```05Jan 15.23M 5735 XX03 2655```
```03Jan 15.26M 5735 XX03 2660```
```02Jan 15.14M 5735 XX03 2640```
```02Jan 15.17M 5735 XX03 2645```
_Source: DLD, Databot_
_BUA - built-up area, sq.ft._
_P/sf - price per sq.ft._
_B - bedrooms; O - office_
_M - million, K- thousand_
_S - studio, R - shop_
_*Max 30 latest transactions_
www.trydatabot.com</t>
  </si>
  <si>
    <t>The Residence|Burj Khalifa</t>
  </si>
  <si>
    <t>1009137, *MARKET</t>
  </si>
  <si>
    <t>*MARKET*
*SNAPSHOT*
*THE RESIDENCE|BURJ KHALIFA*
_Area: Downtown_
_Type: 3 bedroom apartment_
*Price dynamics, Dirham/sq.ft.*
_(M - median value)_
```2991|                     *```
```    |                      ```
```    |                      ```
```    |                      ```
```    |                      ```
```    |                      ```
```    |                      ```
```    |                      ```
```2640|---------------------M```
```    |           ******* *  ```
```2568|                  * * ```
```____|______________________```
```    |Jan2023        Aug2023```
_Source: see table below_
*Latest sales transactions*
```Date   Price  BUA Type P/sf```
```------------2023-----------```
```25Aug 8.576M 2867 XXXX 2991```
```02Jun 14.73M 5735 XX03 2568```
```11Apr 15.11M 5735 XX03 2636```
```31Mar 14.97M 5735 XX03 2611```
```26Jan    15M 5735 XX03 2616```
```11Jan  15.2M 5735 XX03 2650```
```11Jan 15.09M 5735 XX03 2631```
```05Jan 15.23M 5735 XX03 2655```
```03Jan 15.26M 5735 XX03 2660```
```02Jan 15.14M 5735 XX03 2640```
```02Jan 15.17M 5735 XX03 2645```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</si>
  <si>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1009140, *SALES*</t>
  </si>
  <si>
    <t>*SALES*
*TRANSACTIONS**
*THE RESIDENCE|BURJ KHALIFA*
_Area: Downtown_
_Type: 4 bedroom apartment_
```Date   Price  BUA Type P/sf```
```------------2023-----------```
```20Jun 27.76M 8230 XX01 3373```
```11Apr 28.25M 8230 XX01 3433```
```01Feb 28.15M 8230 XX01 3420```
```24Jan  28.2M 8230 XX01 3426```
```11Jan 27.53M 8230 XX01 3345```
```05Jan 28.18M 8230 XX01 3424```
```03Jan  28.3M 8230 XX01 3439```
```02Jan 28.41M 8230 XX01 3452```
```------------2022-----------```
```28Dec 28.36M 8230 XX01 3446```
```15Dec 28.52M 8230 XX01 3466```
_Source: DLD, Databot_
_BUA - built-up area, sq.ft._
_P/sf - price per sq.ft._
_B - bedrooms; O - office_
_M - million, K- thousand_
_S - studio, R - shop_
_*Max 30 latest transactions_
www.trydatabot.com</t>
  </si>
  <si>
    <t>1009141, *MARKET</t>
  </si>
  <si>
    <t>*MARKET*
*SNAPSHOT*
*THE RESIDENCE|BURJ KHALIFA*
_Area: Downtown_
_Type: 4 bedroom apartment_
*Price dynamics, Dirham/sq.ft.*
_(M - median value)_
```3466|            *         ```
```    |              *       ```
```    |             * *      ```
```3430|---------------------M```
```    |                  * * ```
```    |                   *  ```
```    |                      ```
```    |                      ```
```    |                      ```
```    |                     *```
```3345|                 *    ```
```____|______________________```
```    |Dec2022        Jun2023```
_Source: see table below_
*Latest sales transactions*
```Date   Price  BUA Type P/sf```
```------------2023-----------```
```20Jun 27.76M 8230 XX01 3373```
```11Apr 28.25M 8230 XX01 3433```
```01Feb 28.15M 8230 XX01 3420```
```24Jan  28.2M 8230 XX01 3426```
```11Jan 27.53M 8230 XX01 3345```
```05Jan 28.18M 8230 XX01 3424```
```03Jan  28.3M 8230 XX01 3439```
```02Jan 28.41M 8230 XX01 3452```
```------------2022-----------```
```28Dec 28.36M 8230 XX01 3446```
```15Dec 28.52M 8230 XX01 3466```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</si>
  <si>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1009144, *SALES*</t>
  </si>
  <si>
    <t>*SALES*
*TRANSACTIONS**
*THE RESIDENCE|BURJ KHALIFA*
_Area: Downtown_
_Type: 5 bedroom apartment_
```Date   Price  BUA Type P/sf```
```------------2023-----------```
```21Jun 56.35M  16K XX01 3542```
```17Jan 32.68M 8822 XXXX 3705```
```17Jan 32.56M 8822 XXXX 3690```
```12Jan 32.87M 8822 XXXX 3726```
```11Jan 31.84M 8822 XXXX 3610```
```05Jan 32.93M 8822 XXXX 3733```
```05Jan 32.74M 8822 XXXX 3712```
```05Jan 32.55M 8854 XX02 3677```
```03Jan 32.81M 8822 XXXX 3719```
```02Jan 33.06M 8822 XXXX 3747```
```------------2022-----------```
```27Dec    33M 8822 XXXX 3740```
```22Dec 32.62M 8822 XXXX 3697```
_Source: DLD, Databot_
_BUA - built-up area, sq.ft._
_P/sf - price per sq.ft._
_B - bedrooms; O - office_
_M - million, K- thousand_
_S - studio, R - shop_
_*Max 30 latest transactions_
www.trydatabot.com</t>
  </si>
  <si>
    <t>1009145, *MARKET</t>
  </si>
  <si>
    <t>*MARKET*
*SNAPSHOT*
*THE RESIDENCE|BURJ KHALIFA*
_Area: Downtown_
_Type: 5 bedroom apartment_
*Price dynamics, Dirham/sq.ft.*
_(M - median value)_
```3747|           **         ```
```    |             *  * *   ```
```3709|---------------------M```
```    |          *    *    * ```
```    |              *    *  ```
```    |                      ```
```    |                      ```
```    |                      ```
```    |                 *    ```
```    |                      ```
```3542|                     *```
```____|______________________```
```    |Dec2022        Jun2023```
_Source: see table below_
*Latest sales transactions*
```Date   Price  BUA Type P/sf```
```------------2023-----------```
```21Jun 56.35M  16K XX01 3542```
```17Jan 32.68M 8822 XXXX 3705```
```17Jan 32.56M 8822 XXXX 3690```
```12Jan 32.87M 8822 XXXX 3726```
```11Jan 31.84M 8822 XXXX 3610```
```05Jan 32.93M 8822 XXXX 3733```
```05Jan 32.74M 8822 XXXX 3712```
```05Jan 32.55M 8854 XX02 3677```
```03Jan 32.81M 8822 XXXX 3719```
```02Jan 33.06M 8822 XXXX 3747```
```------------2022-----------```
```27Dec    33M 8822 XXXX 3740```
```22Dec 32.62M 8822 XXXX 3697```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</si>
  <si>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1009173, *SALES*</t>
  </si>
  <si>
    <t>*SALES*
*TRANSACTIONS**
*THE RESIDENCE|BURJ KHALIFA*
_Area: Downtown_
_All types/bedrooms_
```Date    Price   BUA  Type B```
```------------2023-----------```
```25Aug  8.576M  2867  XXXX 3```
```21Jun  56.35M   16K  XX01 5```
```20Jun  27.76M  8230  XX01 4```
```02Jun  14.73M  5735  XX03 3```
```11Apr  28.25M  8230  XX01 4```
```11Apr  15.11M  5735  XX03 3```
```31Mar  14.97M  5735  XX03 3```
```01Feb  28.15M  8230  XX01 4```
```26Jan     15M  5735  XX03 3```
```24Jan   28.2M  8230  XX01 4```
```17Jan  32.68M  8822  XXXX 5```
```17Jan  32.56M  8822  XXXX 5```
```12Jan  32.87M  8822  XXXX 5```
```11Jan  31.84M  8822  XXXX 5```
```11Jan  27.53M  8230  XX01 4```
```11Jan   15.2M  5735  XX03 3```
```11Jan  15.09M  5735  XX03 3```
```05Jan  28.18M  8230  XX01 4```
```05Jan  32.93M  8822  XXXX 5```
```05Jan  32.74M  8822  XXXX 5```
```05Jan  15.23M  5735  XX03 3```
```05Jan  32.55M  8854  XX02 5```
```03Jan   28.3M  8230  XX01 4```
```03Jan  15.26M  5735  XX03 3```
```03Jan  32.81M  8822  XXXX 5```
```02Jan  28.41M  8230  XX01 4```
```02Jan  15.14M  5735  XX03 3```
```02Jan  33.06M  8822  XXXX 5```
```02Jan  15.17M  5735  XX03 3```
```------------2022-----------```
```28Dec  28.36M  8230  XX01 4```
_Source: DLD, Databot_
_BUA - built-up area, sq.ft._
_P/sf - price per sq.ft._
_B - bedrooms; O - office_
_M - million, K- thousand_
_S - studio, R - shop_
_*Max 30 latest transactions_
www.trydatabot.com</t>
  </si>
  <si>
    <t>1009174, by code, *BUILDI</t>
  </si>
  <si>
    <t xml:space="preserve">*BUILDING*
*PROFILE*
*THE RESIDENCE|BURJ KHALIFA*
_Area: Downtown_
_Tap&amp;hold to copy a reply_
```-------------------------```
```Report              Reply```
```-------------------------```
*3 B/R*
```Sales, ROI        1009136```
```Price chart       1009137```
```Rentals               n/a```
*4 B/R*
```Sales, ROI        1009140```
```Price chart       1009141```
```Rentals               n/a```
*5 B/R*
```Sales, ROI        1009144```
```Price chart       1009145```
```Rentals               n/a```
*All types/bedrooms*
```Sales, ROI        1009173```
```Rentals               n/a```
</t>
  </si>
  <si>
    <t>1009188, *SALES*</t>
  </si>
  <si>
    <t>*SALES*
*TRANSACTIONS**
*BURJ KHALIFA ZONE 2B*
_Area: Downtown_
_Type: studio apartment_
```Date   Price  BUA Type P/sf```
```------------2023-----------```
```21Jun  38.3K  546 XXXX   70```
```31Mar  1.35M  546 XXXX 2473```
```------------2022-----------```
```07Oct  1.35M  546 XXXX 2473```
```06Sep   1.6M  546 XXXX 2930```
```10Jun 1.425M  548 XXXX 2600```
```24Feb   1.4M  546 XXXX 2564```
```05Jan 1.939M  546 XXXX 3550```
```------------2021-----------```
```15Jul   1.4M  546 XXXX 2564```
```09May  1.18M  546 XXXX 2161```
```------------2020-----------```
```04Oct  1.35M  546 XXXX 2473```
```31Aug 1.275M  546 XXXX 2335```
```------------2017-----------```
```01Jul   900K  273 XXXX 3297```
```------------2016-----------```
```15May   1.5M  546 XXXX 2747```
```------------2015-----------```
```19Nov 1.725M  546 XXXX 3159```
```29Sep   1.8M  548 XXXX 3285```
```25May     2M  546 XXXX 3663```
_Source: DLD, Databot_
_BUA - built-up area, sq.ft._
_P/sf - price per sq.ft._
_B - bedrooms; O - office_
_M - million, K- thousand_
_S - studio, R - shop_
_*Max 30 latest transactions_
www.trydatabot.com</t>
  </si>
  <si>
    <t>Burj Khalifa Zone 2B</t>
  </si>
  <si>
    <t>1009189, *MARKET</t>
  </si>
  <si>
    <t>*MARKET*
*SNAPSHOT*
*BURJ KHALIFA ZONE 2B*
_Area: Downtown_
_Type: studio apartment_
*Price dynamics, Dirham/sq.ft.*
_(M - median value)_
```3663|      *        *      ```
```    |       ** *           ```
```    |                  *   ```
```2582|---------------------M```
```    |         *  * * ** ** ```
```    |           * *        ```
```    |                      ```
```    |                      ```
```    |                      ```
```    |                      ```
```70 |******               *```
```____|______________________```
```    |May2015        Jun2023```
_Source: see table below_
*Latest sales transactions*
```Date   Price  BUA Type P/sf```
```------------2023-----------```
```21Jun  38.3K  546 XXXX   70```
```31Mar  1.35M  546 XXXX 2473```
```------------2022-----------```
```07Oct  1.35M  546 XXXX 2473```
```06Sep   1.6M  546 XXXX 2930```
```10Jun 1.425M  548 XXXX 2600```
```24Feb   1.4M  546 XXXX 2564```
```05Jan 1.939M  546 XXXX 3550```
```------------2021-----------```
```15Jul   1.4M  546 XXXX 2564```
```09May  1.18M  546 XXXX 2161```
```------------2020-----------```
```04Oct  1.35M  546 XXXX 2473```
```31Aug 1.275M  546 XXXX 2335```
```------------2017-----------```
```01Jul   900K  273 XXXX 3297```
```------------2016-----------```
```15May   1.5M  546 XXXX 2747```
```------------2015-----------```
```19Nov 1.725M  546 XXXX 3159```
```29Sep   1.8M  548 XXXX 3285```
```25May     2M  546 XXXX 3663```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</si>
  <si>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1009192, *SALES*</t>
  </si>
  <si>
    <t>*SALES*
*TRANSACTIONS**
*BURJ KHALIFA ZONE 2B*
_Area: Downtown_
_Type: 1 bedroom apartment_
```Date   Price  BUA Type P/sf```
```------------2023-----------```
```22Aug 2.305M 1103 XXXX 2090```
```09Aug  3.15M  826 XXXX 3814```
```27Jul  2.45M  986 XXXX 2485```
```27Jul   2.5M  986 XXXX 2535```
```26Jun   2.4M 1103 XXXX 2176```
```21Jun   3.4M 1103 XXXX 3083```
```21Jun   3.3M 1098 XXXX 3005```
```21Jun   3.3M 1098 XXXX 3005```
```07Jun   2.4M 1103 XXXX 2176```
```30May   3.3M 1103 XXXX 2992```
```30May   2.5M 1103 XXXX 2267```
```22May 2.375M 1103 XXXX 2153```
```13Mar  2.26M  986 XXXX 2292```
```01Mar  2.35M 1103 XXXX 2131```
```16Feb   2.4M  826 XXXX 2906```
```03Jan   3.1M  936 XXXX 3312```
```------------2022-----------```
```14Dec   2.1M  986 XXXX 2130```
```22Nov   2.2M 1103 XXXX 1995```
```27Oct   2.8M  936 XXXX 2991```
```21Oct  2.25M  986 XXXX 2282```
```13Sep 2.275M 1103 XXXX 2063```
```06Apr   2.8M  826 XXXX 3390```
```09Mar   2.6M  826 XXXX 3148```
```09Feb  2.35M  826 XXXX 2845```
```------------2021-----------```
```16Nov 2.303M  936 XXXX 2460```
```27Sep   2.1M 1103 XXXX 1904```
```23Sep   2.7M  826 XXXX 3269```
```11Jul  1.95M  826 XXXX 2361```
```09Jun  1.82M  826 XXXX 2203```
```08Jun   2.2M 1103 XXXX 1995```
_Source: DLD, Databot_
_BUA - built-up area, sq.ft._
_P/sf - price per sq.ft._
_B - bedrooms; O - office_
_M - million, K- thousand_
_S - studio, R - shop_
_*Max 30 latest transactions_
www.trydatabot.com</t>
  </si>
  <si>
    <t>1009193, *MARKET</t>
  </si>
  <si>
    <t>*MARKET*
*SNAPSHOT*
*BURJ KHALIFA ZONE 2B*
_Area: Downtown_
_Type: 1 bedroom apartment_
*Price dynamics, Dirham/sq.ft.*
_(M - median value)_
```3814|                    * ```
```    |                      ```
```    |*                     ```
```    |      *               ```
```    |              ***     ```
```    |   *   *    *         ```
```    |                      ```
```    |                  **  ```
```2389|---------------------M```
```    |  *      * *          ```
```1995| *  **  * *  *   *   *```
```____|______________________```
```    |Apr2022        Aug2023```
_Source: see table below_
*Latest sales transactions*
```Date   Price  BUA Type P/sf```
```------------2023-----------```
```22Aug 2.305M 1103 XXXX 2090```
```09Aug  3.15M  826 XXXX 3814```
```27Jul  2.45M  986 XXXX 2485```
```27Jul   2.5M  986 XXXX 2535```
```26Jun   2.4M 1103 XXXX 2176```
```21Jun   3.4M 1103 XXXX 3083```
```21Jun   3.3M 1098 XXXX 3005```
```21Jun   3.3M 1098 XXXX 3005```
```07Jun   2.4M 1103 XXXX 2176```
```30May   3.3M 1103 XXXX 2992```
```30May   2.5M 1103 XXXX 2267```
```22May 2.375M 1103 XXXX 2153```
```13Mar  2.26M  986 XXXX 2292```
```01Mar  2.35M 1103 XXXX 2131```
```16Feb   2.4M  826 XXXX 2906```
```03Jan   3.1M  936 XXXX 3312```
```------------2022-----------```
```14Dec   2.1M  986 XXXX 2130```
```22Nov   2.2M 1103 XXXX 1995```
```27Oct   2.8M  936 XXXX 2991```
```21Oct  2.25M  986 XXXX 2282```
```13Sep 2.275M 1103 XXXX 2063```
```06Apr   2.8M  826 XXXX 3390```
```09Mar   2.6M  826 XXXX 3148```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</si>
  <si>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1009196, *SALES*</t>
  </si>
  <si>
    <t>*SALES*
*TRANSACTIONS**
*BURJ KHALIFA ZONE 2B*
_Area: Downtown_
_Type: 2 bedroom apartment_
```Date   Price  BUA Type P/sf```
```------------2023-----------```
```24Jul  3.93M 1639 XXXX 2398```
```18Jul   3.6M 1546 XXXX 2329```
```23Jun  4.07M 2008 XXXX 2027```
```23Jun  3.67M 1546 XXXX 2374```
```21Jun     5M 1546 XXXX 3234```
```21Jun     5M 1639 XXXX 3051```
```21Jun     5M 1639 XXXX 3051```
```21Jun   4.9M 1546 XXXX 3169```
```08May  4.45M 1546 XXXX 2878```
```08May   3.6M 1639 XXXX 2196```
```27Apr  5.75M 1546 XXXX 3719```
```17Apr   3.9M 1639 XXXX 2379```
```26Jan   3.7M 1546 XXXX 2393```
```23Jan   6.8M 2008 XXXX 3386```
```------------2022-----------```
```22Dec  4.45M 1639 XXXX 2715```
```09Nov   3.1M 1639 XXXX 1891```
```03Nov 4.715M 2008 XXXX 2348```
```17Oct   4.2M 1546 XXXX 2717```
```01Sep     3M 1639 XXXX 1830```
```17Aug   4.3M 1639 XXXX 2624```
```08Aug   4.7M 1546 XXXX 3040```
```23May  3.55M 1546 XXXX 2296```
```29Apr   3.7M 1546 XXXX 2393```
```20Apr  4.15M 1546 XXXX 2684```
```24Mar   3.5M 1546 XXXX 2264```
```20Feb 5.172M 2008 XXXX 2576```
```27Jan   3.3M 1639 XXXX 2013```
```11Jan   4.3M 1546 XXXX 2781```
```------------2021-----------```
```28Nov   3.4M 1546 XXXX 2199```
```22Nov   3.3M 1546 XXXX 2135```
_Source: DLD, Databot_
_BUA - built-up area, sq.ft._
_P/sf - price per sq.ft._
_B - bedrooms; O - office_
_M - million, K- thousand_
_S - studio, R - shop_
_*Max 30 latest transactions_
www.trydatabot.com</t>
  </si>
  <si>
    <t>1009197, *MARKET</t>
  </si>
  <si>
    <t>*MARKET*
*SNAPSHOT*
*BURJ KHALIFA ZONE 2B*
_Area: Downtown_
_Type: 2 bedroom apartment_
*Price dynamics, Dirham/sq.ft.*
_(M - median value)_
```3719|           *          ```
```    |                      ```
```    |        *             ```
```    |              *  *    ```
```    | *           * **     ```
```    |    *  *              ```
```2511|---------------------M```
```    |  *                   ```
```    |     *   **       * **```
```    |*           *      *  ```
```1830|   *  *               ```
```____|______________________```
```    |May2022        Jul2023```
_Source: see table below_
*Latest sales transactions*
```Date   Price  BUA Type P/sf```
```------------2023-----------```
```24Jul  3.93M 1639 XXXX 2398```
```18Jul   3.6M 1546 XXXX 2329```
```23Jun  4.07M 2008 XXXX 2027```
```23Jun  3.67M 1546 XXXX 2374```
```21Jun     5M 1546 XXXX 3234```
```21Jun     5M 1639 XXXX 3051```
```21Jun     5M 1639 XXXX 3051```
```21Jun   4.9M 1546 XXXX 3169```
```08May  4.45M 1546 XXXX 2878```
```08May   3.6M 1639 XXXX 2196```
```27Apr  5.75M 1546 XXXX 3719```
```17Apr   3.9M 1639 XXXX 2379```
```26Jan   3.7M 1546 XXXX 2393```
```23Jan   6.8M 2008 XXXX 3386```
```------------2022-----------```
```22Dec  4.45M 1639 XXXX 2715```
```09Nov   3.1M 1639 XXXX 1891```
```03Nov 4.715M 2008 XXXX 2348```
```17Oct   4.2M 1546 XXXX 2717```
```01Sep     3M 1639 XXXX 1830```
```17Aug   4.3M 1639 XXXX 2624```
```08Aug   4.7M 1546 XXXX 3040```
```23May  3.55M 1546 XXXX 2296```
```29Apr   3.7M 1546 XXXX 2393```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</si>
  <si>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1009200, *SALES*</t>
  </si>
  <si>
    <t>*SALES*
*TRANSACTIONS**
*BURJ KHALIFA ZONE 2B*
_Area: Downtown_
_Type: 3 bedroom apartment_
```Date   Price  BUA Type P/sf```
```------------2023-----------```
```21Jun     7M 2333 XXXX 3000```
```21Jun   6.9M 2333 XXXX 2958```
```22Mar   4.8M 2333 XXXX 2057```
```------------2022-----------```
```24Oct     7M 2333 XXXX 3000```
```07Oct   6.7M 2333 XXXX 2872```
```10Aug  5.85M 2333 XXXX 2508```
```13Jul  4.85M 2333 XXXX 2079```
```29Apr 5.227M 2333 XXXX 2241```
```31Mar 5.217M 2333 XXXX 2236```
```27Jan 5.396M 2333 XXXX 2313```
```------------2021-----------```
```24Nov   4.6M 2333 XXXX 1972```
```21Feb   3.6M 2333 XXXX 1543```
```------------2020-----------```
```27Aug  3.99M 2333 XXXX 1710```
```26Feb 3.574M 2333 XXXX 1532```
```------------2019-----------```
```26Dec     5M 2333 XXXX 2143```
```22May 3.504M 2333 XXXX 1502```
```------------2018-----------```
```16Jan  6.75M 2333 XXXX 2893```
```16Jan   6.1M 2333 XXXX 2615```
```------------2016-----------```
```25Jan  5.85M 2333 XXXX 2508```
```------------2015-----------```
```10Nov  6.25M 2333 XXXX 2679```
```29Oct     6M 2333 XXXX 2572```
```06May 7.064M 2333 XXXX 3028```
_Source: DLD, Databot_
_BUA - built-up area, sq.ft._
_P/sf - price per sq.ft._
_B - bedrooms; O - office_
_M - million, K- thousand_
_S - studio, R - shop_
_*Max 30 latest transactions_
www.trydatabot.com</t>
  </si>
  <si>
    <t>1009201, *MARKET</t>
  </si>
  <si>
    <t>*MARKET*
*SNAPSHOT*
*BURJ KHALIFA ZONE 2B*
_Area: Downtown_
_Type: 3 bedroom apartment_
*Price dynamics, Dirham/sq.ft.*
_(M - median value)_
```3028|*                 * **```
```    |     *           *    ```
```    |  *                   ```
```    | * **           *     ```
```2411|---------------------M```
```    |                      ```
```    |            ***       ```
```    |       *       *   *  ```
```    |           *          ```
```    |         *            ```
```1502|      * * *           ```
```____|______________________```
```    |May2015        Jun2023```
_Source: see table below_
*Latest sales transactions*
```Date   Price  BUA Type P/sf```
```------------2023-----------```
```21Jun     7M 2333 XXXX 3000```
```21Jun   6.9M 2333 XXXX 2958```
```22Mar   4.8M 2333 XXXX 2057```
```------------2022-----------```
```24Oct     7M 2333 XXXX 3000```
```07Oct   6.7M 2333 XXXX 2872```
```10Aug  5.85M 2333 XXXX 2508```
```13Jul  4.85M 2333 XXXX 2079```
```29Apr 5.227M 2333 XXXX 2241```
```31Mar 5.217M 2333 XXXX 2236```
```27Jan 5.396M 2333 XXXX 2313```
```------------2021-----------```
```24Nov   4.6M 2333 XXXX 1972```
```21Feb   3.6M 2333 XXXX 1543```
```------------2020-----------```
```27Aug  3.99M 2333 XXXX 1710```
```26Feb 3.574M 2333 XXXX 1532```
```------------2019-----------```
```26Dec     5M 2333 XXXX 2143```
```22May 3.504M 2333 XXXX 1502```
```------------2018-----------```
```16Jan  6.75M 2333 XXXX 2893```
```16Jan   6.1M 2333 XXXX 2615```
```------------2016-----------```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</si>
  <si>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1009204, *SALES*</t>
  </si>
  <si>
    <t>*SALES*
*TRANSACTIONS**
*BURJ KHALIFA ZONE 2B*
_Area: Downtown_
_Type: 4 bedroom apartment_
```Date   Price  BUA Type P/sf```
```------------2021-----------```
```06Dec    20M 7161 XXXX 2793```
```------------2020-----------```
```04Oct 12.78M 6406 XX03 1995```
_Source: DLD, Databot_
_BUA - built-up area, sq.ft._
_P/sf - price per sq.ft._
_B - bedrooms; O - office_
_M - million, K- thousand_
_S - studio, R - shop_
_*Max 30 latest transactions_
www.trydatabot.com</t>
  </si>
  <si>
    <t>1009205, *MARKET</t>
  </si>
  <si>
    <t>*MARKET*
*SNAPSHOT*
*BURJ KHALIFA ZONE 2B*
_Area: Downtown_
_Type: 4 bedroom apartment_
*Price dynamics, Dirham/sq.ft.*
_(M - median value)_
```2793|                     *```
```    |                      ```
```    |                      ```
```    |                      ```
```    |                      ```
```2394|---------------------M```
```    |                      ```
```    |                      ```
```    |                      ```
```    |                      ```
```1995|                    * ```
```____|______________________```
```    |Oct2020        Dec2021```
_Source: see table below_
*Latest sales transactions*
```Date   Price  BUA Type P/sf```
```------------2021-----------```
```06Dec    20M 7161 XXXX 2793```
```------------2020-----------```
```04Oct 12.78M 6406 XX03 1995```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</si>
  <si>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1009237, *SALES*</t>
  </si>
  <si>
    <t>*SALES*
*TRANSACTIONS**
*BURJ KHALIFA ZONE 2B*
_Area: Downtown_
_All types/bedrooms_
```Date    Price   BUA  Type B```
```------------2023-----------```
```22Aug  2.305M  1103  XXXX 1```
```09Aug   3.15M   826  XXXX 1```
```27Jul   2.45M   986  XXXX 1```
```27Jul    2.5M   986  XXXX 1```
```24Jul   3.93M  1639  XXXX 2```
```18Jul    3.6M  1546  XXXX 2```
```26Jun    2.4M  1103  XXXX 1```
```23Jun   4.07M  2008  XXXX 2```
```23Jun   3.67M  1546  XXXX 2```
```21Jun      7M  2333  XXXX 3```
```21Jun   38.3K   546  XXXX S```
```21Jun    6.9M  2333  XXXX 3```
```21Jun      5M  1546  XXXX 2```
```21Jun    3.4M  1103  XXXX 1```
```21Jun      5M  1639  XXXX 2```
```21Jun      5M  1639  XXXX 2```
```21Jun    3.3M  1098  XXXX 1```
```21Jun    4.9M  1546  XXXX 2```
```21Jun    3.3M  1098  XXXX 1```
```07Jun    2.4M  1103  XXXX 1```
```30May    3.3M  1103  XXXX 1```
```30May    2.5M  1103  XXXX 1```
```22May  2.375M  1103  XXXX 1```
```08May   4.45M  1546  XXXX 2```
```08May    3.6M  1639  XXXX 2```
```27Apr   5.75M  1546  XXXX 2```
```17Apr    3.9M  1639  XXXX 2```
```31Mar   1.35M   546  XXXX S```
```22Mar    4.8M  2333  XXXX 3```
```13Mar   2.26M   986  XXXX 1```
_Source: DLD, Databot_
_BUA - built-up area, sq.ft._
_P/sf - price per sq.ft._
_B - bedrooms; O - office_
_M - million, K- thousand_
_S - studio, R - shop_
_*Max 30 latest transactions_
www.trydatabot.com</t>
  </si>
  <si>
    <t>1009238, by code, *BUILDI</t>
  </si>
  <si>
    <t xml:space="preserve">*BUILDING*
*PROFILE*
*BURJ KHALIFA ZONE 2B*
_Area: Downtown_
_Tap&amp;hold to copy a reply_
```-------------------------```
```Report              Reply```
```-------------------------```
*Studio*
```Sales, ROI        1009188```
```Price chart       1009189```
```Rentals               n/a```
*1 B/R*
```Sales, ROI        1009192```
```Price chart       1009193```
```Rentals               n/a```
*2 B/R*
```Sales, ROI        1009196```
```Price chart       1009197```
```Rentals               n/a```
*3 B/R*
```Sales, ROI        1009200```
```Price chart       1009201```
```Rentals               n/a```
*4 B/R*
```Sales, ROI        1009204```
```Price chart       1009205```
```Rentals               n/a```
*All types/bedrooms*
```Sales, ROI        1009237```
```Rentals               n/a```
</t>
  </si>
  <si>
    <t>1009256, *SALES*</t>
  </si>
  <si>
    <t>*SALES*
*TRANSACTIONS**
*BURJ KHALIFA ZONE 3*
_Area: Downtown_
_Type: 1 bedroom apartment_
```Date   Price  BUA Type P/sf```
```------------2023-----------```
```28Aug  2.55M 1173 XXXX 2174```
```13Jul  2.75M 1096 XXXX 2509```
```10Jul   2.2M 1096 XXXX 2007```
```15Jun 2.575M 1096 XXXX 2349```
```29May     3M 1096 XXXX 2737```
```23Mar  2.65M 1096 XXXX 2418```
```13Mar   2.5M 1096 XXXX 2281```
```13Mar     3M  968 XXXX 3099```
```12Jan   2.7M  968 XXXX 2789```
```------------2022-----------```
```31Aug   2.3M 1096 XXXX 2099```
```15Mar 1.959M 1173 XXXX 1670```
```08Feb   2.5M 1096 XXXX 2281```
```26Jan  1.76M 1096 XXXX 1606```
```07Jan   2.3M  968 XXXX 2376```
```------------2021-----------```
```15Dec   1.8M 1096 XXXX 1642```
```15Nov   2.1M 1096 XXXX 1916```
```20Oct   1.5M 1096 XXXX 1369```
```17Oct  2.08M 1096 XXXX 1898```
```06Jun  2.09M 1378 XXXX 1517```
```30May 1.661M 1173 XXXX 1416```
```26Apr  1.75M 1096 XXXX 1597```
```25Apr 1.692M 1096 XXXX 1544```
```25Apr 1.494M  968 XXXX 1544```
```25Apr 1.692M 1096 XXXX 1544```
```18Mar   2.7M 1378 XXXX 1959```
```06Jan   1.5M 1378 XXXX 1089```
```------------2020-----------```
```29Dec 1.725M 1096 XXXX 1574```
```20Dec   1.8M 1096 XXXX 1642```
```19Nov  1.85M 1096 XXXX 1688```
```08Oct  1.87M 1096 XXXX 1706```
_Source: DLD, Databot_
_BUA - built-up area, sq.ft._
_P/sf - price per sq.ft._
_B - bedrooms; O - office_
_M - million, K- thousand_
_S - studio, R - shop_
_*Max 30 latest transactions_
www.trydatabot.com</t>
  </si>
  <si>
    <t>Burj Khalifa Zone 3</t>
  </si>
  <si>
    <t>1009257, *MARKET</t>
  </si>
  <si>
    <t>*MARKET*
*SNAPSHOT*
*BURJ KHALIFA ZONE 3*
_Area: Downtown_
_Type: 1 bedroom apartment_
*Price dynamics, Dirham/sq.ft.*
_(M - median value)_
```3099|              *       ```
```    |                      ```
```    |             *   *    ```
```    |                    * ```
```    |        *       * *   ```
```    |          *    *     *```
```2053|---------------------M```
```    |            *      *  ```
```    |    * *               ```
```    |**     * * *          ```
```1369|  ** *                ```
```____|______________________```
```    |Apr2021        Aug2023```
_Source: see table below_
*Latest sales transactions*
```Date   Price  BUA Type P/sf```
```------------2023-----------```
```28Aug  2.55M 1173 XXXX 2174```
```13Jul  2.75M 1096 XXXX 2509```
```10Jul   2.2M 1096 XXXX 2007```
```15Jun 2.575M 1096 XXXX 2349```
```29May     3M 1096 XXXX 2737```
```23Mar  2.65M 1096 XXXX 2418```
```13Mar   2.5M 1096 XXXX 2281```
```13Mar     3M  968 XXXX 3099```
```12Jan   2.7M  968 XXXX 2789```
```------------2022-----------```
```31Aug   2.3M 1096 XXXX 2099```
```15Mar 1.959M 1173 XXXX 1670```
```08Feb   2.5M 1096 XXXX 2281```
```26Jan  1.76M 1096 XXXX 1606```
```07Jan   2.3M  968 XXXX 2376```
```------------2021-----------```
```15Dec   1.8M 1096 XXXX 1642```
```15Nov   2.1M 1096 XXXX 1916```
```20Oct   1.5M 1096 XXXX 1369```
```17Oct  2.08M 1096 XXXX 1898```
```06Jun  2.09M 1378 XXXX 1517```
```30May 1.661M 1173 XXXX 1416```
```26Apr  1.75M 1096 XXXX 1597```
```25Apr 1.692M 1096 XXXX 1544```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</si>
  <si>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1009260, *SALES*</t>
  </si>
  <si>
    <t>*SALES*
*TRANSACTIONS**
*BURJ KHALIFA ZONE 3*
_Area: Downtown_
_Type: 2 bedroom apartment_
```Date   Price  BUA Type P/sf```
```------------2023-----------```
```18Sep   4.7M 2053 XXXX 2289```
```11Sep   4.1M 1716 XXXX 2389```
```23Jun  3.67M 2056 XXXX 1785```
```21Jun   6.4M 1778 XXXX 3600```
```19Jun   4.1M 2053 XXXX 1997```
```09Jun     4M 2038 XX03 1963```
```07Jun   4.1M 2056 XXXX 1994```
```25May   4.5M 1778 XXXX 2531```
```19Apr     4M 1888 XXXX 2119```
```12Apr     4M 1716 XXXX 2331```
```27Mar   4.5M 2038 XX03 2208```
```16Mar  4.15M 1778 XXXX 2334```
```13Mar  4.65M 1716 XXXX 2710```
```01Feb   4.6M 1428 XX01 3221```
```17Jan 8.134M 2053 XXXX 3962```
```06Jan   4.9M 1778 XXXX 2756```
```------------2022-----------```
```22Dec     5M 1888 XXXX 2648```
```20Dec     4M 1888 XXXX 2119```
```24Nov  3.85M 2056 XXXX 1873```
```31Oct   3.7M 2053 XXXX 1802```
```31Oct   3.7M 2053 XXXX 1802```
```27Oct     4M 1716 XXXX 2331```
```25Oct   4.2M 1888 XXXX 2225```
```13Oct     4M 1888 XXXX 2119```
```11Oct  5.15M 1778 XXXX 2897```
```07Sep  3.75M 2056 XXXX 1824```
```30Aug  4.05M 1888 XXXX 2145```
```07Jul 3.701M 2056 XXXX 1800```
```10Jun   3.6M 1428 XX01 2521```
```14Apr   4.5M 1778 XXXX 2531```
_Source: DLD, Databot_
_BUA - built-up area, sq.ft._
_P/sf - price per sq.ft._
_B - bedrooms; O - office_
_M - million, K- thousand_
_S - studio, R - shop_
_*Max 30 latest transactions_
www.trydatabot.com</t>
  </si>
  <si>
    <t>1009261, *MARKET</t>
  </si>
  <si>
    <t>*MARKET*
*SNAPSHOT*
*BURJ KHALIFA ZONE 3*
_Area: Downtown_
_Type: 2 bedroom apartment_
*Price dynamics, Dirham/sq.ft.*
_(M - median value)_
```3962|       *              ```
```    |                      ```
```    |                  *   ```
```    |        *             ```
```    |                      ```
```    |                      ```
```    |     **  *            ```
```    |*         * * *     * ```
```2310|---------------------M```
```    |    *      * *       *```
```1785| ***           *** *  ```
```____|______________________```
```    |Oct2022        Sep2023```
_Source: see table below_
*Latest sales transactions*
```Date   Price  BUA Type P/sf```
```------------2023-----------```
```18Sep   4.7M 2053 XXXX 2289```
```11Sep   4.1M 1716 XXXX 2389```
```23Jun  3.67M 2056 XXXX 1785```
```21Jun   6.4M 1778 XXXX 3600```
```19Jun   4.1M 2053 XXXX 1997```
```09Jun     4M 2038 XX03 1963```
```07Jun   4.1M 2056 XXXX 1994```
```25May   4.5M 1778 XXXX 2531```
```19Apr     4M 1888 XXXX 2119```
```12Apr     4M 1716 XXXX 2331```
```27Mar   4.5M 2038 XX03 2208```
```16Mar  4.15M 1778 XXXX 2334```
```13Mar  4.65M 1716 XXXX 2710```
```01Feb   4.6M 1428 XX01 3221```
```17Jan 8.134M 2053 XXXX 3962```
```06Jan   4.9M 1778 XXXX 2756```
```------------2022-----------```
```22Dec     5M 1888 XXXX 2648```
```20Dec     4M 1888 XXXX 2119```
```24Nov  3.85M 2056 XXXX 1873```
```31Oct   3.7M 2053 XXXX 1802```
```31Oct   3.7M 2053 XXXX 1802```
```27Oct     4M 1716 XXXX 2331```
```25Oct   4.2M 1888 XXXX 2225```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</si>
  <si>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1009264, *SALES*</t>
  </si>
  <si>
    <t>*SALES*
*TRANSACTIONS**
*BURJ KHALIFA ZONE 3*
_Area: Downtown_
_Type: 3 bedroom apartment_
```Date   Price  BUA Type P/sf```
```------------2022-----------```
```26Jan 5.357M 2663 XXXX 2012```
```------------2021-----------```
```07Nov   5.8M 2663 XXXX 2178```
```30Aug   5.5M 2323 XXXX 2368```
```27Jul   4.9M 2323 XXXX 2109```
```26May   5.2M 2663 XXXX 1953```
```25Apr 3.586M 2323 XXXX 1544```
```21Mar   3.4M 2663 XXXX 1277```
```------------2020-----------```
```23Dec 3.728M 2663 XXXX 1400```
```22Dec 3.755M 2663 XXXX 1410```
```04Nov  3.75M 2323 XXXX 1614```
```------------2017-----------```
```11Dec   6.7M 2663 XXXX 2516```
```04Dec   7.5M 2663 XXXX 2816```
```------------2016-----------```
```25Oct   6.9M 2663 XXXX 2591```
```21Jun   6.5M 2663 XXXX 2441```
```------------2015-----------```
```15Jul 7.201M 2323 XXXX 3100```
_Source: DLD, Databot_
_BUA - built-up area, sq.ft._
_P/sf - price per sq.ft._
_B - bedrooms; O - office_
_M - million, K- thousand_
_S - studio, R - shop_
_*Max 30 latest transactions_
www.trydatabot.com</t>
  </si>
  <si>
    <t>1009265, *MARKET</t>
  </si>
  <si>
    <t>*MARKET*
*SNAPSHOT*
*BURJ KHALIFA ZONE 3*
_Area: Downtown_
_Type: 3 bedroom apartment_
*Price dynamics, Dirham/sq.ft.*
_(M - median value)_
```3100|       *              ```
```    |                      ```
```    |          *           ```
```    |         * *          ```
```    |        *          *  ```
```2109|---------------------M```
```    |                  * * ```
```    |                 *   *```
```    |                      ```
```    |            *   *     ```
```1277|             ***      ```
```____|______________________```
```    |Jul2015        Jan2022```
_Source: see table below_
*Latest sales transactions*
```Date   Price  BUA Type P/sf```
```------------2022-----------```
```26Jan 5.357M 2663 XXXX 2012```
```------------2021-----------```
```07Nov   5.8M 2663 XXXX 2178```
```30Aug   5.5M 2323 XXXX 2368```
```27Jul   4.9M 2323 XXXX 2109```
```26May   5.2M 2663 XXXX 1953```
```25Apr 3.586M 2323 XXXX 1544```
```21Mar   3.4M 2663 XXXX 1277```
```------------2020-----------```
```23Dec 3.728M 2663 XXXX 1400```
```22Dec 3.755M 2663 XXXX 1410```
```04Nov  3.75M 2323 XXXX 1614```
```------------2017-----------```
```11Dec   6.7M 2663 XXXX 2516```
```04Dec   7.5M 2663 XXXX 2816```
```------------2016-----------```
```25Oct   6.9M 2663 XXXX 2591```
```21Jun   6.5M 2663 XXXX 2441```
```------------2015-----------```
```15Jul 7.201M 2323 XXXX 3100```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</si>
  <si>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1009268, *SALES*</t>
  </si>
  <si>
    <t>*SALES*
*TRANSACTIONS**
*BURJ KHALIFA ZONE 3*
_Area: Downtown_
_Type: 4 bedroom apartment_
```Date   Price  BUA Type P/sf```
```------------2020-----------```
```30Nov  14.2M 7161 XXXX 1983```
_Source: DLD, Databot_
_BUA - built-up area, sq.ft._
_P/sf - price per sq.ft._
_B - bedrooms; O - office_
_M - million, K- thousand_
_S - studio, R - shop_
_*Max 30 latest transactions_
www.trydatabot.com</t>
  </si>
  <si>
    <t>1009269, *MARKET</t>
  </si>
  <si>
    <t>*MARKET*
*SNAPSHOT*
*BURJ KHALIFA ZONE 3*
_Area: Downtown_
_Type: 4 bedroom apartment_
*Price dynamics, Dirham/sq.ft.*
_(M - median value)_
```1983|                     *```
```1983|----------------------```
```    |                     *```
```1983|---------------------M```
```    |                     *```
```1983|---------------------M```
```    |                     *```
```1983|---------------------M```
```    |                     *```
```1983|---------------------M```
```    |                     *```
```____|______________________```
```    |Nov2020        Nov2020```
_Source: see table below_
*Latest sales transactions*
```Date   Price  BUA Type P/sf```
```------------2020-----------```
```30Nov  14.2M 7161 XXXX 1983```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</si>
  <si>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1009301, *SALES*</t>
  </si>
  <si>
    <t>*SALES*
*TRANSACTIONS**
*BURJ KHALIFA ZONE 3*
_Area: Downtown_
_All types/bedrooms_
```Date    Price   BUA  Type B```
```------------2023-----------```
```18Sep    4.7M  2053  XXXX 2```
```11Sep    4.1M  1716  XXXX 2```
```28Aug   2.55M  1173  XXXX 1```
```13Jul   2.75M  1096  XXXX 1```
```10Jul    2.2M  1096  XXXX 1```
```23Jun   3.67M  2056  XXXX 2```
```21Jun    6.4M  1778  XXXX 2```
```19Jun    4.1M  2053  XXXX 2```
```15Jun  2.575M  1096  XXXX 1```
```09Jun      4M  2038  XX03 2```
```07Jun    4.1M  2056  XXXX 2```
```29May      3M  1096  XXXX 1```
```25May    4.5M  1778  XXXX 2```
```19Apr      4M  1888  XXXX 2```
```12Apr      4M  1716  XXXX 2```
```27Mar    4.5M  2038  XX03 2```
```23Mar   2.65M  1096  XXXX 1```
```16Mar   4.15M  1778  XXXX 2```
```13Mar    2.5M  1096  XXXX 1```
```13Mar      3M   968  XXXX 1```
```13Mar   4.65M  1716  XXXX 2```
```01Feb    4.6M  1428  XX01 2```
```17Jan  8.134M  2053  XXXX 2```
```12Jan    2.7M   968  XXXX 1```
```06Jan    4.9M  1778  XXXX 2```
```------------2022-----------```
```22Dec      5M  1888  XXXX 2```
```20Dec      4M  1888  XXXX 2```
```24Nov   3.85M  2056  XXXX 2```
```31Oct    3.7M  2053  XXXX 2```
```31Oct    3.7M  2053  XXXX 2```
_Source: DLD, Databot_
_BUA - built-up area, sq.ft._
_P/sf - price per sq.ft._
_B - bedrooms; O - office_
_M - million, K- thousand_
_S - studio, R - shop_
_*Max 30 latest transactions_
www.trydatabot.com</t>
  </si>
  <si>
    <t>1009302, by code, *BUILDI</t>
  </si>
  <si>
    <t xml:space="preserve">*BUILDING*
*PROFILE*
*BURJ KHALIFA ZONE 3*
_Area: Downtown_
_Tap&amp;hold to copy a reply_
```-------------------------```
```Report              Reply```
```-------------------------```
*1 B/R*
```Sales, ROI        1009256```
```Price chart       1009257```
```Rentals               n/a```
*2 B/R*
```Sales, ROI        1009260```
```Price chart       1009261```
```Rentals               n/a```
*3 B/R*
```Sales, ROI        1009264```
```Price chart       1009265```
```Rentals               n/a```
*4 B/R*
```Sales, ROI        1009268```
```Price chart       1009269```
```Rentals               n/a```
*All types/bedrooms*
```Sales, ROI        1009301```
```Rentals               n/a```
</t>
  </si>
  <si>
    <t>1009320, *SALES*</t>
  </si>
  <si>
    <t>*SALES*
*TRANSACTIONS**
*BURJ KHALIFA ZONE 4*
_Area: Downtown_
_Type: 1 bedroom apartment_
```Date   Price  BUA Type P/sf```
```------------2023-----------```
```21Jun   4.5M 1133 XXXX 3972```
```14Jun   3.3M 1133 XXXX 2913```
```24May   4.5M 1133 XXXX 3972```
```19Apr   3.3M 1133 XXXX 2913```
```31Mar   2.9M 1133 XXXX 2560```
```06Feb   3.5M 1133 XXXX 3089```
```30Jan   2.5M 1133 XXXX 2207```
```------------2021-----------```
```16Feb   2.2M 1133 XXXX 1942```
```------------2020-----------```
```27Oct   2.1M 1133 XXXX 1853```
```27Sep 1.605M 1133 XXXX 1417```
```09Mar     2M 1133 XXXX 1765```
```------------2017-----------```
```16Nov 2.379M 1133 XXXX 2100```
```------------2016-----------```
```15Nov 3.409M 1133 XXXX 3009```
```10Apr 2.602M 1133 XXXX 2296```
```05Jan 2.975M 1133 XXXX 2626```
```------------2015-----------```
```15Dec     3M 1133 XXXX 2648```
```30Sep 2.915M 1133 XXXX 2573```
_Source: DLD, Databot_
_BUA - built-up area, sq.ft._
_P/sf - price per sq.ft._
_B - bedrooms; O - office_
_M - million, K- thousand_
_S - studio, R - shop_
_*Max 30 latest transactions_
www.trydatabot.com</t>
  </si>
  <si>
    <t>Burj Khalifa Zone 4</t>
  </si>
  <si>
    <t>1009321, *MARKET</t>
  </si>
  <si>
    <t>*MARKET*
*SNAPSHOT*
*BURJ KHALIFA ZONE 4*
_Area: Downtown_
_Type: 1 bedroom apartment_
*Price dynamics, Dirham/sq.ft.*
_(M - median value)_
```3972|                   * *```
```    |                      ```
```    |                      ```
```    |                *     ```
```    |         *        * * ```
```2573|---------------------M```
```    |     ***              ```
```    |                 *    ```
```    |        * *    *      ```
```    |           * **       ```
```1417|            *         ```
```____|______________________```
```    |Sep2015        Jun2023```
_Source: see table below_
*Latest sales transactions*
```Date   Price  BUA Type P/sf```
```------------2023-----------```
```21Jun   4.5M 1133 XXXX 3972```
```14Jun   3.3M 1133 XXXX 2913```
```24May   4.5M 1133 XXXX 3972```
```19Apr   3.3M 1133 XXXX 2913```
```31Mar   2.9M 1133 XXXX 2560```
```06Feb   3.5M 1133 XXXX 3089```
```30Jan   2.5M 1133 XXXX 2207```
```------------2021-----------```
```16Feb   2.2M 1133 XXXX 1942```
```------------2020-----------```
```27Oct   2.1M 1133 XXXX 1853```
```27Sep 1.605M 1133 XXXX 1417```
```09Mar     2M 1133 XXXX 1765```
```------------2017-----------```
```16Nov 2.379M 1133 XXXX 2100```
```------------2016-----------```
```15Nov 3.409M 1133 XXXX 3009```
```10Apr 2.602M 1133 XXXX 2296```
```05Jan 2.975M 1133 XXXX 2626```
```------------2015-----------```
```15Dec     3M 1133 XXXX 2648```
```30Sep 2.915M 1133 XXXX 2573```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</si>
  <si>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1009324, *SALES*</t>
  </si>
  <si>
    <t>*SALES*
*TRANSACTIONS**
*BURJ KHALIFA ZONE 4*
_Area: Downtown_
_Type: 2 bedroom apartment_
```Date   Price  BUA Type P/sf```
```------------2023-----------```
```18Sep 10.23M 2108 XXXX 4852```
```17Aug     6M 2058 XX03 2915```
```16Aug     5M 2036 XXXX 2456```
```20Jul     7M 2108 XXXX 3321```
```03Jul     4M 2036 XXXX 1965```
```23Jun 4.335M 2203 XX07 1968```
```14Jun   5.9M 2036 XXXX 2898```
```05Jun 7.325M 2109 XX05 3473```
```24Mar     4M 2033 XX06 1968```
```23Mar  5.05M 2036 XXXX 2480```
```------------2022-----------```
```14Nov  5.75M 1968 XX09 2922```
```26Oct   4.5M 2058 XX03 2187```
```29Sep 4.712M 2298 XX06 2051```
```29Sep 4.297M 2108 XXXX 2038```
```29Aug   4.5M 2036 XXXX 2210```
```29Aug     4M 2058 XX03 1944```
```29Aug   4.5M 2036 XXXX 2210```
```27Jul  7.72M 1909 XXXX 4044```
```19Jul 8.521M 2108 XXXX 4042```
```17Jul 7.339M 2108 XXXX 3481```
```23Jun 7.512M 2108 XXXX 3563```
```21Jun   4.7M 1968 XX09 2388```
```17Jun   5.2M 2058 XX03 2527```
```01Jun 7.325M 2109 XX05 3473```
```28Apr  7.35M 2298 XX06 3198```
```25Apr 7.381M 2358 XX03 3130```
```25Apr  7.02M 2218 XX04 3165```
```22Apr 7.473M 2033 XX06 3676```
```07Apr     7M 2108 XXXX 3321```
```07Apr     7M 2298 XX06 3046```
_Source: DLD, Databot_
_BUA - built-up area, sq.ft._
_P/sf - price per sq.ft._
_B - bedrooms; O - office_
_M - million, K- thousand_
_S - studio, R - shop_
_*Max 30 latest transactions_
www.trydatabot.com</t>
  </si>
  <si>
    <t>1009325, *MARKET</t>
  </si>
  <si>
    <t>*MARKET*
*SNAPSHOT*
*BURJ KHALIFA ZONE 4*
_Area: Downtown_
_Type: 2 bedroom apartment_
*Price dynamics, Dirham/sq.ft.*
_(M - median value)_
```4852|                     *```
```    |                      ```
```    |                      ```
```    |   **                 ```
```    | *                    ```
```    |  *           *   *   ```
```    |                      ```
```    |           *   *    * ```
```2468|---------------------M```
```    |*           *      *  ```
```1944|     ******  *  **    ```
```____|______________________```
```    |Jun2022        Sep2023```
_Source: see table below_
*Latest sales transactions*
```Date   Price  BUA Type P/sf```
```------------2023-----------```
```18Sep 10.23M 2108 XXXX 4852```
```17Aug     6M 2058 XX03 2915```
```16Aug     5M 2036 XXXX 2456```
```20Jul     7M 2108 XXXX 3321```
```03Jul     4M 2036 XXXX 1965```
```23Jun 4.335M 2203 XX07 1968```
```14Jun   5.9M 2036 XXXX 2898```
```05Jun 7.325M 2109 XX05 3473```
```24Mar     4M 2033 XX06 1968```
```23Mar  5.05M 2036 XXXX 2480```
```------------2022-----------```
```14Nov  5.75M 1968 XX09 2922```
```26Oct   4.5M 2058 XX03 2187```
```29Sep 4.712M 2298 XX06 2051```
```29Sep 4.297M 2108 XXXX 2038```
```29Aug   4.5M 2036 XXXX 2210```
```29Aug     4M 2058 XX03 1944```
```29Aug   4.5M 2036 XXXX 2210```
```27Jul  7.72M 1909 XXXX 4044```
```19Jul 8.521M 2108 XXXX 4042```
```17Jul 7.339M 2108 XXXX 3481```
```23Jun 7.512M 2108 XXXX 3563```
```21Jun   4.7M 1968 XX09 2388```
```17Jun   5.2M 2058 XX03 2527```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</si>
  <si>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1009328, *SALES*</t>
  </si>
  <si>
    <t>*SALES*
*TRANSACTIONS**
*BURJ KHALIFA ZONE 4*
_Area: Downtown_
_Type: 3 bedroom apartment_
```Date   Price  BUA Type P/sf```
```------------2022-----------```
```15Nov   7.5M 2923 XX04 2566```
```02Aug     6M 2728 XXXX 2199```
```07Apr  10.2M 2728 XXXX 3739```
```08Mar   7.2M 2728 XXXX 2639```
```08Mar 8.989M 2728 XXXX 3295```
```31Jan 8.884M 2728 XXXX 3257```
```------------2021-----------```
```29Nov   6.2M 2728 XXXX 2273```
```26Jul     6M 2728 XXXX 2199```
```------------2020-----------```
```18Nov   6.5M 2923 XX04 2224```
```14Sep 8.725M 2923 XX04 2985```
```------------2019-----------```
```04Aug   6.4M 2663 XXXX 2403```
```16Jun 10.94M 2663 XXXX 4108```
```------------2018-----------```
```25Oct 8.786M 2728 XXXX 3221```
```07Jun     7M 2728 XXXX 2566```
```------------2017-----------```
```10Dec   7.3M 2728 XXXX 2676```
```10Jan 11.88M 2923 XX04 4064```
```------------2016-----------```
```04Jun     8M 2728 XXXX 2933```
_Source: DLD, Databot_
_BUA - built-up area, sq.ft._
_P/sf - price per sq.ft._
_B - bedrooms; O - office_
_M - million, K- thousand_
_S - studio, R - shop_
_*Max 30 latest transactions_
www.trydatabot.com</t>
  </si>
  <si>
    <t>1009329, *MARKET</t>
  </si>
  <si>
    <t>*MARKET*
*SNAPSHOT*
*BURJ KHALIFA ZONE 4*
_Area: Downtown_
_Type: 3 bedroom apartment_
*Price dynamics, Dirham/sq.ft.*
_(M - median value)_
```4108|      *   *           ```
```    |                      ```
```    |                   *  ```
```    |                      ```
```    |                **    ```
```    |         *            ```
```    |     *      *         ```
```2676|---------------------M```
```    |       *              ```
```    |        *  *      *  *```
```2199|             ***    * ```
```____|______________________```
```    |Jun2016        Nov2022```
_Source: see table below_
*Latest sales transactions*
```Date   Price  BUA Type P/sf```
```------------2022-----------```
```15Nov   7.5M 2923 XX04 2566```
```02Aug     6M 2728 XXXX 2199```
```07Apr  10.2M 2728 XXXX 3739```
```08Mar   7.2M 2728 XXXX 2639```
```08Mar 8.989M 2728 XXXX 3295```
```31Jan 8.884M 2728 XXXX 3257```
```------------2021-----------```
```29Nov   6.2M 2728 XXXX 2273```
```26Jul     6M 2728 XXXX 2199```
```------------2020-----------```
```18Nov   6.5M 2923 XX04 2224```
```14Sep 8.725M 2923 XX04 2985```
```------------2019-----------```
```04Aug   6.4M 2663 XXXX 2403```
```16Jun 10.94M 2663 XXXX 4108```
```------------2018-----------```
```25Oct 8.786M 2728 XXXX 3221```
```07Jun     7M 2728 XXXX 2566```
```------------2017-----------```
```10Dec   7.3M 2728 XXXX 2676```
```10Jan 11.88M 2923 XX04 4064```
```------------2016-----------```
```04Jun     8M 2728 XXXX 2933```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</si>
  <si>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1009332, *SALES*</t>
  </si>
  <si>
    <t>*SALES*
*TRANSACTIONS**
*BURJ KHALIFA ZONE 4*
_Area: Downtown_
_Type: 4 bedroom apartment_
```Date   Price  BUA Type P/sf```
```------------2023-----------```
```02Mar    15M 4596 XX02 3264```
```02Mar    15M 4493 XX03 3339```
```02Mar    14M 4279 XX01 3272```
```------------2022-----------```
```22Mar    16M 4279 XX01 3739```
```14Mar    13M 4493 XX03 2893```
```------------2021-----------```
```16Dec    21M 6457 XX01 3252```
```19Aug  10.4M 4279 XX01 2430```
```15Jul  23.5M 6457 XX01 3639```
```15Jun     9M 4493 XX03 2003```
```28Apr     7M 6141 XXXX 1140```
```------------2020-----------```
```24Sep   9.6M 4596 XX02 2089```
```27Feb  10.6M 4596 XX02 2306```
```------------2018-----------```
```12Feb 18.19M 6457 XX01 2816```
```------------2017-----------```
```24Oct  24.8M 6141 XXXX 4038```
```------------2015-----------```
```09Jul 20.06M 4493 XX03 4465```
_Source: DLD, Databot_
_BUA - built-up area, sq.ft._
_P/sf - price per sq.ft._
_B - bedrooms; O - office_
_M - million, K- thousand_
_S - studio, R - shop_
_*Max 30 latest transactions_
www.trydatabot.com</t>
  </si>
  <si>
    <t>1009333, *MARKET</t>
  </si>
  <si>
    <t>*MARKET*
*SNAPSHOT*
*BURJ KHALIFA ZONE 4*
_Area: Downtown_
_Type: 4 bedroom apartment_
*Price dynamics, Dirham/sq.ft.*
_(M - median value)_
```4465|       *              ```
```    |        *             ```
```    |              *   *   ```
```    |                    * ```
```3252|---------------------M```
```    |                *  * *```
```    |         *       *    ```
```    |          *    *      ```
```    |           * *        ```
```    |                      ```
```1140|            *         ```
```____|______________________```
```    |Jul2015        Mar2023```
_Source: see table below_
*Latest sales transactions*
```Date   Price  BUA Type P/sf```
```------------2023-----------```
```02Mar    15M 4596 XX02 3264```
```02Mar    15M 4493 XX03 3339```
```02Mar    14M 4279 XX01 3272```
```------------2022-----------```
```22Mar    16M 4279 XX01 3739```
```14Mar    13M 4493 XX03 2893```
```------------2021-----------```
```16Dec    21M 6457 XX01 3252```
```19Aug  10.4M 4279 XX01 2430```
```15Jul  23.5M 6457 XX01 3639```
```15Jun     9M 4493 XX03 2003```
```28Apr     7M 6141 XXXX 1140```
```------------2020-----------```
```24Sep   9.6M 4596 XX02 2089```
```27Feb  10.6M 4596 XX02 2306```
```------------2018-----------```
```12Feb 18.19M 6457 XX01 2816```
```------------2017-----------```
```24Oct  24.8M 6141 XXXX 4038```
```------------2015-----------```
```09Jul 20.06M 4493 XX03 4465```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</si>
  <si>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1009336, *SALES*</t>
  </si>
  <si>
    <t>*SALES*
*TRANSACTIONS**
*BURJ KHALIFA ZONE 4*
_Area: Downtown_
_Type: 5 bedroom apartment_
```Date   Price  BUA Type P/sf```
```------------2022-----------```
```20Jan    73M  21K XX07 3480```
_Source: DLD, Databot_
_BUA - built-up area, sq.ft._
_P/sf - price per sq.ft._
_B - bedrooms; O - office_
_M - million, K- thousand_
_S - studio, R - shop_
_*Max 30 latest transactions_
www.trydatabot.com</t>
  </si>
  <si>
    <t>1009337, *MARKET</t>
  </si>
  <si>
    <t>*MARKET*
*SNAPSHOT*
*BURJ KHALIFA ZONE 4*
_Area: Downtown_
_Type: 5 bedroom apartment_
*Price dynamics, Dirham/sq.ft.*
_(M - median value)_
```3480|                     *```
```3480|----------------------```
```    |                     *```
```3480|---------------------M```
```    |                     *```
```3480|---------------------M```
```    |                     *```
```3480|---------------------M```
```    |                     *```
```3480|---------------------M```
```    |                     *```
```____|______________________```
```    |Jan2022        Jan2022```
_Source: see table below_
*Latest sales transactions*
```Date   Price  BUA Type P/sf```
```------------2022-----------```
```20Jan    73M  21K XX07 3480```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</si>
  <si>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1009365, *SALES*</t>
  </si>
  <si>
    <t>*SALES*
*TRANSACTIONS**
*BURJ KHALIFA ZONE 4*
_Area: Downtown_
_All types/bedrooms_
```Date    Price   BUA  Type B```
```------------2023-----------```
```18Sep  10.23M  2108  XXXX 2```
```17Aug      6M  2058  XX03 2```
```16Aug      5M  2036  XXXX 2```
```20Jul      7M  2108  XXXX 2```
```03Jul      4M  2036  XXXX 2```
```23Jun  4.335M  2203  XX07 2```
```21Jun    4.5M  1133  XXXX 1```
```14Jun    3.3M  1133  XXXX 1```
```14Jun    5.9M  2036  XXXX 2```
```05Jun  7.325M  2109  XX05 2```
```24May    4.5M  1133  XXXX 1```
```19Apr    3.3M  1133  XXXX 1```
```31Mar    2.9M  1133  XXXX 1```
```24Mar      4M  2033  XX06 2```
```23Mar   5.05M  2036  XXXX 2```
```02Mar     15M  4596  XX02 4```
```02Mar     15M  4493  XX03 4```
```02Mar     14M  4279  XX01 4```
```06Feb    3.5M  1133  XXXX 1```
```30Jan    2.5M  1133  XXXX 1```
```------------2022-----------```
```15Nov    7.5M  2923  XX04 3```
```14Nov   5.75M  1968  XX09 2```
```26Oct    4.5M  2058  XX03 2```
```29Sep  4.712M  2298  XX06 2```
```29Sep  4.297M  2108  XXXX 2```
```29Aug    4.5M  2036  XXXX 2```
```29Aug      4M  2058  XX03 2```
```29Aug    4.5M  2036  XXXX 2```
```02Aug      6M  2728  XXXX 3```
```27Jul   7.72M  1909  XXXX 2```
_Source: DLD, Databot_
_BUA - built-up area, sq.ft._
_P/sf - price per sq.ft._
_B - bedrooms; O - office_
_M - million, K- thousand_
_S - studio, R - shop_
_*Max 30 latest transactions_
www.trydatabot.com</t>
  </si>
  <si>
    <t>1009366, by code, *BUILDI</t>
  </si>
  <si>
    <t xml:space="preserve">*BUILDING*
*PROFILE*
*BURJ KHALIFA ZONE 4*
_Area: Downtown_
_Tap&amp;hold to copy a reply_
```-------------------------```
```Report              Reply```
```-------------------------```
*1 B/R*
```Sales, ROI        1009320```
```Price chart       1009321```
```Rentals               n/a```
*2 B/R*
```Sales, ROI        1009324```
```Price chart       1009325```
```Rentals               n/a```
*3 B/R*
```Sales, ROI        1009328```
```Price chart       1009329```
```Rentals               n/a```
*4 B/R*
```Sales, ROI        1009332```
```Price chart       1009333```
```Rentals               n/a```
*5 B/R*
```Sales, ROI        1009336```
```Price chart       1009337```
```Rentals               n/a```
*All types/bedrooms*
```Sales, ROI        1009365```
```Rentals               n/a```
</t>
  </si>
  <si>
    <t>1009384, *SALES*</t>
  </si>
  <si>
    <t>*SALES*
*TRANSACTIONS (RESALE)**
*BURJ ROYALE*
_Area: Downtown_
_Type: 1 bedroom apartment_
```Date   Price  BUA Type P/sf```
```------------2026-----------```
```22Jan 2.075M  659 XX05 3149```
```21Jan   1.8M  595 XXXX 3025```
```------------2025-----------```
```15Dec  2.15M  631 XXXX 3407```
```12Dec  2.12M  660 XX05 3212```
```28Nov   2.2M  635 XX03 3465```
```14Nov 2.075M  631 XXXX 3288```
```13Nov  1.93M  636 XX10 3035```
```19Aug  1.98M  650 XXXX 3046```
```06Aug  2.22M  629 XXXX 3529```
```11Jul  2.06M  593 XX04 3474```
```08Jul  2.01M  629 XXXX 3196```
```23Jun  2.05M  629 XXXX 3259```
```19Jun  1.95M  658 XXXX 2964```
```18Jun  2.15M  680 XX06 3162```
```27May   2.2M  675 XX08 3259```
```30Apr  2.05M  631 XXXX 3249```
```29Apr  1.95M  650 XXXX 3000```
```25Apr   1.5M  638 XX07 2351```
```09Apr   1.9M  593 XX07 3204```
```08Apr  1.98M  631 XXXX 3138```
```28Mar 1.985M  593 XX07 3347```
```16Jan   2.1M  650 XXXX 3231```
```13Jan  1.93M  629 XXXX 3068```
```10Jan  1.95M  593 XX07 3288```
```06Jan  1.95M  629 XXXX 3100```
```------------2024-----------```
```25Nov  1.96M  629 XXXX 3116```
```05Nov 1.925M  594 XX08 3241```
```30Oct  1.85M  631 XXXX 2932```
```16Sep  1.82M  650 XXXX 2800```
```08Aug  1.85M  585 XXXX 3162```
_Source: DLD, Databot_
_BUA - built-up area, sq.ft._
_P/sf - price per sq.ft._
_B - bedrooms; O - office_
_M - million, K- thousand_
_S - studio, R - shop_
_*Max 30 latest transactions_
www.trydatabot.com</t>
  </si>
  <si>
    <t>Burj Royale</t>
  </si>
  <si>
    <t>1009385, *MARKET</t>
  </si>
  <si>
    <t>*MARKET*
*SNAPSHOT*
*BURJ ROYALE*
_Area: Downtown_
_Type: 1 bedroom apartment_
*Price dynamics, Dirham/sq.ft.*
_(M - median value)_
```3529|            **        ```
```    |                 * *  ```
```    | *    **  *     *     ```
```3208|---------------------M```
```    |* **    *  *      *  *```
```    |     *        **    * ```
```    |         *            ```
```    |                      ```
```    |                      ```
```    |                      ```
```2351|    *                 ```
```____|______________________```
```    |Jan2025        Jan2026```
_Source: see table below_
*Latest sales transactions*
```Date   Price  BUA Type P/sf```
```------------2026-----------```
```22Jan 2.075M  659 XX05 3149```
```21Jan   1.8M  595 XXXX 3025```
```------------2025-----------```
```15Dec  2.15M  631 XXXX 3407```
```12Dec  2.12M  660 XX05 3212```
```28Nov   2.2M  635 XX03 3465```
```14Nov 2.075M  631 XXXX 3288```
```13Nov  1.93M  636 XX10 3035```
```19Aug  1.98M  650 XXXX 3046```
```06Aug  2.22M  629 XXXX 3529```
```11Jul  2.06M  593 XX04 3474```
```08Jul  2.01M  629 XXXX 3196```
```23Jun  2.05M  629 XXXX 3259```
```19Jun  1.95M  658 XXXX 2964```
```18Jun  2.15M  680 XX06 3162```
```27May   2.2M  675 XX08 3259```
```30Apr  2.05M  631 XXXX 3249```
```29Apr  1.95M  650 XXXX 3000```
```25Apr   1.5M  638 XX07 2351```
```09Apr   1.9M  593 XX07 3204```
```08Apr  1.98M  631 XXXX 3138```
```28Mar 1.985M  593 XX07 3347```
```16Jan   2.1M  650 XXXX 3231```
```13Jan  1.93M  629 XXXX 3068```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</si>
  <si>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1009387, *RESELL</t>
  </si>
  <si>
    <t>*RESELL*
*VS PRIMARY*
*BURJ ROYALE*
_Area: Downtown_
_Type: 1 bedroom apartment_
*Price dynamics, Dirham/sq.ft.*
_(x - primary; * - resell)_
```3529|            **   *    ```
```    |                *  *  ```
```    |        x  *      *  *```
```    |              **    * ```
```2785|         xx           ```
```    |   x xxx              ```
```    |                      ```
```    |    x                 ```
```    |                      ```
```1672|xxx                   ```
```____|______________________```
```    |Nov2022        Jan2026```
_Source: see a table below_
*Latest resell transactions*
```Date   Price  BUA Type P/sf```
```------------2026-----------```
```22Jan 2.075M  659 XX05 3149```
```21Jan   1.8M  595 XXXX 3025```
```------------2025-----------```
```15Dec  2.15M  631 XXXX 3407```
```12Dec  2.12M  660 XX05 3212```
```28Nov   2.2M  635 XX03 3465```
```14Nov 2.075M  631 XXXX 3288```
```13Nov  1.93M  636 XX10 3035```
```19Aug  1.98M  650 XXXX 3046```
```06Aug  2.22M  629 XXXX 3529```
```11Jul  2.06M  593 XX04 3474```
```08Jul  2.01M  629 XXXX 3196```
```23Jun  2.05M  629 XXXX 3259```
```19Jun  1.95M  658 XXXX 2964```
```18Jun  2.15M  680 XX06 3162```
```27May   2.2M  675 XX08 3259```
```30Apr  2.05M  631 XXXX 3249```
```29Apr  1.95M  650 XXXX 3000```
*Latest primary transactions*
```------------2023-----------```
```01Jun 1.599M  593 XX04 2696```
```16May 1.599M  593 XX04 2696```
```24Apr     2M  631 XXXX 3170```
```11Apr 1.632M  631 XXXX 2586```
```02Mar 1.617M  631 XXXX 2562```
```------------2022-----------```
```30Nov  1.64M  629 XXXX 2608```
```25Nov 1.475M  650 XXXX 2269```
```25Nov 1.541M  593 XX07 2598```
```23Nov 1.068M  631 XXXX 1692```
```23Nov 992.9K  594 XX05 1672```
```23Nov 992.9K  594 XX08 1672```
```19Sep 1.672M  629 XXXX 2658```
```14Sep 1.571M  593 XX07 2649```
```14Sep 1.581M  593 XX07 2666```
_Source: DLD, Databot_
_BUA - built-up area, sq.ft._
_P/sf - price per sq.ft._
_B - bedrooms; O - office_
_M - million, K- thousand_
_S - studio, R - shop_
www.trydatabot.com</t>
  </si>
  <si>
    <t>1009388, *SALES*</t>
  </si>
  <si>
    <t>*SALES*
*TRANSACTIONS (RESALE)**
*BURJ ROYALE*
_Area: Downtown_
_Type: 2 bedroom apartment_
```Date   Price  BUA Type P/sf```
```------------2026-----------```
```09Jan  2.86M  954 XX05 2998```
```------------2025-----------```
```04Dec   3.2M  989 XX07 3236```
```24Nov 4.785M  959 XX10 4990```
```27Oct  5.25M 1045 XXXX 5024```
```01Oct   5.8M 1090 XX10 5321```
```15Sep  2.85M 1908 XXXX 1494```
```04Sep   4.5M 1057 XXXX 4257```
```26Aug     3M  993 XX06 3021```
```25Aug  2.65M  993 XX06 2669```
```08Jul   5.4M  959 XX10 5631```
```03Jul   4.2M 1057 XXXX 3974```
```25Jun   4.5M 1045 XXXX 4306```
```12Jun   4.2M 1056 XX02 3977```
```29May  2.87M  989 XX07 2902```
```19May  3.37M  993 XX06 3394```
```05May  4.45M 1011 XX01 4402```
```17Apr  5.37M  959 XX10 5600```
```24Mar   5.2M 1090 XX10 4771```
```04Mar   4.3M  935 XX02 4599```
```26Feb  3.45M 1055 XX12 3270```
```05Feb   4.7M 1023 XX04 4594```
```30Jan  4.55M 1045 XXXX 4354```
```27Jan  3.45M 1078 XX13 3200```
```24Jan  3.65M 1078 XX13 3386```
```23Jan  4.35M 1045 XX11 4163```
```21Jan   5.1M  959 XX10 5318```
```16Jan  3.55M  936 XXXX 3793```
```10Jan   4.5M 1086 XX01 4144```
```------------2024-----------```
```26Dec   4.1M 1023 XXXX 4008```
```27Nov   4.2M 1045 XX03 4019```
_Source: DLD, Databot_
_BUA - built-up area, sq.ft._
_P/sf - price per sq.ft._
_B - bedrooms; O - office_
_M - million, K- thousand_
_S - studio, R - shop_
_*Max 30 latest transactions_
www.trydatabot.com</t>
  </si>
  <si>
    <t>1009389, *MARKET</t>
  </si>
  <si>
    <t>*MARKET*
*SNAPSHOT*
*BURJ ROYALE*
_Area: Downtown_
_Type: 2 bedroom apartment_
*Price dynamics, Dirham/sq.ft.*
_(M - median value)_
```5631|     *      *         ```
```    |                 **   ```
```    |   **              *  ```
```4282|---------------------M```
```    |**    *   *    *      ```
```    |         * *          ```
```    |       *              ```
```    |  *           *     **```
```    |        *    *        ```
```    |                      ```
```1494|                *     ```
```____|______________________```
```    |Jan2025        Jan2026```
_Source: see table below_
*Latest sales transactions*
```Date   Price  BUA Type P/sf```
```------------2026-----------```
```09Jan  2.86M  954 XX05 2998```
```------------2025-----------```
```04Dec   3.2M  989 XX07 3236```
```24Nov 4.785M  959 XX10 4990```
```27Oct  5.25M 1045 XXXX 5024```
```01Oct   5.8M 1090 XX10 5321```
```15Sep  2.85M 1908 XXXX 1494```
```04Sep   4.5M 1057 XXXX 4257```
```26Aug     3M  993 XX06 3021```
```25Aug  2.65M  993 XX06 2669```
```08Jul   5.4M  959 XX10 5631```
```03Jul   4.2M 1057 XXXX 3974```
```25Jun   4.5M 1045 XXXX 4306```
```12Jun   4.2M 1056 XX02 3977```
```29May  2.87M  989 XX07 2902```
```19May  3.37M  993 XX06 3394```
```05May  4.45M 1011 XX01 4402```
```17Apr  5.37M  959 XX10 5600```
```24Mar   5.2M 1090 XX10 4771```
```04Mar   4.3M  935 XX02 4599```
```26Feb  3.45M 1055 XX12 3270```
```05Feb   4.7M 1023 XX04 4594```
```30Jan  4.55M 1045 XXXX 4354```
```27Jan  3.45M 1078 XX13 3200```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</si>
  <si>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1009391, *RESELL</t>
  </si>
  <si>
    <t>*RESELL*
*VS PRIMARY*
*BURJ ROYALE*
_Area: Downtown_
_Type: 2 bedroom apartment_
*Price dynamics, Dirham/sq.ft.*
_(x - primary; * - resell)_
```5631|            *         ```
```    |                 **   ```
```    |                   *  ```
```    |               *      ```
```3975|           *          ```
```    |          x           ```
```    |              *     **```
```    |             *        ```
```    |xxx x   xx            ```
```1494|   x xxx        *     ```
```____|______________________```
```    |May2022        Jan2026```
_Source: see a table below_
*Latest resell transactions*
```Date   Price  BUA Type P/sf```
```------------2026-----------```
```09Jan  2.86M  954 XX05 2998```
```------------2025-----------```
```04Dec   3.2M  989 XX07 3236```
```24Nov 4.785M  959 XX10 4990```
```27Oct  5.25M 1045 XXXX 5024```
```01Oct   5.8M 1090 XX10 5321```
```15Sep  2.85M 1908 XXXX 1494```
```04Sep   4.5M 1057 XXXX 4257```
```26Aug     3M  993 XX06 3021```
```25Aug  2.65M  993 XX06 2669```
```08Jul   5.4M  959 XX10 5631```
```03Jul   4.2M 1057 XXXX 3974```
```25Jun   4.5M 1045 XXXX 4306```
```12Jun   4.2M 1056 XX02 3977```
```29May  2.87M  989 XX07 2902```
```19May  3.37M  993 XX06 3394```
```05May  4.45M 1011 XX01 4402```
```17Apr  5.37M  959 XX10 5600```
*Latest primary transactions*
```------------2023-----------```
```31Jul   3.8M 1045 XXXX 3636```
```26Jun  2.18M 1045 XXXX 2086```
```------------2022-----------```
```30Nov 2.353M  954 XX05 2466```
```25Nov 1.958M 1045 XXXX 1874```
```24Nov 1.958M 1045 XXXX 1874```
```24Nov 1.521M  951 XX06 1599```
```23Nov 1.871M  936 XX11 1999```
```23Nov 1.593M  989 XX07 1611```
```17Nov 2.491M 1040 XX06 2395```
```08Jun 2.069M 1022 XX01 2024```
```10May 2.613M 1055 XX12 2477```
```27Apr 1.459M 1081 XX03 1350```
```21Apr 3.074M 1045 XXXX 2942```
```12Apr 1.676M 1078 XX13 1555```
_Source: DLD, Databot_
_BUA - built-up area, sq.ft._
_P/sf - price per sq.ft._
_B - bedrooms; O - office_
_M - million, K- thousand_
_S - studio, R - shop_
www.trydatabot.com</t>
  </si>
  <si>
    <t>1009392, *SALES*</t>
  </si>
  <si>
    <t>*SALES*
*TRANSACTIONS (RESALE)**
*BURJ ROYALE*
_Area: Downtown_
_Type: 3 bedroom apartment_
```Date   Price  BUA Type P/sf```
```------------2025-----------```
```08Aug   6.4M 1345 XX11 4758```
```02Jul 1.665M  672 XXXX 2478```
```24Mar     6M 1345 XX11 4461```
```06Feb 5.355M 1318 XX09 4063```
```30Jan   6.1M 1345 XX11 4535```
```23Jan     3M 1318 XX09 2276```
```------------2024-----------```
```17Dec   5.7M 1368 XXXX 4167```
```23Oct   5.8M 1318 XX09 4401```
```09Oct  5.05M 1318 XX02 3832```
```03Oct   5.8M 1368 XXXX 4240```
```04Sep   4.8M 1368 XXXX 3509```
```08Aug   5.7M 1318 XX02 4325```
```21Jun   5.5M 1359 XX11 4047```
```14May     6M 1359 XX11 4415```
```13May  5.43M 1318 XX09 4120```
```28Mar  5.28M 1318 XX09 4006```
```11Mar  5.15M 1318 XX09 3907```
```------------2023-----------```
```28Dec   5.2M 1318 XX02 3945```
```01Dec     5M 1318 XX09 3794```
```27Sep 1.443M 1318 XX09 1095```
```06Jul 3.115M 1318 XX09 2364```
```06Jul 3.113M 1318 XX02 2362```
```23Jun     4M 1318 XX02 3035```
```26May   3.8M 1318 XX02 2883```
```25May  4.56M 1318 XX09 3460```
```25May  4.69M 1318 XX09 3558```
```16May   4.5M 1318 XX09 3414```
```08May  3.95M 1318 XX09 2997```
```07Apr   4.6M 1345 XX11 3420```
```29Mar   5.3M 1318 XX02 4021```
_Source: DLD, Databot_
_BUA - built-up area, sq.ft._
_P/sf - price per sq.ft._
_B - bedrooms; O - office_
_M - million, K- thousand_
_S - studio, R - shop_
_*Max 30 latest transactions_
www.trydatabot.com</t>
  </si>
  <si>
    <t>1009393, *MARKET</t>
  </si>
  <si>
    <t>*MARKET*
*SNAPSHOT*
*BURJ ROYALE*
_Area: Downtown_
_Type: 3 bedroom apartment_
*Price dynamics, Dirham/sq.ft.*
_(M - median value)_
```4758|                     *```
```    |        * * * *  * *  ```
```4027|---------------------M```
```    |    **** *     *  *   ```
```    |   *       * *        ```
```    |                      ```
```    |                      ```
```    |                    * ```
```    |**              *     ```
```    |                      ```
```1095|  *                   ```
```____|______________________```
```    |Jul2023        Aug2025```
_Source: see table below_
*Latest sales transactions*
```Date   Price  BUA Type P/sf```
```------------2025-----------```
```08Aug   6.4M 1345 XX11 4758```
```02Jul 1.665M  672 XXXX 2478```
```24Mar     6M 1345 XX11 4461```
```06Feb 5.355M 1318 XX09 4063```
```30Jan   6.1M 1345 XX11 4535```
```23Jan     3M 1318 XX09 2276```
```------------2024-----------```
```17Dec   5.7M 1368 XXXX 4167```
```23Oct   5.8M 1318 XX09 4401```
```09Oct  5.05M 1318 XX02 3832```
```03Oct   5.8M 1368 XXXX 4240```
```04Sep   4.8M 1368 XXXX 3509```
```08Aug   5.7M 1318 XX02 4325```
```21Jun   5.5M 1359 XX11 4047```
```14May     6M 1359 XX11 4415```
```13May  5.43M 1318 XX09 4120```
```28Mar  5.28M 1318 XX09 4006```
```11Mar  5.15M 1318 XX09 3907```
```------------2023-----------```
```28Dec   5.2M 1318 XX02 3945```
```01Dec     5M 1318 XX09 3794```
```27Sep 1.443M 1318 XX09 1095```
```06Jul 3.115M 1318 XX09 2364```
```06Jul 3.113M 1318 XX02 2362```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</si>
  <si>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1009395, *RESELL</t>
  </si>
  <si>
    <t>*RESELL*
*VS PRIMARY*
*BURJ ROYALE*
_Area: Downtown_
_Type: 3 bedroom apartment_
*Price dynamics, Dirham/sq.ft.*
_(x - primary; * - resell)_
```4758|                     *```
```    |          x   *  * *  ```
```    |            *  *  *   ```
```    |         x   *        ```
```3398|      x    *          ```
```    |    xx                ```
```    |                      ```
```    |                *   * ```
```    |xxx    xx             ```
```1361|   x                  ```
```____|______________________```
```    |Mar2022        Aug2025```
_Source: see a table below_
*Latest resell transactions*
```Date   Price  BUA Type P/sf```
```------------2025-----------```
```08Aug   6.4M 1345 XX11 4758```
```02Jul 1.665M  672 XXXX 2478```
```24Mar     6M 1345 XX11 4461```
```06Feb 5.355M 1318 XX09 4063```
```30Jan   6.1M 1345 XX11 4535```
```23Jan     3M 1318 XX09 2276```
```------------2024-----------```
```17Dec   5.7M 1368 XXXX 4167```
```23Oct   5.8M 1318 XX09 4401```
```09Oct  5.05M 1318 XX02 3832```
```03Oct   5.8M 1368 XXXX 4240```
```04Sep   4.8M 1368 XXXX 3509```
```08Aug   5.7M 1318 XX02 4325```
```21Jun   5.5M 1359 XX11 4047```
```14May     6M 1359 XX11 4415```
```13May  5.43M 1318 XX09 4120```
```28Mar  5.28M 1318 XX09 4006```
```11Mar  5.15M 1318 XX09 3907```
*Latest primary transactions*
```------------2025-----------```
```20Feb  5.98M 1318 XX09 4537```
```------------2024-----------```
```21Mar 4.826M 1318 XX02 3662```
```------------2023-----------```
```28Dec 2.832M 1345 XX11 2105```
```------------2022-----------```
```23Nov 2.767M 1318 XX09 2099```
```01Nov 4.312M 1318 XX09 3272```
```29Sep 4.174M 1318 XX09 3167```
```18Apr 4.322M 1345 XX11 3214```
```12Apr 2.327M 1710 XX05 1361```
```11Apr 2.887M 1318 XX09 2190```
```04Apr 2.811M 1318 XX09 2133```
```28Mar 2.916M 1359 XX11 2146```
```28Mar 4.574M 1345 XX11 3401```
_Source: DLD, Databot_
_BUA - built-up area, sq.ft._
_P/sf - price per sq.ft._
_B - bedrooms; O - office_
_M - million, K- thousand_
_S - studio, R - shop_
www.trydatabot.com</t>
  </si>
  <si>
    <t>1009429, *SALES*</t>
  </si>
  <si>
    <t>*SALES*
*TRANSACTIONS (RESALE)**
*BURJ ROYALE*
_Area: Downtown_
_All types/bedrooms_
```Date    Price   BUA  Type B```
```------------2026-----------```
```22Jan  2.075M   659  XX05 1```
```21Jan    1.8M   595  XXXX 1```
```09Jan   2.86M   954  XX05 2```
```------------2025-----------```
```15Dec   2.15M   631  XXXX 1```
```12Dec   2.12M   660  XX05 1```
```04Dec    3.2M   989  XX07 2```
```28Nov    2.2M   635  XX03 1```
```24Nov  4.785M   959  XX10 2```
```14Nov  2.075M   631  XXXX 1```
```13Nov   1.93M   636  XX10 1```
```27Oct   5.25M  1045  XXXX 2```
```01Oct    5.8M  1090  XX10 2```
```15Sep   2.85M  1908  XXXX 2```
```04Sep    4.5M  1057  XXXX 2```
```26Aug      3M   993  XX06 2```
```25Aug   2.65M   993  XX06 2```
```19Aug   1.98M   650  XXXX 1```
```08Aug    6.4M  1345  XX11 3```
```06Aug   2.22M   629  XXXX 1```
```11Jul   2.06M   593  XX04 1```
```08Jul   2.01M   629  XXXX 1```
```08Jul    5.4M   959  XX10 2```
```03Jul    4.2M  1057  XXXX 2```
```02Jul  1.665M   672  XXXX 3```
```25Jun    4.5M  1045  XXXX 2```
```23Jun   2.05M   629  XXXX 1```
```19Jun   1.95M   658  XXXX 1```
```18Jun   2.15M   680  XX06 1```
```12Jun    4.2M  1056  XX02 2```
```29May   2.87M   989  XX07 2```
_Source: DLD, Databot_
_BUA - built-up area, sq.ft._
_P/sf - price per sq.ft._
_B - bedrooms; O - office_
_M - million, K- thousand_
_S - studio, R - shop_
_*Max 30 latest transactions_
www.trydatabot.com</t>
  </si>
  <si>
    <t>1009430, Burj Royale, Burj Royal, *BUILDI</t>
  </si>
  <si>
    <t xml:space="preserve">*BUILDING*
*PROFILE*
*BURJ ROYALE*
_Area: Downtown_
_Tap&amp;hold to copy a reply_
```-------------------------```
```Report              Reply```
```-------------------------```
*1 B/R*
```Resell, ROI       1009384```
```Primary sales     1009432```
```Price chart       1009385```
```Rentals               n/a```
```Appreciation      1009387```
*2 B/R*
```Resell, ROI       1009388```
```Primary sales     1009433```
```Price chart       1009389```
```Rentals               n/a```
```Appreciation      1009391```
*3 B/R*
```Resell, ROI       1009392```
```Primary sales     1009434```
```Price chart       1009393```
```Rentals               n/a```
```Appreciation      1009395```
*All types/bedrooms*
```Resell, ROI       1009429```
```Primary sales     1009443```
```Rentals               n/a```
</t>
  </si>
  <si>
    <t>1009432, *SALES*</t>
  </si>
  <si>
    <t>*SALES*
*TRANSACTIONS (PRIMARY)**
*BURJ ROYALE*
_Area: Downtown_
_Type: 1 bedroom apartment_
```Date   Price  BUA Type P/sf```
```------------2023-----------```
```01Jun 1.599M  593 XX04 2696```
```16May 1.599M  593 XX04 2696```
```24Apr     2M  631 XXXX 3170```
```11Apr 1.632M  631 XXXX 2586```
```02Mar 1.617M  631 XXXX 2562```
```------------2022-----------```
```30Nov  1.64M  629 XXXX 2608```
```25Nov 1.475M  650 XXXX 2269```
```25Nov 1.541M  593 XX07 2598```
```23Nov 1.068M  631 XXXX 1692```
```23Nov 992.9K  594 XX05 1672```
```23Nov 992.9K  594 XX08 1672```
```19Sep 1.672M  629 XXXX 2658```
```14Sep 1.571M  593 XX07 2649```
```14Sep 1.581M  593 XX07 2666```
```19Aug 1.611M  675 XX08 2387```
```19Aug 1.576M  636 XX10 2478```
```06Jul 1.581M  593 XX07 2666```
```06Jul 1.576M  636 XX04 2478```
```04Jul 1.648M  629 XXXX 2620```
```30Jun 1.645M  635 XXXX 2591```
_Source: DLD, Databot_
_BUA - built-up area, sq.ft._
_P/sf - price per sq.ft._
_B - bedrooms; O - office_
_M - million, K- thousand_
_S - studio, R - shop_
_*Max 20 latest transactions_
www.trydatabot.com</t>
  </si>
  <si>
    <t>1009433, *SALES*</t>
  </si>
  <si>
    <t>*SALES*
*TRANSACTIONS (PRIMARY)**
*BURJ ROYALE*
_Area: Downtown_
_Type: 2 bedroom apartment_
```Date   Price  BUA Type P/sf```
```------------2023-----------```
```31Jul   3.8M 1045 XXXX 3636```
```26Jun  2.18M 1045 XXXX 2086```
```------------2022-----------```
```30Nov 2.353M  954 XX05 2466```
```25Nov 1.958M 1045 XXXX 1874```
```24Nov 1.958M 1045 XXXX 1874```
```24Nov 1.521M  951 XX06 1599```
```23Nov 1.871M  936 XX11 1999```
```23Nov 1.593M  989 XX07 1611```
```17Nov 2.491M 1040 XX06 2395```
```08Jun 2.069M 1022 XX01 2024```
```10May 2.613M 1055 XX12 2477```
```27Apr 1.459M 1081 XX03 1350```
```21Apr 3.074M 1045 XXXX 2942```
```12Apr 1.676M 1078 XX13 1555```
```30Mar 2.466M  993 XX06 2483```
```30Mar 1.804M 1045 XX03 1726```
```30Mar  1.81M  936 XX02 1934```
```28Mar 3.367M  959 XX10 3511```
```28Mar 2.183M  959 XX10 2276```
```28Mar 1.717M 1076 XX01 1596```
_Source: DLD, Databot_
_BUA - built-up area, sq.ft._
_P/sf - price per sq.ft._
_B - bedrooms; O - office_
_M - million, K- thousand_
_S - studio, R - shop_
_*Max 20 latest transactions_
www.trydatabot.com</t>
  </si>
  <si>
    <t>1009434, *SALES*</t>
  </si>
  <si>
    <t>*SALES*
*TRANSACTIONS (PRIMARY)**
*BURJ ROYALE*
_Area: Downtown_
_Type: 3 bedroom apartment_
```Date   Price  BUA Type P/sf```
```------------2025-----------```
```20Feb  5.98M 1318 XX09 4537```
```------------2024-----------```
```21Mar 4.826M 1318 XX02 3662```
```------------2023-----------```
```28Dec 2.832M 1345 XX11 2105```
```------------2022-----------```
```23Nov 2.767M 1318 XX09 2099```
```01Nov 4.312M 1318 XX09 3272```
```29Sep 4.174M 1318 XX09 3167```
```18Apr 4.322M 1345 XX11 3214```
```12Apr 2.327M 1710 XX05 1361```
```11Apr 2.887M 1318 XX09 2190```
```04Apr 2.811M 1318 XX09 2133```
```28Mar 2.916M 1359 XX11 2146```
```28Mar 4.574M 1345 XX11 3401```
```28Mar 4.244M 1318 XX02 3220```
```28Mar 2.872M 1318 XX09 2179```
```25Mar 3.869M 1345 XX11 2877```
```25Mar 4.013M 1318 XX02 3045```
```24Mar 4.236M 1318 XX02 3214```
```24Mar 4.312M 1318 XX02 3272```
```24Mar 2.693M 1318 XX02 2043```
```18Mar  4.29M 1368 XXXX 3136```
_Source: DLD, Databot_
_BUA - built-up area, sq.ft._
_P/sf - price per sq.ft._
_B - bedrooms; O - office_
_M - million, K- thousand_
_S - studio, R - shop_
_*Max 20 latest transactions_
www.trydatabot.com</t>
  </si>
  <si>
    <t>1009443, *SALES*</t>
  </si>
  <si>
    <t>*SALES*
*TRANSACTIONS (PRIMARY)**
*BURJ ROYALE*
_Area: Downtown_
_All types/bedrooms_
```Date    Price   BUA  Type B```
```------------2025-----------```
```20Feb   5.98M  1318  XX09 3```
```------------2024-----------```
```21Mar  4.826M  1318  XX02 3```
```------------2023-----------```
```28Dec  2.832M  1345  XX11 3```
```31Jul    3.8M  1045  XXXX 2```
```26Jun   2.18M  1045  XXXX 2```
```01Jun  1.599M   593  XX04 1```
```16May  1.599M   593  XX04 1```
```24Apr      2M   631  XXXX 1```
```11Apr  1.632M   631  XXXX 1```
```02Mar  1.617M   631  XXXX 1```
```------------2022-----------```
```30Nov  2.353M   954  XX05 2```
```30Nov   1.64M   629  XXXX 1```
```25Nov  1.958M  1045  XXXX 2```
```25Nov  1.475M   650  XXXX 1```
```25Nov  1.541M   593  XX07 1```
```24Nov  1.958M  1045  XXXX 2```
```24Nov  1.521M   951  XX06 2```
```23Nov  2.767M  1318  XX09 3```
```23Nov  1.871M   936  XX11 2```
```23Nov  1.593M   989  XX07 2```
_Source: DLD, Databot_
_BUA - built-up area, sq.ft._
_P/sf - price per sq.ft._
_B - bedrooms; O - office_
_M - million, K- thousand_
_S - studio, R - shop_
_*Max 20 latest transactions_
www.trydatabot.com</t>
  </si>
  <si>
    <t>1009448, *SALES*</t>
  </si>
  <si>
    <t>*SALES*
*TRANSACTIONS**
*BURJ VIEWS TOWER A*
_Area: Downtown_
_Type: 1 bedroom apartment_
```Date   Price  BUA Type P/sf```
```------------2025-----------```
```03Dec  1.74M  966 XX05 1801```
```07Oct   1.7M  966 XX05 1760```
```11Aug  1.65M  966 XX05 1708```
```05Aug 1.675M  910 XX04 1841```
```20Jun 1.645M  783 XX06 2101```
```28May  1.66M  966 XX05 1718```
```21May 1.625M  910 XX04 1786```
```18Apr  1.58M  783 XX06 2018```
```12Mar  1.59M  783 XX06 2031```
```11Mar  1.25M  783 XX06 1596```
```05Feb  1.54M  966 XX05 1594```
```14Jan  1.55M  910 XX04 1703```
```02Jan  1.55M  966 XX05 1605```
```------------2024-----------```
```26Dec  1.62M  966 XX05 1677```
```13Dec 1.585M  966 XX05 1641```
```07Nov   1.5M  910 XX04 1648```
```23Jul 1.315M  910 XX04 1445```
```04Jul  1.55M  966 XX05 1605```
```24Jun   1.6M  966 XX05 1656```
```27May   1.6M  966 XX05 1656```
```27May   1.5M  966 XX05 1553```
```04Apr 1.563M  966 XX05 1617```
```01Mar   1.4M  783 XX06 1788```
```27Feb 1.187M  966 XX05 1229```
```26Feb 700.8K  910 XX04  770```
```26Feb 627.2K  783 XX06  801```
```31Jan 1.476M  910 XX04 1622```
```------------2023-----------```
```18Aug  1.49M  783 XX06 1903```
```02Aug   1.2M  910 XX04 1319```
```31Jul  1.35M  783 XX06 1724```
_Source: DLD, Databot_
_BUA - built-up area, sq.ft._
_P/sf - price per sq.ft._
_B - bedrooms; O - office_
_M - million, K- thousand_
_S - studio, R - shop_
_*Max 30 latest transactions_
www.trydatabot.com</t>
  </si>
  <si>
    <t>Burj Views Tower A</t>
  </si>
  <si>
    <t>1009449, *MARKET</t>
  </si>
  <si>
    <t>*MARKET*
*SNAPSHOT*
*BURJ VIEWS TOWER A*
_Area: Downtown_
_Type: 1 bedroom apartment_
*Price dynamics, Dirham/sq.ft.*
_(M - median value)_
```2101|                 *    ```
```    |             **       ```
```    |                      ```
```    |                      ```
```    |                  *   ```
```    |               *    **```
```    |        * *     *  *  ```
```1667|---------------------M```
```    |* **  **              ```
```    | *  *    * **         ```
```1445|     *                ```
```____|______________________```
```    |Apr2024        Dec2025```
_Source: see table below_
*Latest sales transactions*
```Date   Price  BUA Type P/sf```
```------------2025-----------```
```03Dec  1.74M  966 XX05 1801```
```07Oct   1.7M  966 XX05 1760```
```11Aug  1.65M  966 XX05 1708```
```05Aug 1.675M  910 XX04 1841```
```20Jun 1.645M  783 XX06 2101```
```28May  1.66M  966 XX05 1718```
```21May 1.625M  910 XX04 1786```
```18Apr  1.58M  783 XX06 2018```
```12Mar  1.59M  783 XX06 2031```
```11Mar  1.25M  783 XX06 1596```
```05Feb  1.54M  966 XX05 1594```
```14Jan  1.55M  910 XX04 1703```
```02Jan  1.55M  966 XX05 1605```
```------------2024-----------```
```26Dec  1.62M  966 XX05 1677```
```13Dec 1.585M  966 XX05 1641```
```07Nov   1.5M  910 XX04 1648```
```23Jul 1.315M  910 XX04 1445```
```04Jul  1.55M  966 XX05 1605```
```24Jun   1.6M  966 XX05 1656```
```27May   1.6M  966 XX05 1656```
```27May   1.5M  966 XX05 1553```
```04Apr 1.563M  966 XX05 1617```
```01Mar   1.4M  783 XX06 1788```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</si>
  <si>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1009452, *SALES*</t>
  </si>
  <si>
    <t>*SALES*
*TRANSACTIONS**
*BURJ VIEWS TOWER A*
_Area: Downtown_
_Type: 2 bedroom apartment_
```Date   Price  BUA Type P/sf```
```------------2025-----------```
```29Sep  2.55M 1487 XX02 1715```
```04Aug   2.5M 1299 XX03 1925```
```09Jul   2.4M 1390 XX04 1727```
```28May   2.1M 1348 XX01 1558```
```20Feb  2.35M 1299 XX03 1809```
```31Jan  2.33M  957 XXXX 2435```
```------------2024-----------```
```09Dec  2.47M 1348 XX01 1832```
```28Oct  1.75M 1348 XX01 1298```
```17Oct 2.475M 1348 XX01 1836```
```26Aug   2.3M 1487 XX02 1547```
```19Aug   2.6M 1487 XX02 1748```
```11Jul 2.525M 1348 XX01 1873```
```03Jul  2.47M 1348 XX01 1832```
```15May  1.16M 1487 XX02  780```
```26Feb  1.16M 1487 XX02  780```
```26Feb 1.052M 1348 XX01  780```
```26Feb 1.008M 1299 XX03  776```
```20Feb   2.3M 1348 XX01 1706```
```15Feb  2.45M 1299 XX03 1886```
```29Jan   2.1M 1348 XX01 1558```
```------------2023-----------```
```06Dec  2.35M 1348 XX01 1743```
```15Sep   2.4M 1487 XX02 1614```
```02Aug   2.3M 1487 XX02 1547```
```18Jul  1.89M 1348 XX01 1402```
```21Jun   1.8M 1299 XX03 1386```
```28Apr   1.7M 1348 XX01 1261```
```12Apr 2.155M 1299 XX03 1659```
```15Feb     2M 1487 XX02 1345```
```------------2022-----------```
```08Sep 1.286M 1348 XX01  954```
```06Jul   1.7M 1487 XX02 1143```
_Source: DLD, Databot_
_BUA - built-up area, sq.ft._
_P/sf - price per sq.ft._
_B - bedrooms; O - office_
_M - million, K- thousand_
_S - studio, R - shop_
_*Max 30 latest transactions_
www.trydatabot.com</t>
  </si>
  <si>
    <t>1009453, *MARKET</t>
  </si>
  <si>
    <t>*MARKET*
*SNAPSHOT*
*BURJ VIEWS TOWER A*
_Area: Downtown_
_Type: 2 bedroom apartment_
*Price dynamics, Dirham/sq.ft.*
_(M - median value)_
```2435|                *     ```
```    |                      ```
```    |                      ```
```    |   *      *         * ```
```1721|---------------------M```
```    | *  *    * * * * * * *```
```    |* *         *     *   ```
```    |                      ```
```    |              *       ```
```    |                      ```
```776 |     ****             ```
```____|______________________```
```    |Sep2023        Sep2025```
_Source: see table below_
*Latest sales transactions*
```Date   Price  BUA Type P/sf```
```------------2025-----------```
```29Sep  2.55M 1487 XX02 1715```
```04Aug   2.5M 1299 XX03 1925```
```09Jul   2.4M 1390 XX04 1727```
```28May   2.1M 1348 XX01 1558```
```20Feb  2.35M 1299 XX03 1809```
```31Jan  2.33M  957 XXXX 2435```
```------------2024-----------```
```09Dec  2.47M 1348 XX01 1832```
```28Oct  1.75M 1348 XX01 1298```
```17Oct 2.475M 1348 XX01 1836```
```26Aug   2.3M 1487 XX02 1547```
```19Aug   2.6M 1487 XX02 1748```
```11Jul 2.525M 1348 XX01 1873```
```03Jul  2.47M 1348 XX01 1832```
```15May  1.16M 1487 XX02  780```
```26Feb  1.16M 1487 XX02  780```
```26Feb 1.052M 1348 XX01  780```
```26Feb 1.008M 1299 XX03  776```
```20Feb   2.3M 1348 XX01 1706```
```15Feb  2.45M 1299 XX03 1886```
```29Jan   2.1M 1348 XX01 1558```
```------------2023-----------```
```06Dec  2.35M 1348 XX01 1743```
```15Sep   2.4M 1487 XX02 1614```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</si>
  <si>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1009493, *SALES*</t>
  </si>
  <si>
    <t>*SALES*
*TRANSACTIONS**
*BURJ VIEWS TOWER A*
_Area: Downtown_
_All types/bedrooms_
```Date    Price   BUA  Type B```
```------------2025-----------```
```03Dec   1.74M   966  XX05 1```
```07Oct    1.7M   966  XX05 1```
```29Sep   2.55M  1487  XX02 2```
```11Aug   1.65M   966  XX05 1```
```05Aug  1.675M   910  XX04 1```
```04Aug    2.5M  1299  XX03 2```
```09Jul    2.4M  1390  XX04 2```
```20Jun  1.645M   783  XX06 1```
```28May    2.1M  1348  XX01 2```
```28May   1.66M   966  XX05 1```
```21May  1.625M   910  XX04 1```
```18Apr   1.58M   783  XX06 1```
```12Mar   1.59M   783  XX06 1```
```11Mar   1.25M   783  XX06 1```
```20Feb   2.35M  1299  XX03 2```
```05Feb   1.54M   966  XX05 1```
```31Jan   2.33M   957  XXXX 2```
```14Jan   1.55M   910  XX04 1```
```02Jan   1.55M   966  XX05 1```
```------------2024-----------```
```26Dec   1.62M   966  XX05 1```
```13Dec  1.585M   966  XX05 1```
```09Dec   2.47M  1348  XX01 2```
```07Nov    1.5M   910  XX04 1```
```28Oct   1.75M  1348  XX01 2```
```17Oct  2.475M  1348  XX01 2```
```26Aug    2.3M  1487  XX02 2```
```19Aug    2.6M  1487  XX02 2```
```23Jul  1.315M   910  XX04 1```
```11Jul  2.525M  1348  XX01 2```
```04Jul   1.55M   966  XX05 1```
_Source: DLD, Databot_
_BUA - built-up area, sq.ft._
_P/sf - price per sq.ft._
_B - bedrooms; O - office_
_M - million, K- thousand_
_S - studio, R - shop_
_*Max 30 latest transactions_
www.trydatabot.com</t>
  </si>
  <si>
    <t>1009494, by code, *BUILDI</t>
  </si>
  <si>
    <t xml:space="preserve">*BUILDING*
*PROFILE*
*BURJ VIEWS TOWER A*
_Area: Downtown_
_Tap&amp;hold to copy a reply_
```-------------------------```
```Report              Reply```
```-------------------------```
*1 B/R*
```Sales, ROI        1009448```
```Price chart       1009449```
```Rentals               n/a```
*2 B/R*
```Sales, ROI        1009452```
```Price chart       1009453```
```Rentals               n/a```
*All types/bedrooms*
```Sales, ROI        1009493```
```Rentals               n/a```
</t>
  </si>
  <si>
    <t>1009512, *SALES*</t>
  </si>
  <si>
    <t>*SALES*
*TRANSACTIONS**
*BURJ VIEWS TOWER B*
_Area: Downtown_
_Type: 1 bedroom apartment_
```Date   Price  BUA Type P/sf```
```------------2026-----------```
```12Jan   1.4M  727 XX05 1926```
```------------2025-----------```
```18Dec   1.7M  915 XX01 1858```
```30Sep  1.62M  920 XX06 1761```
```11Sep  1.61M  727 XX05 2215```
```03Sep  1.48M  727 XX05 2036```
```21Aug  1.65M  920 XX06 1793```
```26Jun  1.83M 1083 XX04 1690```
```10Jun   1.4M  716 XX04 1955```
```18Apr  1.82M 1083 XX04 1681```
```05Mar 1.675M  920 XX06 1821```
```26Feb 1.775M  931 XX05 1907```
```13Feb  1.66M  920 XX06 1804```
```12Feb   1.8M 1083 XX04 1662```
```21Jan  1.81M 1083 XX04 1671```
```13Jan  1.52M  915 XX01 1661```
```------------2024-----------```
```12Dec  1.58M  920 XX06 1717```
```28Oct  1.68M  920 XX06 1826```
```25Sep  1.63M  920 XX06 1772```
```10Sep  1.65M  920 XX06 1793```
```02Sep   1.6M  915 XX01 1749```
```22Aug 1.625M  920 XX06 1766```
```05Jun 1.535M  915 XX01 1678```
```03Jun   1.4M  727 XX05 1926```
```10May   1.4M  727 XX05 1926```
```------------2023-----------```
```21Dec  1.52M  915 XX01 1661```
```28Nov 1.275M  727 XX05 1754```
```16Aug   1.4M  915 XX01 1530```
```12Jul  1.45M  915 XX01 1585```
```07Jul  1.54M 1401 XX03 1099```
```22Jun  1.23M  727 XX05 1692```
_Source: DLD, Databot_
_BUA - built-up area, sq.ft._
_P/sf - price per sq.ft._
_B - bedrooms; O - office_
_M - million, K- thousand_
_S - studio, R - shop_
_*Max 30 latest transactions_
www.trydatabot.com</t>
  </si>
  <si>
    <t>Burj Views Tower B</t>
  </si>
  <si>
    <t>1009513, *MARKET</t>
  </si>
  <si>
    <t>*MARKET*
*SNAPSHOT*
*BURJ VIEWS TOWER B*
_Area: Downtown_
_Type: 1 bedroom apartment_
*Price dynamics, Dirham/sq.ft.*
_(M - median value)_
```2215|                  *   ```
```    |                      ```
```    |                      ```
```    |                 *    ```
```    |                      ```
```    |              *      *```
```    |           *        * ```
```    |     *    * *         ```
```1783|---------------------M```
```    | ****           *  *  ```
```1661|*     ****   * *      ```
```____|______________________```
```    |Jun2024        Jan2026```
_Source: see table below_
*Latest sales transactions*
```Date   Price  BUA Type P/sf```
```------------2026-----------```
```12Jan   1.4M  727 XX05 1926```
```------------2025-----------```
```18Dec   1.7M  915 XX01 1858```
```30Sep  1.62M  920 XX06 1761```
```11Sep  1.61M  727 XX05 2215```
```03Sep  1.48M  727 XX05 2036```
```21Aug  1.65M  920 XX06 1793```
```26Jun  1.83M 1083 XX04 1690```
```10Jun   1.4M  716 XX04 1955```
```18Apr  1.82M 1083 XX04 1681```
```05Mar 1.675M  920 XX06 1821```
```26Feb 1.775M  931 XX05 1907```
```13Feb  1.66M  920 XX06 1804```
```12Feb   1.8M 1083 XX04 1662```
```21Jan  1.81M 1083 XX04 1671```
```13Jan  1.52M  915 XX01 1661```
```------------2024-----------```
```12Dec  1.58M  920 XX06 1717```
```28Oct  1.68M  920 XX06 1826```
```25Sep  1.63M  920 XX06 1772```
```10Sep  1.65M  920 XX06 1793```
```02Sep   1.6M  915 XX01 1749```
```22Aug 1.625M  920 XX06 1766```
```05Jun 1.535M  915 XX01 1678```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</si>
  <si>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1009516, *SALES*</t>
  </si>
  <si>
    <t>*SALES*
*TRANSACTIONS**
*BURJ VIEWS TOWER B*
_Area: Downtown_
_Type: 2 bedroom apartment_
```Date   Price  BUA Type P/sf```
```------------2025-----------```
```19Aug  2.65M 1468 XX03 1805```
```13Aug  2.25M 1362 XX02 1652```
```29Apr   2.3M 1468 XX03 1567```
```26Feb 2.566M 1362 XX02 1884```
```------------2024-----------```
```13May   2.5M 1468 XX03 1703```
```------------2023-----------```
```26Dec   2.3M 1362 XX02 1689```
```14Dec   2.2M 1468 XX03 1499```
```23Nov   1.9M 1897 XX03 1002```
```21Nov  2.65M 1362 XX02 1946```
```10Nov  2.15M 1362 XX02 1579```
```27Sep  2.04M 1362 XX02 1498```
```06Sep  1.93M 1362 XX02 1417```
```03Jul   1.9M 1362 XX02 1395```
```23May  2.15M 1362 XX02 1579```
```12Jan   1.6M 1362 XX02 1175```
```------------2022-----------```
```28Sep  1.75M 1362 XX02 1285```
```21Sep  1.52M 1468 XX03 1035```
```15Sep  1.56M 1362 XX02 1145```
```19Jul  1.67M 1362 XX02 1226```
```07Jul 1.525M 1362 XX02 1120```
```30Jun  1.55M 1362 XX02 1138```
```19May 1.989M 1362 XX02 1460```
```29Apr  1.62M 1362 XX02 1189```
```07Jan  1.41M 1362 XX02 1035```
```------------2021-----------```
```11Jul  1.45M 1362 XX02 1065```
```19May   1.6M 1362 XX02 1175```
```------------2020-----------```
```27Jan  1.45M 1391 XX03 1042```
```------------2019-----------```
```17Oct 1.265M 1468 XX03  862```
```06Oct  1.55M 1362 XX02 1138```
```18Jul 1.275M 1362 XX02  936```
_Source: DLD, Databot_
_BUA - built-up area, sq.ft._
_P/sf - price per sq.ft._
_B - bedrooms; O - office_
_M - million, K- thousand_
_S - studio, R - shop_
_*Max 30 latest transactions_
www.trydatabot.com</t>
  </si>
  <si>
    <t>1009517, *MARKET</t>
  </si>
  <si>
    <t>*MARKET*
*SNAPSHOT*
*BURJ VIEWS TOWER B*
_Area: Downtown_
_Type: 2 bedroom apartment_
*Price dynamics, Dirham/sq.ft.*
_(M - median value)_
```1946|             *        ```
```    |                  *   ```
```    |                      ```
```    |                **  * ```
```    |        *   *      *  ```
```1479|---------------------M```
```    |*          *   *      ```
```    |         **           ```
```    |      *               ```
```    | ****  *              ```
```1002|     *        *       ```
```____|______________________```
```    |May2022        Aug2025```
_Source: see table below_
*Latest sales transactions*
```Date   Price  BUA Type P/sf```
```------------2025-----------```
```19Aug  2.65M 1468 XX03 1805```
```13Aug  2.25M 1362 XX02 1652```
```29Apr   2.3M 1468 XX03 1567```
```26Feb 2.566M 1362 XX02 1884```
```------------2024-----------```
```13May   2.5M 1468 XX03 1703```
```------------2023-----------```
```26Dec   2.3M 1362 XX02 1689```
```14Dec   2.2M 1468 XX03 1499```
```23Nov   1.9M 1897 XX03 1002```
```21Nov  2.65M 1362 XX02 1946```
```10Nov  2.15M 1362 XX02 1579```
```27Sep  2.04M 1362 XX02 1498```
```06Sep  1.93M 1362 XX02 1417```
```03Jul   1.9M 1362 XX02 1395```
```23May  2.15M 1362 XX02 1579```
```12Jan   1.6M 1362 XX02 1175```
```------------2022-----------```
```28Sep  1.75M 1362 XX02 1285```
```21Sep  1.52M 1468 XX03 1035```
```15Sep  1.56M 1362 XX02 1145```
```19Jul  1.67M 1362 XX02 1226```
```07Jul 1.525M 1362 XX02 1120```
```30Jun  1.55M 1362 XX02 1138```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</si>
  <si>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1009520, *SALES*</t>
  </si>
  <si>
    <t>*SALES*
*TRANSACTIONS**
*BURJ VIEWS TOWER B*
_Area: Downtown_
_Type: 3 bedroom apartment_
```Date   Price  BUA Type P/sf```
```------------2023-----------```
```07Nov   3.5M 2489 XX02 1406```
_Source: DLD, Databot_
_BUA - built-up area, sq.ft._
_P/sf - price per sq.ft._
_B - bedrooms; O - office_
_M - million, K- thousand_
_S - studio, R - shop_
_*Max 30 latest transactions_
www.trydatabot.com</t>
  </si>
  <si>
    <t>1009521, *MARKET</t>
  </si>
  <si>
    <t>*MARKET*
*SNAPSHOT*
*BURJ VIEWS TOWER B*
_Area: Downtown_
_Type: 3 bedroom apartment_
*Price dynamics, Dirham/sq.ft.*
_(M - median value)_
```1406|                     *```
```1406|----------------------```
```    |                     *```
```1406|---------------------M```
```    |                     *```
```1406|---------------------M```
```    |                     *```
```1406|---------------------M```
```    |                     *```
```1406|---------------------M```
```    |                     *```
```____|______________________```
```    |Nov2023        Nov2023```
_Source: see table below_
*Latest sales transactions*
```Date   Price  BUA Type P/sf```
```------------2023-----------```
```07Nov   3.5M 2489 XX02 1406```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</si>
  <si>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1009557, *SALES*</t>
  </si>
  <si>
    <t>*SALES*
*TRANSACTIONS**
*BURJ VIEWS TOWER B*
_Area: Downtown_
_All types/bedrooms_
```Date    Price   BUA  Type B```
```------------2026-----------```
```12Jan    1.4M   727  XX05 1```
```------------2025-----------```
```18Dec    1.7M   915  XX01 1```
```30Sep   1.62M   920  XX06 1```
```11Sep   1.61M   727  XX05 1```
```03Sep   1.48M   727  XX05 1```
```21Aug   1.65M   920  XX06 1```
```19Aug   2.65M  1468  XX03 2```
```13Aug   2.25M  1362  XX02 2```
```26Jun   1.83M  1083  XX04 1```
```10Jun    1.4M   716  XX04 1```
```29Apr    2.3M  1468  XX03 2```
```18Apr   1.82M  1083  XX04 1```
```05Mar  1.675M   920  XX06 1```
```26Feb  2.566M  1362  XX02 2```
```26Feb  1.775M   931  XX05 1```
```13Feb   1.66M   920  XX06 1```
```12Feb    1.8M  1083  XX04 1```
```21Jan   1.81M  1083  XX04 1```
```13Jan   1.52M   915  XX01 1```
```------------2024-----------```
```12Dec   1.58M   920  XX06 1```
```28Oct   1.68M   920  XX06 1```
```25Sep   1.63M   920  XX06 1```
```10Sep   1.65M   920  XX06 1```
```02Sep    1.6M   915  XX01 1```
```22Aug  1.625M   920  XX06 1```
```05Jun  1.535M   915  XX01 1```
```03Jun    1.4M   727  XX05 1```
```13May    2.5M  1468  XX03 2```
```10May    1.4M   727  XX05 1```
```------------2023-----------```
```26Dec    2.3M  1362  XX02 2```
_Source: DLD, Databot_
_BUA - built-up area, sq.ft._
_P/sf - price per sq.ft._
_B - bedrooms; O - office_
_M - million, K- thousand_
_S - studio, R - shop_
_*Max 30 latest transactions_
www.trydatabot.com</t>
  </si>
  <si>
    <t>1009558, by code, *BUILDI</t>
  </si>
  <si>
    <t xml:space="preserve">*BUILDING*
*PROFILE*
*BURJ VIEWS TOWER B*
_Area: Downtown_
_Tap&amp;hold to copy a reply_
```-------------------------```
```Report              Reply```
```-------------------------```
*1 B/R*
```Sales, ROI        1009512```
```Price chart       1009513```
```Rentals               n/a```
*2 B/R*
```Sales, ROI        1009516```
```Price chart       1009517```
```Rentals               n/a```
*3 B/R*
```Sales, ROI        1009520```
```Price chart       1009521```
```Rentals               n/a```
*All types/bedrooms*
```Sales, ROI        1009557```
```Rentals               n/a```
</t>
  </si>
  <si>
    <t>1009576, *SALES*</t>
  </si>
  <si>
    <t>*SALES*
*TRANSACTIONS**
*BURJ VIEWS TOWER C*
_Area: Downtown_
_Type: 1 bedroom apartment_
```Date   Price  BUA Type P/sf```
```------------2025-----------```
```25Aug  1.45M  910 XX04 1593```
```21Jul 1.635M  966 XX05 1693```
```03Jul  1.65M  966 XX05 1708```
```04Jun   1.8M  910 XX04 1978```
```27May 1.343M  910 XX04 1476```
```20Mar  1.75M  910 XX04 1923```
```------------2024-----------```
```26Dec 1.575M  966 XX05 1630```
```26Dec  1.56M  910 XX04 1714```
```11Sep   1.6M  966 XX05 1656```
```22Aug   1.5M  966 XX05 1553```
```09Aug 1.545M  783 XX06 1973```
```08Aug  1.54M  783 XX06 1967```
```07Jun  1.54M  783 XX06 1967```
```27May   1.5M  910 XX04 1648```
```27May  1.55M  966 XX05 1605```
```29Jan   1.7M  910 XX04 1868```
```------------2023-----------```
```16Nov     1M  783 XX06 1277```
```13Oct 1.625M  783 XX06 2075```
```12Sep 1.335M  910 XX04 1467```
```19May     1M  910 XX04 1099```
```16Feb  1.35M  966 XX05 1398```
```11Jan   1.1M  910 XX04 1209```
```03Jan 1.115M  783 XX06 1424```
```------------2022-----------```
```23Nov 1.425M  910 XX04 1566```
```12Sep   1.1M  910 XX04 1209```
```03Aug  1.05M  783 XX06 1341```
```02Jun   970K  910 XX04 1066```
```20May   950K  910 XX04 1044```
```------------2021-----------```
```16Dec   900K  966 XX05  932```
```17Nov     1M  966 XX05 1035```
_Source: DLD, Databot_
_BUA - built-up area, sq.ft._
_P/sf - price per sq.ft._
_B - bedrooms; O - office_
_M - million, K- thousand_
_S - studio, R - shop_
_*Max 30 latest transactions_
www.trydatabot.com</t>
  </si>
  <si>
    <t>Burj Views Tower C</t>
  </si>
  <si>
    <t>1009577, *MARKET</t>
  </si>
  <si>
    <t>*MARKET*
*SNAPSHOT*
*BURJ VIEWS TOWER C*
_Area: Downtown_
_Type: 1 bedroom apartment_
*Price dynamics, Dirham/sq.ft.*
_(M - median value)_
```2075|    *                 ```
```    |         ***      *   ```
```    |      *         *     ```
```    |                      ```
```1652|---------------------M```
```    |        *    **    ** ```
```    |       *    *  *     *```
```    |   *             *    ```
```    | *                    ```
```    |*    *                ```
```1099|  *                   ```
```____|______________________```
```    |Jan2023        Aug2025```
_Source: see table below_
*Latest sales transactions*
```Date   Price  BUA Type P/sf```
```------------2025-----------```
```25Aug  1.45M  910 XX04 1593```
```21Jul 1.635M  966 XX05 1693```
```03Jul  1.65M  966 XX05 1708```
```04Jun   1.8M  910 XX04 1978```
```27May 1.343M  910 XX04 1476```
```20Mar  1.75M  910 XX04 1923```
```------------2024-----------```
```26Dec 1.575M  966 XX05 1630```
```26Dec  1.56M  910 XX04 1714```
```11Sep   1.6M  966 XX05 1656```
```22Aug   1.5M  966 XX05 1553```
```09Aug 1.545M  783 XX06 1973```
```08Aug  1.54M  783 XX06 1967```
```07Jun  1.54M  783 XX06 1967```
```27May   1.5M  910 XX04 1648```
```27May  1.55M  966 XX05 1605```
```29Jan   1.7M  910 XX04 1868```
```------------2023-----------```
```16Nov     1M  783 XX06 1277```
```13Oct 1.625M  783 XX06 2075```
```12Sep 1.335M  910 XX04 1467```
```19May     1M  910 XX04 1099```
```16Feb  1.35M  966 XX05 1398```
```11Jan   1.1M  910 XX04 1209```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</si>
  <si>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1009580, *SALES*</t>
  </si>
  <si>
    <t>*SALES*
*TRANSACTIONS**
*BURJ VIEWS TOWER C*
_Area: Downtown_
_Type: 2 bedroom apartment_
```Date   Price  BUA Type P/sf```
```------------2026-----------```
```07Jan   2.5M 1348 XX01 1855```
```------------2025-----------```
```15Dec 2.425M 1348 XX01 1799```
```12Sep  2.43M 1487 XX02 1634```
```30May   2.5M 1487 XX02 1681```
```29Apr  2.45M 1348 XX01 1818```
```09Apr  2.55M 1348 XX01 1892```
```27Mar  2.35M 1299 XX03 1809```
```17Feb   2.5M 1299 XX03 1925```
```07Jan 2.035M 1299 XX03 1567```
```------------2024-----------```
```07Oct   2.4M 1348 XX01 1780```
```30Aug 2.635M 1487 XX02 1772```
```30Aug   2.2M 1636 XX03 1345```
```18Jul 2.475M 1487 XX02 1664```
```07Jun  2.03M 1299 XX03 1563```
```20Mar  2.04M 1487 XX02 1372```
```05Mar  2.55M 1299 XX03 1963```
```20Feb 1.284M 1348 XX01  953```
```08Feb  2.05M 1146 XXXX 1789```
```------------2023-----------```
```14Dec   1.9M 1348 XX01 1409```
```30Nov   2.3M 1487 XX02 1547```
```20Nov     2M 1299 XX03 1540```
```07Nov  1.95M 1299 XX03 1501```
```09Oct 2.105M 1487 XX02 1416```
```25Sep   1.9M 1348 XX01 1409```
```04Sep  1.85M 1299 XX03 1424```
```12Jul  2.06M 1348 XX01 1528```
```26May     2M 1348 XX01 1484```
```09May   1.6M 1348 XX01 1187```
```22Mar   1.6M 1348 XX01 1187```
```06Mar  1.55M 1299 XX03 1193```
_Source: DLD, Databot_
_BUA - built-up area, sq.ft._
_P/sf - price per sq.ft._
_B - bedrooms; O - office_
_M - million, K- thousand_
_S - studio, R - shop_
_*Max 30 latest transactions_
www.trydatabot.com</t>
  </si>
  <si>
    <t>1009581, *MARKET</t>
  </si>
  <si>
    <t>*MARKET*
*SNAPSHOT*
*BURJ VIEWS TOWER C*
_Area: Downtown_
_Type: 2 bedroom apartment_
*Price dynamics, Dirham/sq.ft.*
_(M - median value)_
```1963|      *       *       ```
```    |                **   *```
```    |    *      **  *    * ```
```1673|---------------------M```
```    |         *        **  ```
```    | **     *    *        ```
```    |*  *                  ```
```    |       *  *           ```
```    |                      ```
```    |                      ```
```953 |     *                ```
```____|______________________```
```    |Nov2023        Jan2026```
_Source: see table below_
*Latest sales transactions*
```Date   Price  BUA Type P/sf```
```------------2026-----------```
```07Jan   2.5M 1348 XX01 1855```
```------------2025-----------```
```15Dec 2.425M 1348 XX01 1799```
```12Sep  2.43M 1487 XX02 1634```
```30May   2.5M 1487 XX02 1681```
```29Apr  2.45M 1348 XX01 1818```
```09Apr  2.55M 1348 XX01 1892```
```27Mar  2.35M 1299 XX03 1809```
```17Feb   2.5M 1299 XX03 1925```
```07Jan 2.035M 1299 XX03 1567```
```------------2024-----------```
```07Oct   2.4M 1348 XX01 1780```
```30Aug 2.635M 1487 XX02 1772```
```30Aug   2.2M 1636 XX03 1345```
```18Jul 2.475M 1487 XX02 1664```
```07Jun  2.03M 1299 XX03 1563```
```20Mar  2.04M 1487 XX02 1372```
```05Mar  2.55M 1299 XX03 1963```
```20Feb 1.284M 1348 XX01  953```
```08Feb  2.05M 1146 XXXX 1789```
```------------2023-----------```
```14Dec   1.9M 1348 XX01 1409```
```30Nov   2.3M 1487 XX02 1547```
```20Nov     2M 1299 XX03 1540```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</si>
  <si>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1009621, *SALES*</t>
  </si>
  <si>
    <t>*SALES*
*TRANSACTIONS**
*BURJ VIEWS TOWER C*
_Area: Downtown_
_All types/bedrooms_
```Date    Price   BUA  Type B```
```------------2026-----------```
```07Jan    2.5M  1348  XX01 2```
```------------2025-----------```
```15Dec  2.425M  1348  XX01 2```
```12Sep   2.43M  1487  XX02 2```
```25Aug   1.45M   910  XX04 1```
```21Jul  1.635M   966  XX05 1```
```03Jul   1.65M   966  XX05 1```
```04Jun    1.8M   910  XX04 1```
```30May    2.5M  1487  XX02 2```
```27May  1.343M   910  XX04 1```
```29Apr   2.45M  1348  XX01 2```
```09Apr   2.55M  1348  XX01 2```
```27Mar   2.35M  1299  XX03 2```
```20Mar   1.75M   910  XX04 1```
```17Feb    2.5M  1299  XX03 2```
```07Jan  2.035M  1299  XX03 2```
```------------2024-----------```
```26Dec  1.575M   966  XX05 1```
```26Dec   1.56M   910  XX04 1```
```07Oct    2.4M  1348  XX01 2```
```11Sep    1.6M   966  XX05 1```
```30Aug  2.635M  1487  XX02 2```
```30Aug    2.2M  1636  XX03 2```
```22Aug    1.5M   966  XX05 1```
```09Aug  1.545M   783  XX06 1```
```08Aug   1.54M   783  XX06 1```
```18Jul  2.475M  1487  XX02 2```
```07Jun   2.03M  1299  XX03 2```
```07Jun   1.54M   783  XX06 1```
```27May    1.5M   910  XX04 1```
```27May   1.55M   966  XX05 1```
```20Mar   2.04M  1487  XX02 2```
_Source: DLD, Databot_
_BUA - built-up area, sq.ft._
_P/sf - price per sq.ft._
_B - bedrooms; O - office_
_M - million, K- thousand_
_S - studio, R - shop_
_*Max 30 latest transactions_
www.trydatabot.com</t>
  </si>
  <si>
    <t>1009622, by code, *BUILDI</t>
  </si>
  <si>
    <t xml:space="preserve">*BUILDING*
*PROFILE*
*BURJ VIEWS TOWER C*
_Area: Downtown_
_Tap&amp;hold to copy a reply_
```-------------------------```
```Report              Reply```
```-------------------------```
*1 B/R*
```Sales, ROI        1009576```
```Price chart       1009577```
```Rentals               n/a```
*2 B/R*
```Sales, ROI        1009580```
```Price chart       1009581```
```Rentals               n/a```
*All types/bedrooms*
```Sales, ROI        1009621```
```Rentals               n/a```
</t>
  </si>
  <si>
    <t>1009636, *SALES*</t>
  </si>
  <si>
    <t>*SALES*
*TRANSACTIONS**
*BURJ VIEWS PODIUM*
_Area: Downtown_
_Type: studio apartment_
```Date   Price  BUA Type P/sf```
```------------2025-----------```
```24Oct  1.35M  674 XXXX 2003```
```03Jul   1.2M  738 XXXX 1626```
```11Jun 1.275M  744 XXXX 1714```
```02Jun  1.14M  595 XXXX 1916```
```23May  1.23M  595 XXXX 2067```
```22May 1.275M  734 XXXX 1737```
```02May   1.2M  662 XXXX 1813```
```25Apr 1.275M  744 XXXX 1714```
```23Apr 1.325M  595 XXXX 2227```
```22Apr  1.28M  734 XXXX 1744```
```21Mar   1.2M  595 XXXX 2017```
```21Feb  1.15M  677 XXXX 1699```
```20Feb  1.27M  750 XXXX 1693```
```------------2024-----------```
```25Sep 1.244M  734 XXXX 1695```
```18Sep   1.1M  654 XXXX 1682```
```13Sep  1.03M  595 XXXX 1731```
```07Aug 1.125M  738 XXXX 1524```
```23Jul  1.05M  654 XXXX 1606```
```01Jul  1.69M  595 XXXX 2840```
```29Apr  1.05M  674 XXXX 1558```
```20Mar 970.5K  744 XXXX 1304```
```26Jan 1.175M  744 XXXX 1579```
```19Jan   1.1M  662 XXXX 1662```
```------------2023-----------```
```19Dec 1.075M  662 XXXX 1624```
```30Nov   1.2M  595 XXXX 2017```
```27Nov  1.05M  595 XXXX 1765```
```23Nov   950K  744 XXXX 1277```
```12Oct   1.1M  654 XXXX 1682```
```11Oct   970K  816 XXXX 1189```
```22Sep   910K  595 XXXX 1529```
_Source: DLD, Databot_
_BUA - built-up area, sq.ft._
_P/sf - price per sq.ft._
_B - bedrooms; O - office_
_M - million, K- thousand_
_S - studio, R - shop_
_*Max 30 latest transactions_
www.trydatabot.com</t>
  </si>
  <si>
    <t>Burj Views Podium</t>
  </si>
  <si>
    <t>1009637, *MARKET</t>
  </si>
  <si>
    <t>*MARKET*
*SNAPSHOT*
*BURJ VIEWS PODIUM*
_Area: Downtown_
_Type: studio apartment_
*Price dynamics, Dirham/sq.ft.*
_(M - median value)_
```2840|   *                  ```
```    |                      ```
```    |                      ```
```    |                      ```
```    |             *        ```
```    |           *     *   *```
```    |                  *   ```
```1714|---------------------M```
```    |      * *** * ***  *  ```
```    |* * ** *            * ```
```1304| *                    ```
```____|______________________```
```    |Jan2024        Oct2025```
_Source: see table below_
*Latest sales transactions*
```Date   Price  BUA Type P/sf```
```------------2025-----------```
```24Oct  1.35M  674 XXXX 2003```
```03Jul   1.2M  738 XXXX 1626```
```11Jun 1.275M  744 XXXX 1714```
```02Jun  1.14M  595 XXXX 1916```
```23May  1.23M  595 XXXX 2067```
```22May 1.275M  734 XXXX 1737```
```02May   1.2M  662 XXXX 1813```
```25Apr 1.275M  744 XXXX 1714```
```23Apr 1.325M  595 XXXX 2227```
```22Apr  1.28M  734 XXXX 1744```
```21Mar   1.2M  595 XXXX 2017```
```21Feb  1.15M  677 XXXX 1699```
```20Feb  1.27M  750 XXXX 1693```
```------------2024-----------```
```25Sep 1.244M  734 XXXX 1695```
```18Sep   1.1M  654 XXXX 1682```
```13Sep  1.03M  595 XXXX 1731```
```07Aug 1.125M  738 XXXX 1524```
```23Jul  1.05M  654 XXXX 1606```
```01Jul  1.69M  595 XXXX 2840```
```29Apr  1.05M  674 XXXX 1558```
```20Mar 970.5K  744 XXXX 1304```
```26Jan 1.175M  744 XXXX 1579```
```19Jan   1.1M  662 XXXX 1662```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</si>
  <si>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1009640, *SALES*</t>
  </si>
  <si>
    <t>*SALES*
*TRANSACTIONS**
*BURJ VIEWS PODIUM*
_Area: Downtown_
_Type: 1 bedroom apartment_
```Date   Price  BUA Type P/sf```
```------------2025-----------```
```11Dec  1.67M  906 XXXX 1843```
```10Dec   1.8M 1195 XXXX 1506```
```06Nov 1.535M 1025 XXXX 1498```
```01Sep  1.85M 1239 XXXX 1493```
```29Aug  1.65M  918 XXXX 1797```
```11Jul  1.65M 1025 XXXX 1610```
```19Jun  1.65M 1125 XXXX 1467```
```13Jun  1.78M  906 XXXX 1965```
```19May  1.61M  906 XXXX 1777```
```05May   1.5M  906 XXXX 1656```
```02May  1.63M 1047 XXXX 1557```
```20Mar  1.64M  901 XXXX 1820```
```05Feb 1.525M  906 XXXX 1683```
```21Jan  1.54M  906 XXXX 1700```
```------------2024-----------```
```26Dec  1.65M 1146 XXXX 1440```
```13Dec  1.56M  918 XXXX 1699```
```25Nov 1.679M  906 XXXX 1853```
```26Sep  1.45M  902 XXXX 1608```
```18Sep 1.525M  927 XXXX 1645```
```10Jul  1.65M  901 XXXX 1831```
```09Jul     2M  918 XXXX 2179```
```28Jun   1.7M  906 XXXX 1876```
```12Jun 1.475M  918 XXXX 1607```
```06Jun 1.575M  906 XXXX 1738```
```03Jun  1.68M 1089 XXXX 1543```
```28May  1.35M  906 XXXX 1490```
```27May   1.4M  906 XXXX 1545```
```27May  1.45M  906 XXXX 1600```
```27May   1.6M 1146 XXXX 1396```
```27May  1.45M  906 XXXX 1600```
_Source: DLD, Databot_
_BUA - built-up area, sq.ft._
_P/sf - price per sq.ft._
_B - bedrooms; O - office_
_M - million, K- thousand_
_S - studio, R - shop_
_*Max 30 latest transactions_
www.trydatabot.com</t>
  </si>
  <si>
    <t>1009641, *MARKET</t>
  </si>
  <si>
    <t>*MARKET*
*SNAPSHOT*
*BURJ VIEWS PODIUM*
_Area: Downtown_
_Type: 1 bedroom apartment_
*Price dynamics, Dirham/sq.ft.*
_(M - median value)_
```2179| *                    ```
```    |                      ```
```    |                      ```
```    |              *       ```
```    |*    *                ```
```    |  *       *  *   *   *```
```    |      * *             ```
```1691|---------------------M```
```    |   *     *  *         ```
```    |    *      *    *     ```
```1440|       *       *  *** ```
```____|______________________```
```    |Jun2024        Dec2025```
_Source: see table below_
*Latest sales transactions*
```Date   Price  BUA Type P/sf```
```------------2025-----------```
```11Dec  1.67M  906 XXXX 1843```
```10Dec   1.8M 1195 XXXX 1506```
```06Nov 1.535M 1025 XXXX 1498```
```01Sep  1.85M 1239 XXXX 1493```
```29Aug  1.65M  918 XXXX 1797```
```11Jul  1.65M 1025 XXXX 1610```
```19Jun  1.65M 1125 XXXX 1467```
```13Jun  1.78M  906 XXXX 1965```
```19May  1.61M  906 XXXX 1777```
```05May   1.5M  906 XXXX 1656```
```02May  1.63M 1047 XXXX 1557```
```20Mar  1.64M  901 XXXX 1820```
```05Feb 1.525M  906 XXXX 1683```
```21Jan  1.54M  906 XXXX 1700```
```------------2024-----------```
```26Dec  1.65M 1146 XXXX 1440```
```13Dec  1.56M  918 XXXX 1699```
```25Nov 1.679M  906 XXXX 1853```
```26Sep  1.45M  902 XXXX 1608```
```18Sep 1.525M  927 XXXX 1645```
```10Jul  1.65M  901 XXXX 1831```
```09Jul     2M  918 XXXX 2179```
```28Jun   1.7M  906 XXXX 1876```
```12Jun 1.475M  918 XXXX 1607```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</si>
  <si>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1009644, *SALES*</t>
  </si>
  <si>
    <t>*SALES*
*TRANSACTIONS**
*BURJ VIEWS PODIUM*
_Area: Downtown_
_Type: 2 bedroom apartment_
```Date   Price  BUA Type P/sf```
```------------2024-----------```
```18Oct   4.1M 1737 XXXX 2360```
```17Oct   4.1M 1919 XXXX 2137```
```21Mar  2.22M 1374 XXXX 1616```
```------------2023-----------```
```17Oct   2.1M 2311 XXXX  909```
```14Jun   700K 1320 XXXX  530```
```29May 2.211M 2428 XXXX  911```
```29May  1.65M 1364 XXXX 1210```
```------------2022-----------```
```23Jun   2.1M 1996 XXXX 1052```
```------------2020-----------```
```02Nov  1.55M 1919 XXXX  808```
```------------2018-----------```
```15Oct   2.1M 2311 XXXX  909```
_Source: DLD, Databot_
_BUA - built-up area, sq.ft._
_P/sf - price per sq.ft._
_B - bedrooms; O - office_
_M - million, K- thousand_
_S - studio, R - shop_
_*Max 30 latest transactions_
www.trydatabot.com</t>
  </si>
  <si>
    <t>1009645, *MARKET</t>
  </si>
  <si>
    <t>*MARKET*
*SNAPSHOT*
*BURJ VIEWS PODIUM*
_Area: Downtown_
_Type: 2 bedroom apartment_
*Price dynamics, Dirham/sq.ft.*
_(M - median value)_
```2360|                     *```
```    |                    * ```
```    |                      ```
```    |                      ```
```    |                   *  ```
```    |                      ```
```    |               *      ```
```    |              *       ```
```982 |---------------------M```
```    |            **  * *   ```
```530 |                 *    ```
```____|______________________```
```    |Oct2018        Oct2024```
_Source: see table below_
*Latest sales transactions*
```Date   Price  BUA Type P/sf```
```------------2024-----------```
```18Oct   4.1M 1737 XXXX 2360```
```17Oct   4.1M 1919 XXXX 2137```
```21Mar  2.22M 1374 XXXX 1616```
```------------2023-----------```
```17Oct   2.1M 2311 XXXX  909```
```14Jun   700K 1320 XXXX  530```
```29May 2.211M 2428 XXXX  911```
```29May  1.65M 1364 XXXX 1210```
```------------2022-----------```
```23Jun   2.1M 1996 XXXX 1052```
```------------2020-----------```
```02Nov  1.55M 1919 XXXX  808```
```------------2018-----------```
```15Oct   2.1M 2311 XXXX  909```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</si>
  <si>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1009685, *SALES*</t>
  </si>
  <si>
    <t>*SALES*
*TRANSACTIONS**
*BURJ VIEWS PODIUM*
_Area: Downtown_
_All types/bedrooms_
```Date    Price   BUA  Type B```
```------------2025-----------```
```11Dec   1.67M   906  XXXX 1```
```10Dec    1.8M  1195  XXXX 1```
```06Nov  1.535M  1025  XXXX 1```
```24Oct   1.35M   674  XXXX S```
```01Sep   1.85M  1239  XXXX 1```
```29Aug   1.65M   918  XXXX 1```
```11Jul   1.65M  1025  XXXX 1```
```03Jul    1.2M   738  XXXX S```
```19Jun   1.65M  1125  XXXX 1```
```13Jun   1.78M   906  XXXX 1```
```11Jun  1.275M   744  XXXX S```
```02Jun   1.14M   595  XXXX S```
```23May   1.23M   595  XXXX S```
```22May  1.275M   734  XXXX S```
```19May   1.61M   906  XXXX 1```
```05May    1.5M   906  XXXX 1```
```02May    1.2M   662  XXXX S```
```02May   1.63M  1047  XXXX 1```
```25Apr  1.275M   744  XXXX S```
```23Apr  1.325M   595  XXXX S```
```22Apr   1.28M   734  XXXX S```
```21Mar    1.2M   595  XXXX S```
```20Mar   1.64M   901  XXXX 1```
```21Feb   1.15M   677  XXXX S```
```20Feb   1.27M   750  XXXX S```
```05Feb  1.525M   906  XXXX 1```
```21Jan   1.54M   906  XXXX 1```
```------------2024-----------```
```26Dec   1.65M  1146  XXXX 1```
```13Dec   1.56M   918  XXXX 1```
```25Nov  1.679M   906  XXXX 1```
_Source: DLD, Databot_
_BUA - built-up area, sq.ft._
_P/sf - price per sq.ft._
_B - bedrooms; O - office_
_M - million, K- thousand_
_S - studio, R - shop_
_*Max 30 latest transactions_
www.trydatabot.com</t>
  </si>
  <si>
    <t>1009686, by code, *BUILDI</t>
  </si>
  <si>
    <t xml:space="preserve">*BUILDING*
*PROFILE*
*BURJ VIEWS PODIUM*
_Area: Downtown_
_Tap&amp;hold to copy a reply_
```-------------------------```
```Report              Reply```
```-------------------------```
*Studio*
```Sales, ROI        1009636```
```Price chart       1009637```
```Rentals               n/a```
*1 B/R*
```Sales, ROI        1009640```
```Price chart       1009641```
```Rentals               n/a```
*2 B/R*
```Sales, ROI        1009644```
```Price chart       1009645```
```Rentals               n/a```
*All types/bedrooms*
```Sales, ROI        1009685```
```Rentals               n/a```
</t>
  </si>
  <si>
    <t>1009704, *SALES*</t>
  </si>
  <si>
    <r>
      <rPr/>
      <t xml:space="preserve">*SALES*
*TRANSACTIONS**
*BURJ VISTA T1*
_Area: Downtown_
_Type: 1 bedroom apartment_
_Gross ROI=5.94%_
_Median annual rent=139.5K_
```Date   Price  BUA Type P/sf```
```------------2025-----------```
```20Oct  2.35M  906 XX01 2594```
```10Sep   2.4M  906 XX01 2649```
```25Jul 2.207M 1135 XX02 1945```
```30Apr     2M  880 XX07 2273```
```26Feb   2.4M  832 XX10 2885```
```27Jan 1.785M  908 XX01 1966```
```------------2024-----------```
```11Dec   2.3M  825 XX02 2788```
```04Dec  2.15M  921 XX11 2334```
```22Aug   2.1M  921 XX11 2280```
```12Aug  3.13M  889 XX05 3521```
```11Jul  1.99M  822 XX02 2421```
```02Jul  2.05M  832 XX10 2464```
```07May   2.1M  921 XX11 2280```
```29Mar 3.075M  879 XX07 3498```
```08Mar   2.2M  921 XX11 2389```
```27Feb  2.09M  921 XX11 2269```
```06Feb   2.5M  878 XX07 2847```
```05Feb   1.8M  832 XX10 2163```
```------------2023-----------```
```07Dec   2.7M  879 XX07 3072```
```20Nov  1.85M  832 XX10 2224```
```10Nov  2.45M  881 XX05 2781```
```25Sep  2.05M  921 XX11 2226```
```11Sep  1.83M  822 XX02 2226```
```31Aug  2.75M  889 XX05 3093```
```03Aug 1.985M  906 XX01 2191```
```10Jul 1.825M  832 XX10 2194```
```22Jun  2.75M  879 XX07 3129```
```17May 1.825M  921 XX11 1982```
```17Mar   1.8M  921 XX11 1954```
```13Mar  2.48M  880 XX07 2818```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</si>
  <si>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Burj Vista T1</t>
  </si>
  <si>
    <t>1009705, *MARKET</t>
  </si>
  <si>
    <t>*MARKET*
*SNAPSHOT*
*BURJ VISTA T1*
_Area: Downtown_
_Type: 1 bedroom apartment_
*Price dynamics, Dirham/sq.ft.*
_(M - median value)_
```3521|        *   *         ```
```    |                      ```
```    |                      ```
```    |   *                  ```
```    |     *           *    ```
```    | *             *      ```
```    |                    **```
```2405|---------------------M```
```    |       *  **          ```
```    |* * * *  *   **   *   ```
```1945|                *  *  ```
```____|______________________```
```    |Sep2023        Oct2025```
_Source: see table below_
*Latest sales transactions*
```Date   Price  BUA Type P/sf```
```------------2025-----------```
```20Oct  2.35M  906 XX01 2594```
```10Sep   2.4M  906 XX01 2649```
```25Jul 2.207M 1135 XX02 1945```
```30Apr     2M  880 XX07 2273```
```26Feb   2.4M  832 XX10 2885```
```27Jan 1.785M  908 XX01 1966```
```------------2024-----------```
```11Dec   2.3M  825 XX02 2788```
```04Dec  2.15M  921 XX11 2334```
```22Aug   2.1M  921 XX11 2280```
```12Aug  3.13M  889 XX05 3521```
```11Jul  1.99M  822 XX02 2421```
```02Jul  2.05M  832 XX10 2464```
```07May   2.1M  921 XX11 2280```
```29Mar 3.075M  879 XX07 3498```
```08Mar   2.2M  921 XX11 2389```
```27Feb  2.09M  921 XX11 2269```
```06Feb   2.5M  878 XX07 2847```
```05Feb   1.8M  832 XX10 2163```
```------------2023-----------```
```07Dec   2.7M  879 XX07 3072```
```20Nov  1.85M  832 XX10 2224```
```10Nov  2.45M  881 XX05 2781```
```25Sep  2.05M  921 XX11 2226```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</si>
  <si>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1009706, *NEW RE</t>
  </si>
  <si>
    <t>*NEW RENT*
*CONTRACTS**
_(renewals are not included)_
*BURJ VISTA T1+T2*
_Area: Downtown_
_Type: 1 bedroom apartment_
```Date  Price   BUA  Type D/s```
```------------2025-----------```
```21Dec  139K   904  XXXX 154```
```21Dec  120K   829  XXXX 145```
```06Dec  135K   829  XXXX 163```
```01Dec  169K   893  XXXX 189```
```20Nov  135K   904  XXXX 149```
```02Nov  150K   883  XXXX 170```
```20Oct  130K   926  XXXX 140```
```19Oct  120K   926  XXXX 130```
```02Oct  145K   829  XXXX 175```
```01Oct  180K   883  XXXX 204```
```01Oct  150K  1130  XXXX 132```
```20Sep  110K   958  XXXX 115```
```16Sep  131K   958  XXXX 136```
```14Sep  190K   872  XXXX 218```
```01Sep  125K   818  XXXX 153```
```25Aug  140K   829  XXXX 169```
```21Aug  135K  1130  XXXX 119```
```15Aug  170K   883  XXXX 193```
```15Jul  175K   883  XXXX 198```
```15Jul  193K   883  XXXX 218```
_Source: DLD, Databot_
_BUA - built-up area, sq.ft._
_P/sf - price per sq.ft._
_B - bedrooms; O - office_
_M - million, K- thousand_
_S - studio, R - shop_
_*20 latest contracts_
www.trydatabot.com</t>
  </si>
  <si>
    <t>1009708, *SALES*</t>
  </si>
  <si>
    <r>
      <rPr/>
      <t xml:space="preserve">*SALES*
*TRANSACTIONS**
*BURJ VISTA T1*
_Area: Downtown_
_Type: 2 bedroom apartment_
_Gross ROI=5.51%_
_Median annual rent=197.5K_
```Date   Price  BUA Type P/sf```
```------------2026-----------```
```08Jan  2.98M 1335 XX09 2232```
```------------2025-----------```
```04Dec   5.2M 1658 XX06 3136```
```05Nov   3.4M 1467 XX02 2318```
```04Nov  5.85M 1660 XX06 3524```
```31Oct     5M 1450 XX06 3448```
```22Oct  3.75M 1393 XXXX 2692```
```03Sep  3.65M 1417 XX08 2576```
```25Jun  3.68M 1415 XX08 2601```
```09Jun   3.2M 1331 XX03 2404```
```29May   2.8M 1392 XX01 2011```
```01May 3.525M 1391 XX01 2534```
```19Mar  2.95M 1332 XX03 2215```
```26Feb   3.3M 1467 XX02 2249```
```29Jan 3.485M 1392 XX01 2504```
```09Jan  3.05M 1332 XX03 2290```
```------------2024-----------```
```12Dec   3.4M 1337 XX09 2543```
```04Dec 3.366M 1467 XX02 2294```
```18Nov  5.35M 1452 XX06 3685```
```25Oct  5.21M 1486 XX06 3506```
```02Oct   6.3M 1650 XX06 3818```
```28Aug  3.65M 1392 XX01 2622```
```02Aug   3.1M 1337 XX09 2319```
```03Jun  3.25M 1468 XX02 2214```
```22Apr 4.875M 1484 XX06 3285```
```19Mar 1.233M 1467 XX02  840```
```11Mar   3.1M 1415 XX08 2191```
```04Mar   3.4M 1391 XX01 2444```
```------------2023-----------```
```20Dec  5.05M 1484 XX06 3403```
```12Dec  3.47M 1467 XX02 2365```
```05Dec  2.75M 1450 XX06 1897```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</si>
  <si>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1009709, *MARKET</t>
  </si>
  <si>
    <t>*MARKET*
*SNAPSHOT*
*BURJ VISTA T1*
_Area: Downtown_
_Type: 2 bedroom apartment_
*Price dynamics, Dirham/sq.ft.*
_(M - median value)_
```3818|  *                   ```
```    |    *                 ```
```    |   *             **   ```
```    |                      ```
```    |                    * ```
```    |                      ```
```    |                *     ```
```2539|---------------------M```
```    | *    * *  *  **      ```
```    |*    * * **  *     * *```
```2011|            *         ```
```____|______________________```
```    |Aug2024        Jan2026```
_Source: see table below_
*Latest sales transactions*
```Date   Price  BUA Type P/sf```
```------------2026-----------```
```08Jan  2.98M 1335 XX09 2232```
```------------2025-----------```
```04Dec   5.2M 1658 XX06 3136```
```05Nov   3.4M 1467 XX02 2318```
```04Nov  5.85M 1660 XX06 3524```
```31Oct     5M 1450 XX06 3448```
```22Oct  3.75M 1393 XXXX 2692```
```03Sep  3.65M 1417 XX08 2576```
```25Jun  3.68M 1415 XX08 2601```
```09Jun   3.2M 1331 XX03 2404```
```29May   2.8M 1392 XX01 2011```
```01May 3.525M 1391 XX01 2534```
```19Mar  2.95M 1332 XX03 2215```
```26Feb   3.3M 1467 XX02 2249```
```29Jan 3.485M 1392 XX01 2504```
```09Jan  3.05M 1332 XX03 2290```
```------------2024-----------```
```12Dec   3.4M 1337 XX09 2543```
```04Dec 3.366M 1467 XX02 2294```
```18Nov  5.35M 1452 XX06 3685```
```25Oct  5.21M 1486 XX06 3506```
```02Oct   6.3M 1650 XX06 3818```
```28Aug  3.65M 1392 XX01 2622```
```02Aug   3.1M 1337 XX09 2319```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</si>
  <si>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1009710, *NEW RE</t>
  </si>
  <si>
    <t>*NEW RENT*
*CONTRACTS**
_(renewals are not included)_
*BURJ VISTA T1+T2*
_Area: Downtown_
_Type: 2 bedroom apartment_
```Date  Price   BUA  Type D/s```
```------------2026-----------```
```15Jan  150K  1453  XXXX 103```
```14Jan  270K  1453  XXXX 186```
```09Jan  165K  1335  XXXX 123```
```01Jan  180K  1647  XXXX 109```
```------------2025-----------```
```12Dec  250K  1389  XXXX 180```
```08Dec  285K  1658  XXXX 172```
```06Dec  180K  1292  XXXX 139```
```01Dec  220K  1389  XXXX 158```
```17Nov  190K  1464  XXXX 130```
```15Nov  225K  1647  XXXX 137```
```15Nov  200K  1421  XXXX 141```
```14Nov  230K  1335  XXXX 172```
```14Nov  220K  1464  XXXX 150```
```13Nov  195K  1335  XXXX 146```
```13Nov  195K  1335  XXXX 146```
```11Nov  190K  1335  XXXX 142```
```07Nov  230K  1335  XXXX 172```
```02Nov  225K  1464  XXXX 154```
```01Nov  175K  1421  XXXX 123```
```31Oct  185K  1464  XXXX 126```
_Source: DLD, Databot_
_BUA - built-up area, sq.ft._
_P/sf - price per sq.ft._
_B - bedrooms; O - office_
_M - million, K- thousand_
_S - studio, R - shop_
_*20 latest contracts_
www.trydatabot.com</t>
  </si>
  <si>
    <t>1009712, *SALES*</t>
  </si>
  <si>
    <t>*SALES*
*TRANSACTIONS**
*BURJ VISTA T1*
_Area: Downtown_
_Type: 3 bedroom apartment_
_Gross ROI=4.63%_
_Median annual rent=342.5K_
```Date   Price  BUA Type P/sf```
```------------2026-----------```
```19Jan   9.4M 2058 XX05 4568```
```------------2025-----------```
```10Dec   7.5M 1816 XX03 4130```
```21Nov  7.25M 1788 XX06 4055```
```28Oct     8M 2058 XXXX 3887```
```20Oct   7.8M 2059 XX04 3788```
```17Oct   7.4M 2058 XX05 3596```
```18Sep  7.55M 2058 XX04 3669```
```18Sep   7.8M 2108 XXXX 3700```
```15Sep  7.35M 2059 XX04 3570```
```28Jul   4.5M 1818 XX07 2475```
```21Jul   4.7M 1818 XX07 2585```
```03Jul   5.7M 1937 XX08 2943```
```03Jul  7.05M 2058 XX05 3426```
```18Jun   7.4M 1821 XX06 4064```
```10Jun   7.7M 2107 XX04 3654```
```09Jun   6.6M 1922 XX08 3434```
```12May   6.7M 1926 XX04 3479```
```25Apr 4.575M 1819 XX07 2515```
```16Apr   6.5M 2107 XX04 3085```
```07Apr   7.6M 2107 XX04 3607```
```18Feb 1.792M  686 XXXX 2612```
```10Feb  7.55M 2058 XX05 3669```
```05Feb   6.4M 2107 XX04 3037```
```03Jan     6M 1816 XX03 3304```
```------------2024-----------```
```19Dec   6.5M 2058 XX05 3158```
```17Dec   6.6M 1922 XX08 3434```
```11Dec   6.3M 1783 XX03 3533```
```18Nov   6.1M 1821 XX06 3350```
```14Nov   4.5M 1819 XX07 2474```
```28Oct     4M 1926 XX04 2077```
_Source: DLD, Databot_
_BUA - built-up area, sq.ft._
_P/sf - price per sq.ft._
_B - bedrooms; O - office_
_M - million, K- thousand_
_S - studio, R - shop_
_*Max 30 latest transactions_
www.trydatabot.com</t>
  </si>
  <si>
    <t>1009713, *MARKET</t>
  </si>
  <si>
    <t>*MARKET*
*SNAPSHOT*
*BURJ VISTA T1*
_Area: Downtown_
_Type: 3 bedroom apartment_
*Price dynamics, Dirham/sq.ft.*
_(M - median value)_
```4568|                     *```
```    |                      ```
```    |        *          ** ```
```    |                  *   ```
```    |*      *      ** *    ```
```3602|---------------------M```
```    |  *  **  *   *  *     ```
```    |                      ```
```    |   *                  ```
```    |          *           ```
```2475| *  *      **         ```
```____|______________________```
```    |Feb2025        Jan2026```
_Source: see table below_
*Latest sales transactions*
```Date   Price  BUA Type P/sf```
```------------2026-----------```
```19Jan   9.4M 2058 XX05 4568```
```------------2025-----------```
```10Dec   7.5M 1816 XX03 4130```
```21Nov  7.25M 1788 XX06 4055```
```28Oct     8M 2058 XXXX 3887```
```20Oct   7.8M 2059 XX04 3788```
```17Oct   7.4M 2058 XX05 3596```
```18Sep  7.55M 2058 XX04 3669```
```18Sep   7.8M 2108 XXXX 3700```
```15Sep  7.35M 2059 XX04 3570```
```28Jul   4.5M 1818 XX07 2475```
```21Jul   4.7M 1818 XX07 2585```
```03Jul   5.7M 1937 XX08 2943```
```03Jul  7.05M 2058 XX05 3426```
```18Jun   7.4M 1821 XX06 4064```
```10Jun   7.7M 2107 XX04 3654```
```09Jun   6.6M 1922 XX08 3434```
```12May   6.7M 1926 XX04 3479```
```25Apr 4.575M 1819 XX07 2515```
```16Apr   6.5M 2107 XX04 3085```
```07Apr   7.6M 2107 XX04 3607```
```18Feb 1.792M  686 XXXX 2612```
```10Feb  7.55M 2058 XX05 3669```
```05Feb   6.4M 2107 XX04 3037```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</si>
  <si>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1009714, *NEW RE</t>
  </si>
  <si>
    <t>*NEW RENT*
*CONTRACTS**
_(renewals are not included)_
*BURJ VISTA T1+T2*
_Area: Downtown_
_Type: 3 bedroom apartment_
```Date  Price   BUA  Type D/s```
```------------2025-----------```
```26Dec  400K  2110  XXXX 190```
```20Dec  500K  2110  XXXX 237```
```15Dec  350K  2110  XXXX 166```
```10Dec  384K  1819  XXXX 211```
```07Dec  340K  1938  XXXX 175```
```01Dec  350K  2110  XXXX 166```
```24Nov  280K  1819  XXXX 154```
```23Nov  347K  1787  XXXX 194```
```23Nov  380K  1819  XXXX 209```
```19Nov  380K  1959  XXXX 194```
```17Nov  330K  1916  XXXX 172```
```08Nov  340K  1776  XXXX 191```
```15Oct  300K  2110  XXXX 142```
```15Oct  340K  2110  XXXX 161```
```12Oct  345K  2056  XXXX 168```
```11Oct  340K  1819  XXXX 187```
```10Oct  580K  1819  XXXX 319```
```06Oct  260K  1819  XXXX 143```
```01Oct  340K  2110  XXXX 161```
```30Sep  283K  1776  XXXX 159```
_Source: DLD, Databot_
_BUA - built-up area, sq.ft._
_P/sf - price per sq.ft._
_B - bedrooms; O - office_
_M - million, K- thousand_
_S - studio, R - shop_
_*20 latest contracts_
www.trydatabot.com</t>
  </si>
  <si>
    <t>1009718, *NEW RE</t>
  </si>
  <si>
    <t>*NEW RENT*
*CONTRACTS**
_(renewals are not included)_
*BURJ VISTA T1+T2*
_Area: Downtown_
_Type: _
```Date  Price   BUA  Type D/s```
```------------2025-----------```
```01Sep  2.5M  5597  XXXX 447```
```------------2019-----------```
```10Apr  200K  3617  XXXX  55```
_Source: DLD, Databot_
_BUA - built-up area, sq.ft._
_P/sf - price per sq.ft._
_B - bedrooms; O - office_
_M - million, K- thousand_
_S - studio, R - shop_
_*20 latest contracts_
www.trydatabot.com</t>
  </si>
  <si>
    <t>1009720, *SALES*</t>
  </si>
  <si>
    <t>*SALES*
*TRANSACTIONS**
*BURJ VISTA T1*
_Area: Downtown_
_Type: 5 bedroom apartment_
```Date   Price  BUA Type P/sf```
```------------2025-----------```
```10Jul  23.5M 8528 XX01 2756```
```------------2019-----------```
```25Jun  21.3M 8528 XX01 2498```
_Source: DLD, Databot_
_BUA - built-up area, sq.ft._
_P/sf - price per sq.ft._
_B - bedrooms; O - office_
_M - million, K- thousand_
_S - studio, R - shop_
_*Max 30 latest transactions_
www.trydatabot.com</t>
  </si>
  <si>
    <t>1009721, *MARKET</t>
  </si>
  <si>
    <t>*MARKET*
*SNAPSHOT*
*BURJ VISTA T1*
_Area: Downtown_
_Type: 5 bedroom apartment_
*Price dynamics, Dirham/sq.ft.*
_(M - median value)_
```2756|                     *```
```    |                      ```
```    |                      ```
```    |                      ```
```    |                      ```
```2627|---------------------M```
```    |                      ```
```    |                      ```
```    |                      ```
```    |                      ```
```2498|                    * ```
```____|______________________```
```    |Jun2019        Jul2025```
_Source: see table below_
*Latest sales transactions*
```Date   Price  BUA Type P/sf```
```------------2025-----------```
```10Jul  23.5M 8528 XX01 2756```
```------------2019-----------```
```25Jun  21.3M 8528 XX01 2498```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</si>
  <si>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1009730, *NEW RE</t>
  </si>
  <si>
    <t>*NEW RENT*
*CONTRACTS**
_(renewals are not included)_
*BURJ VISTA T1+T2*
_Area: Downtown_
_Type: _
```Date  Price   BUA  Type D/s```
```------------2023-----------```
```14Feb 83.5K  1647  XXXX  51```
```14Feb 83.5K  1647  XXXX  51```
_Source: DLD, Databot_
_BUA - built-up area, sq.ft._
_P/sf - price per sq.ft._
_B - bedrooms; O - office_
_M - million, K- thousand_
_S - studio, R - shop_
_*20 latest contracts_
www.trydatabot.com</t>
  </si>
  <si>
    <t>1009734, *NEW RE</t>
  </si>
  <si>
    <t>*NEW RENT*
*CONTRACTS**
_(renewals are not included)_
*BURJ VISTA T1+T2*
_Area: Downtown_
_Type: _
```Date  Price   BUA  Type D/s```
```------------2025-----------```
```09Jul   71K   936  XXXX  76```
```02Jun  301K  7126  XXXX  42```
```------------2024-----------```
```22Apr  428K  1733  XXXX 247```
```------------2023-----------```
```13Oct  326K  3175  XXXX 103```
```19Sep  116K  1173  XXXX  99```
```02Jul 64.5K   215  XXXX 300```
```25Mar  182K  1109  XXXX 165```
```14Mar 65.1K   904  XXXX  72```
```13Feb  120K  2454  XXXX  49```
```07Feb  292K  7126  XXXX  41```
```------------2022-----------```
```14Dec   62K   904  XXXX  69```
```16Nov  875K  6910  XXXX 127```
```15Sep  408K  2174  XXXX 188```
```14Mar  121K  5425  XXXX  22```
```14Mar  121K  5425  XXXX  22```
```15Jan  233K  4090  XXXX  57```
```------------2021-----------```
```13Jun  357K  6824  XXXX  52```
```------------2020-----------```
```15Sep  115K  1044  XXXX 110```
```13Mar  115K  1044  XXXX 110```
```------------2019-----------```
```13Oct  915K  6760  XXXX 135```
_Source: DLD, Databot_
_BUA - built-up area, sq.ft._
_P/sf - price per sq.ft._
_B - bedrooms; O - office_
_M - million, K- thousand_
_S - studio, R - shop_
_*20 latest contracts_
www.trydatabot.com</t>
  </si>
  <si>
    <t>1009742, *NEW RE</t>
  </si>
  <si>
    <t>*NEW RENT*
*CONTRACTS**
_(renewals are not included)_
*BURJ VISTA T1+T2*
_Area: Downtown_
_Type: _
```Date  Price   BUA  Type D/s```
```------------2024-----------```
```30Nov  550K  6770  XXXX  81```
```------------2019-----------```
```28Aug  340K  6770  XXXX  50```
_Source: DLD, Databot_
_BUA - built-up area, sq.ft._
_P/sf - price per sq.ft._
_B - bedrooms; O - office_
_M - million, K- thousand_
_S - studio, R - shop_
_*20 latest contracts_
www.trydatabot.com</t>
  </si>
  <si>
    <t>1009748, *NEW RE</t>
  </si>
  <si>
    <t>*NEW RENT*
*CONTRACTS**
_(renewals are not included)_
*BURJ VISTA T1+T2*
_Area: Downtown_
_All types/bedrooms_
```Date    Price   BUA Type  B```
```------------2026-----------```
```15Jan    150K  1453 XXXX  2```
```14Jan    270K  1453 XXXX  2```
```09Jan  164.7K  1335 XXXX  2```
```01Jan    180K  1647 XXXX  2```
```------------2025-----------```
```26Dec    400K  2110 XXXX  3```
```21Dec    139K   904 XXXX  1```
```21Dec    120K   829 XXXX  1```
```20Dec    500K  2110 XXXX  3```
```15Dec    350K  2110 XXXX  3```
```12Dec    250K  1389 XXXX  2```
```10Dec    384K  1819 XXXX  3```
```08Dec    285K  1658 XXXX  2```
```07Dec    340K  1938 XXXX  3```
```06Dec    180K  1292 XXXX  2```
```06Dec    135K   829 XXXX  1```
```01Dec    350K  2110 XXXX  3```
```01Dec    169K   893 XXXX  1```
```01Dec    220K  1389 XXXX  2```
```24Nov    280K  1819 XXXX  3```
```23Nov  347.5K  1787 XXXX  3```
_Source: DLD, Databot_
_BUA - built-up area, sq.ft._
_P/sf - price per sq.ft._
_B - bedrooms; O - office_
_M - million, K- thousand_
_S - studio, R - shop_
_*20 latest contracts_
www.trydatabot.com</t>
  </si>
  <si>
    <t>1009749, *SALES*</t>
  </si>
  <si>
    <t>*SALES*
*TRANSACTIONS**
*BURJ VISTA T1*
_Area: Downtown_
_All types/bedrooms_
```Date    Price   BUA  Type B```
```------------2026-----------```
```19Jan    9.4M  2058  XX05 3```
```08Jan   2.98M  1335  XX09 2```
```------------2025-----------```
```10Dec    7.5M  1816  XX03 3```
```04Dec    5.2M  1658  XX06 2```
```21Nov   7.25M  1788  XX06 3```
```05Nov    3.4M  1467  XX02 2```
```04Nov   5.85M  1660  XX06 2```
```31Oct      5M  1450  XX06 2```
```28Oct      8M  2058  XXXX 3```
```22Oct   3.75M  1393  XXXX 2```
```20Oct   2.35M   906  XX01 1```
```20Oct    7.8M  2059  XX04 3```
```17Oct    7.4M  2058  XX05 3```
```18Sep   7.55M  2058  XX04 3```
```18Sep    7.8M  2108  XXXX 3```
```15Sep   7.35M  2059  XX04 3```
```10Sep    2.4M   906  XX01 1```
```03Sep   3.65M  1417  XX08 2```
```28Jul    4.5M  1818  XX07 3```
```25Jul  2.207M  1135  XX02 1```
```21Jul    4.7M  1818  XX07 3```
```10Jul   23.5M  8528  XX01 5```
```03Jul    5.7M  1937  XX08 3```
```03Jul   7.05M  2058  XX05 3```
```25Jun   3.68M  1415  XX08 2```
```18Jun    7.4M  1821  XX06 3```
```10Jun    7.7M  2107  XX04 3```
```09Jun    3.2M  1331  XX03 2```
```09Jun    6.6M  1922  XX08 3```
```29May    2.8M  1392  XX01 2```
_Source: DLD, Databot_
_BUA - built-up area, sq.ft._
_P/sf - price per sq.ft._
_B - bedrooms; O - office_
_M - million, K- thousand_
_S - studio, R - shop_
_*Max 30 latest transactions_
www.trydatabot.com</t>
  </si>
  <si>
    <t>1009750, by code, Burj Vista 1, Burj Vista Tower 1, *BUILDI</t>
  </si>
  <si>
    <t xml:space="preserve">*BUILDING*
*PROFILE*
*BURJ VISTA T1*
_Area: Downtown_
_Tap&amp;hold to copy a reply_
```-------------------------```
```Report              Reply```
```-------------------------```
*1 B/R*
```Sales, ROI        1009704```
```Price chart       1009705```
```Rentals           1009706```
*2 B/R*
```Sales, ROI        1009708```
```Price chart       1009709```
```Rentals           1009710```
*3 B/R*
```Sales, ROI        1009712```
```Price chart       1009713```
```Rentals           1009714```
*5 B/R*
```Sales, ROI        1009720```
```Price chart       1009721```
```Rentals               n/a```
*All types/bedrooms*
```Sales, ROI        1009749```
```Rentals           1009748```
</t>
  </si>
  <si>
    <t>1009768, *SALES*</t>
  </si>
  <si>
    <t>*SALES*
*TRANSACTIONS**
*BURJ VISTA T2*
_Area: Downtown_
_Type: 1 bedroom apartment_
_Gross ROI=6.12%_
_Median annual rent=139.5K_
```Date   Price  BUA Type P/sf```
```------------2025-----------```
```28Oct  2.45M  997 XX08 2457```
```06Oct   2.2M  996 XX08 2209```
```06Aug   2.2M  962 XX07 2287```
```13Mar   2.3M  997 XX08 2307```
```12Mar  2.05M  962 XX07 2131```
```04Feb  3.05M  872 XX02 3498```
```------------2024-----------```
```17Oct  2.15M  962 XX07 2235```
```29Aug  2.25M  962 XX07 2339```
```03Jul   1.9M  962 XX07 1975```
```23May   2.1M  962 XX07 2183```
```19Feb 2.815M  872 XX02 3228```
```02Feb 1.985M  962 XX07 2063```
```------------2023-----------```
```21Nov  1.85M  997 XX08 1856```
```13Jun  1.73M  996 XX08 1737```
```26Apr 2.175M  872 XX02 2494```
```11Apr   2.1M  872 XX02 2408```
```31Jan   1.8M  962 XX07 1871```
```06Jan  2.11M  872 XX02 2420```
```------------2022-----------```
```18Aug   1.7M  996 XX08 1707```
```03Aug 2.589M  996 XX08 2599```
```20Jul  1.84M  997 XX08 1846```
```10Feb 1.875M  873 XX02 2148```
```------------2021-----------```
```01Jun  1.42M  997 XX08 1424```
```03Mar  1.34M  872 XX02 1537```
```22Feb  1.45M  872 XX02 1663```
```------------2020-----------```
```28Sep   1.4M  872 XX02 1606```
```11Feb  1.24M  872 XX02 1422```
```------------2019-----------```
```31Jul  1.65M  873 XX02 1890```
```08Jul  1.25M  962 XX07 1299```
```28Apr   1.5M  997 XX08 1505```
_Source: DLD, Databot_
_BUA - built-up area, sq.ft._
_P/sf - price per sq.ft._
_B - bedrooms; O - office_
_M - million, K- thousand_
_S - studio, R - shop_
_*Max 30 latest transactions_
www.trydatabot.com</t>
  </si>
  <si>
    <t>Burj Vista T2</t>
  </si>
  <si>
    <t>1009769, *MARKET</t>
  </si>
  <si>
    <t>*MARKET*
*SNAPSHOT*
*BURJ VISTA T2*
_Area: Downtown_
_Type: 1 bedroom apartment_
*Price dynamics, Dirham/sq.ft.*
_(M - median value)_
```3498|                *     ```
```    |                      ```
```    |           *          ```
```    |                      ```
```    |                      ```
```    |  *                   ```
```    |    * **      *      *```
```2222|---------------------M```
```    |            *  *  *** ```
```    |*         *  *   *    ```
```1707| * * *  **            ```
```____|______________________```
```    |Feb2022        Oct2025```
_Source: see table below_
*Latest sales transactions*
```Date   Price  BUA Type P/sf```
```------------2025-----------```
```28Oct  2.45M  997 XX08 2457```
```06Oct   2.2M  996 XX08 2209```
```06Aug   2.2M  962 XX07 2287```
```13Mar   2.3M  997 XX08 2307```
```12Mar  2.05M  962 XX07 2131```
```04Feb  3.05M  872 XX02 3498```
```------------2024-----------```
```17Oct  2.15M  962 XX07 2235```
```29Aug  2.25M  962 XX07 2339```
```03Jul   1.9M  962 XX07 1975```
```23May   2.1M  962 XX07 2183```
```19Feb 2.815M  872 XX02 3228```
```02Feb 1.985M  962 XX07 2063```
```------------2023-----------```
```21Nov  1.85M  997 XX08 1856```
```13Jun  1.73M  996 XX08 1737```
```26Apr 2.175M  872 XX02 2494```
```11Apr   2.1M  872 XX02 2408```
```31Jan   1.8M  962 XX07 1871```
```06Jan  2.11M  872 XX02 2420```
```------------2022-----------```
```18Aug   1.7M  996 XX08 1707```
```03Aug 2.589M  996 XX08 2599```
```20Jul  1.84M  997 XX08 1846```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</si>
  <si>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1009770, *NEW RE</t>
  </si>
  <si>
    <t>1009772, *SALES*</t>
  </si>
  <si>
    <t>*SALES*
*TRANSACTIONS**
*BURJ VISTA T2*
_Area: Downtown_
_Type: 2 bedroom apartment_
_Gross ROI=5.28%_
_Median annual rent=197.5K_
```Date   Price  BUA Type P/sf```
```------------2025-----------```
```10Dec     4M 1452 XX01 2755```
```08Sep   3.9M 1394 XX01 2798```
```04Jun   4.1M 1389 XX04 2952```
```01May   2.9M 1293 XX06 2243```
```29Apr 3.825M 1293 XX06 2958```
```10Apr   3.6M 1293 XX06 2784```
```------------2024-----------```
```20Jun   4.5M 1450 XX03 3103```
```06Mar  3.35M 1452 XX01 2307```
```------------2023-----------```
```17Nov 3.475M 1293 XX06 2688```
```22Mar  3.35M 1435 XX04 2334```
```20Jan  2.65M 1293 XX06 2049```
```------------2022-----------```
```12May   2.5M 1293 XX06 1933```
```03Mar  2.85M 1450 XX03 1966```
```03Feb  2.85M 1450 XX03 1966```
```------------2021-----------```
```27Dec   2.5M 1452 XX01 1722```
```04Oct  2.53M 1450 XX03 1745```
```01Jun   2.8M 1450 XX03 1931```
```17Feb  1.82M 1293 XX06 1408```
```21Jan   1.7M 1293 XX06 1315```
```------------2019-----------```
```19Dec   1.5M 1293 XX06 1160```
```28Oct  2.28M 1452 XX01 1570```
```23Apr 3.504M 1404 XX03 2496```
```31Mar   2.1M 1293 XX06 1624```
```28Jan  2.57M 1293 XX06 1988```
```09Jan  2.97M 1435 XX04 2070```
```------------2018-----------```
```22Oct   2.6M 1394 XX01 1865```
```01Oct 2.865M 1404 XX03 2041```
```19Feb   2.7M 1452 XX01 1860```
```14Feb 2.023M 1293 XX06 1564```
_Source: DLD, Databot_
_BUA - built-up area, sq.ft._
_P/sf - price per sq.ft._
_B - bedrooms; O - office_
_M - million, K- thousand_
_S - studio, R - shop_
_*Max 30 latest transactions_
www.trydatabot.com</t>
  </si>
  <si>
    <t>1009773, *MARKET</t>
  </si>
  <si>
    <t>*MARKET*
*SNAPSHOT*
*BURJ VISTA T2*
_Area: Downtown_
_Type: 2 bedroom apartment_
*Price dynamics, Dirham/sq.ft.*
_(M - median value)_
```3103|               *      ```
```    |                 * *  ```
```    |             *  *   **```
```    |*                     ```
```    |            * *   *   ```
```2146|---------------------M```
```    |           *          ```
```    |     *  ***           ```
```    |      **              ```
```    | *  *                 ```
```1160|  **                  ```
```____|______________________```
```    |Apr2019        Dec2025```
_Source: see table below_
*Latest sales transactions*
```Date   Price  BUA Type P/sf```
```------------2025-----------```
```10Dec     4M 1452 XX01 2755```
```08Sep   3.9M 1394 XX01 2798```
```04Jun   4.1M 1389 XX04 2952```
```01May   2.9M 1293 XX06 2243```
```29Apr 3.825M 1293 XX06 2958```
```10Apr   3.6M 1293 XX06 2784```
```------------2024-----------```
```20Jun   4.5M 1450 XX03 3103```
```06Mar  3.35M 1452 XX01 2307```
```------------2023-----------```
```17Nov 3.475M 1293 XX06 2688```
```22Mar  3.35M 1435 XX04 2334```
```20Jan  2.65M 1293 XX06 2049```
```------------2022-----------```
```12May   2.5M 1293 XX06 1933```
```03Mar  2.85M 1450 XX03 1966```
```03Feb  2.85M 1450 XX03 1966```
```------------2021-----------```
```27Dec   2.5M 1452 XX01 1722```
```04Oct  2.53M 1450 XX03 1745```
```01Jun   2.8M 1450 XX03 1931```
```17Feb  1.82M 1293 XX06 1408```
```21Jan   1.7M 1293 XX06 1315```
```------------2019-----------```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</si>
  <si>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1009774, *NEW RE</t>
  </si>
  <si>
    <t>1009776, *SALES*</t>
  </si>
  <si>
    <t>*SALES*
*TRANSACTIONS**
*BURJ VISTA T2*
_Area: Downtown_
_Type: 3 bedroom apartment_
```Date   Price  BUA Type P/sf```
```------------2024-----------```
```30Jul   5.4M 1933 XX05 2794```
```02Apr   5.6M 1956 XX05 2863```
```------------2023-----------```
```23Nov   5.6M 1956 XX05 2863```
```02Nov   6.3M 1933 XX05 3259```
```05Sep   5.2M 1956 XX05 2658```
```20Mar 4.015M 1933 XX05 2077```
```------------2022-----------```
```28Apr   3.1M 1933 XX05 1604```
```------------2021-----------```
```08Jul   3.6M 1933 XX05 1862```
```27May  2.94M 1956 XX05 1503```
```------------2019-----------```
```10Sep   2.8M 1956 XX05 1431```
```20Mar  2.98M 1956 XX05 1524```
```------------2018-----------```
```21May 3.845M 1933 XX05 1989```
_Source: DLD, Databot_
_BUA - built-up area, sq.ft._
_P/sf - price per sq.ft._
_B - bedrooms; O - office_
_M - million, K- thousand_
_S - studio, R - shop_
_*Max 30 latest transactions_
www.trydatabot.com</t>
  </si>
  <si>
    <t>1009777, *MARKET</t>
  </si>
  <si>
    <t>*MARKET*
*SNAPSHOT*
*BURJ VISTA T2*
_Area: Downtown_
_Type: 3 bedroom apartment_
*Price dynamics, Dirham/sq.ft.*
_(M - median value)_
```3259|                  *   ```
```    |                      ```
```    |                   ** ```
```    |                 *   *```
```    |                      ```
```    |                      ```
```    |                *     ```
```2033|---------------------M```
```    |          *           ```
```    |              *       ```
```1431|           *** *      ```
```____|______________________```
```    |May2018        Jul2024```
_Source: see table below_
*Latest sales transactions*
```Date   Price  BUA Type P/sf```
```------------2024-----------```
```30Jul   5.4M 1933 XX05 2794```
```02Apr   5.6M 1956 XX05 2863```
```------------2023-----------```
```23Nov   5.6M 1956 XX05 2863```
```02Nov   6.3M 1933 XX05 3259```
```05Sep   5.2M 1956 XX05 2658```
```20Mar 4.015M 1933 XX05 2077```
```------------2022-----------```
```28Apr   3.1M 1933 XX05 1604```
```------------2021-----------```
```08Jul   3.6M 1933 XX05 1862```
```27May  2.94M 1956 XX05 1503```
```------------2019-----------```
```10Sep   2.8M 1956 XX05 1431```
```20Mar  2.98M 1956 XX05 1524```
```------------2018-----------```
```21May 3.845M 1933 XX05 1989```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</si>
  <si>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1009778, *NEW RE</t>
  </si>
  <si>
    <t>1009780, *SALES*</t>
  </si>
  <si>
    <t>*SALES*
*TRANSACTIONS**
*BURJ VISTA T2*
_Area: Downtown_
_Type: 4 bedroom apartment_
```Date   Price  BUA Type P/sf```
```------------2021-----------```
```28Sep 11.73M 5593 XX04 2098```
_Source: DLD, Databot_
_BUA - built-up area, sq.ft._
_P/sf - price per sq.ft._
_B - bedrooms; O - office_
_M - million, K- thousand_
_S - studio, R - shop_
_*Max 30 latest transactions_
www.trydatabot.com</t>
  </si>
  <si>
    <t>1009781, *MARKET</t>
  </si>
  <si>
    <t>*MARKET*
*SNAPSHOT*
*BURJ VISTA T2*
_Area: Downtown_
_Type: 4 bedroom apartment_
*Price dynamics, Dirham/sq.ft.*
_(M - median value)_
```2098|                     *```
```2098|----------------------```
```    |                     *```
```2098|---------------------M```
```    |                     *```
```2098|---------------------M```
```    |                     *```
```2098|---------------------M```
```    |                     *```
```2098|---------------------M```
```    |                     *```
```____|______________________```
```    |Sep2021        Sep2021```
_Source: see table below_
*Latest sales transactions*
```Date   Price  BUA Type P/sf```
```------------2021-----------```
```28Sep 11.73M 5593 XX04 2098```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</si>
  <si>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1009782, *NEW RE</t>
  </si>
  <si>
    <t>*NEW RENT*
*CONTRACTS**
_(renewals are not included)_
*BURJ VISTA T1+T2*
_Area: Downtown_
_Type: 4 bedroom apartment_
```Date  Price   BUA  Type D/s```
```------------2025-----------```
```01Sep  2.5M  5597  XXXX 447```
```------------2019-----------```
```10Apr  200K  3617  XXXX  55```
_Source: DLD, Databot_
_BUA - built-up area, sq.ft._
_P/sf - price per sq.ft._
_B - bedrooms; O - office_
_M - million, K- thousand_
_S - studio, R - shop_
_*20 latest contracts_
www.trydatabot.com</t>
  </si>
  <si>
    <t>1009784, *SALES*</t>
  </si>
  <si>
    <t>*SALES*
*TRANSACTIONS**
*BURJ VISTA T2*
_Area: Downtown_
_Type: 5 bedroom apartment_
```Date   Price  BUA Type P/sf```
```------------2019-----------```
```31Jul 14.94M 6922 XX03 2158```
_Source: DLD, Databot_
_BUA - built-up area, sq.ft._
_P/sf - price per sq.ft._
_B - bedrooms; O - office_
_M - million, K- thousand_
_S - studio, R - shop_
_*Max 30 latest transactions_
www.trydatabot.com</t>
  </si>
  <si>
    <t>1009785, *MARKET</t>
  </si>
  <si>
    <t>*MARKET*
*SNAPSHOT*
*BURJ VISTA T2*
_Area: Downtown_
_Type: 5 bedroom apartment_
*Price dynamics, Dirham/sq.ft.*
_(M - median value)_
```2158|                     *```
```2158|----------------------```
```    |                     *```
```2158|---------------------M```
```    |                     *```
```2158|---------------------M```
```    |                     *```
```2158|---------------------M```
```    |                     *```
```2158|---------------------M```
```    |                     *```
```____|______________________```
```    |Jul2019        Jul2019```
_Source: see table below_
*Latest sales transactions*
```Date   Price  BUA Type P/sf```
```------------2019-----------```
```31Jul 14.94M 6922 XX03 2158```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</si>
  <si>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1009794, *NEW RE</t>
  </si>
  <si>
    <t>1009798, *NEW RE</t>
  </si>
  <si>
    <t>1009806, *NEW RE</t>
  </si>
  <si>
    <t>1009812, *NEW RE</t>
  </si>
  <si>
    <t>1009813, *SALES*</t>
  </si>
  <si>
    <t>*SALES*
*TRANSACTIONS**
*BURJ VISTA T2*
_Area: Downtown_
_All types/bedrooms_
```Date    Price   BUA  Type B```
```------------2025-----------```
```10Dec      4M  1452  XX01 2```
```28Oct   2.45M   997  XX08 1```
```06Oct    2.2M   996  XX08 1```
```08Sep    3.9M  1394  XX01 2```
```06Aug    2.2M   962  XX07 1```
```04Jun    4.1M  1389  XX04 2```
```01May    2.9M  1293  XX06 2```
```29Apr  3.825M  1293  XX06 2```
```10Apr    3.6M  1293  XX06 2```
```13Mar    2.3M   997  XX08 1```
```12Mar   2.05M   962  XX07 1```
```04Feb   3.05M   872  XX02 1```
```------------2024-----------```
```17Oct   2.15M   962  XX07 1```
```29Aug   2.25M   962  XX07 1```
```30Jul    5.4M  1933  XX05 3```
```03Jul    1.9M   962  XX07 1```
```20Jun    4.5M  1450  XX03 2```
```23May    2.1M   962  XX07 1```
```02Apr    5.6M  1956  XX05 3```
```06Mar   3.35M  1452  XX01 2```
```19Feb  2.815M   872  XX02 1```
```02Feb  1.985M   962  XX07 1```
```------------2023-----------```
```23Nov    5.6M  1956  XX05 3```
```21Nov   1.85M   997  XX08 1```
```17Nov  3.475M  1293  XX06 2```
```02Nov    6.3M  1933  XX05 3```
```05Sep    5.2M  1956  XX05 3```
```13Jun   1.73M   996  XX08 1```
```26Apr  2.175M   872  XX02 1```
```11Apr    2.1M   872  XX02 1```
_Source: DLD, Databot_
_BUA - built-up area, sq.ft._
_P/sf - price per sq.ft._
_B - bedrooms; O - office_
_M - million, K- thousand_
_S - studio, R - shop_
_*Max 30 latest transactions_
www.trydatabot.com</t>
  </si>
  <si>
    <t>1009814, by code, Burj Vista 2, Burj Vista Tower 2, *BUILDI</t>
  </si>
  <si>
    <t xml:space="preserve">*BUILDING*
*PROFILE*
*BURJ VISTA T2*
_Area: Downtown_
_Tap&amp;hold to copy a reply_
```-------------------------```
```Report              Reply```
```-------------------------```
*1 B/R*
```Sales, ROI        1009768```
```Price chart       1009769```
```Rentals           1009770```
*2 B/R*
```Sales, ROI        1009772```
```Price chart       1009773```
```Rentals           1009774```
*3 B/R*
```Sales, ROI        1009776```
```Price chart       1009777```
```Rentals           1009778```
*4 B/R*
```Sales, ROI        1009780```
```Price chart       1009781```
```Rentals           1009782```
*5 B/R*
```Sales, ROI        1009784```
```Price chart       1009785```
```Rentals               n/a```
*All types/bedrooms*
```Sales, ROI        1009813```
```Rentals           1009812```
</t>
  </si>
  <si>
    <t>1009832, *SALES*</t>
  </si>
  <si>
    <t>*SALES*
*TRANSACTIONS**
*BURJ VISTA T1+T2*
_Area: Downtown_
_Type: 1 bedroom apartment_
_Gross ROI=6.31%_
_Median annual rent=139.5K_
```Date   Price  BUA Type P/sf```
```------------2025-----------```
```28Oct  2.45M  997 XX08 2457```
```20Oct  2.35M  906 XX01 2594```
```06Oct   2.2M  996 XX08 2209```
```10Sep   2.4M  906 XX01 2649```
```06Aug   2.2M  962 XX07 2287```
```25Jul 2.207M 1135 XX02 1945```
```30Apr     2M  880 XX07 2273```
```13Mar   2.3M  997 XX08 2307```
```12Mar  2.05M  962 XX07 2131```
```26Feb   2.4M  832 XX10 2885```
```04Feb  3.05M  872 XX02 3498```
```27Jan 1.785M  908 XX01 1966```
```------------2024-----------```
```11Dec   2.3M  825 XX02 2788```
```04Dec  2.15M  921 XX11 2334```
```17Oct  2.15M  962 XX07 2235```
```29Aug  2.25M  962 XX07 2339```
```22Aug   2.1M  921 XX11 2280```
```12Aug  3.13M  889 XX05 3521```
```11Jul  1.99M  822 XX02 2421```
```03Jul   1.9M  962 XX07 1975```
```02Jul  2.05M  832 XX10 2464```
```23May   2.1M  962 XX07 2183```
```07May   2.1M  921 XX11 2280```
```29Mar 3.075M  879 XX07 3498```
```08Mar   2.2M  921 XX11 2389```
```27Feb  2.09M  921 XX11 2269```
```19Feb 2.815M  872 XX02 3228```
```06Feb   2.5M  878 XX07 2847```
```05Feb   1.8M  832 XX10 2163```
```02Feb 1.985M  962 XX07 2063```
_Source: DLD, Databot_
_BUA - built-up area, sq.ft._
_P/sf - price per sq.ft._
_B - bedrooms; O - office_
_M - million, K- thousand_
_S - studio, R - shop_
_*Max 30 latest transactions_
www.trydatabot.com</t>
  </si>
  <si>
    <t>Burj Vista T1+T2</t>
  </si>
  <si>
    <t>1009833, *MARKET</t>
  </si>
  <si>
    <t>*MARKET*
*SNAPSHOT*
*BURJ VISTA T1+T2*
_Area: Downtown_
_Type: 1 bedroom apartment_
*Price dynamics, Dirham/sq.ft.*
_(M - median value)_
```3521|    *      *          ```
```    |                      ```
```    |                      ```
```    |                      ```
```    |            *         ```
```    |         *            ```
```    |                  * * ```
```    | * *  *              *```
```2321|---------------------M```
```    |*    * **    *** * *  ```
```1945|  *       *     *     ```
```____|______________________```
```    |May2024        Oct2025```
_Source: see table below_
*Latest sales transactions*
```Date   Price  BUA Type P/sf```
```------------2025-----------```
```28Oct  2.45M  997 XX08 2457```
```20Oct  2.35M  906 XX01 2594```
```06Oct   2.2M  996 XX08 2209```
```10Sep   2.4M  906 XX01 2649```
```06Aug   2.2M  962 XX07 2287```
```25Jul 2.207M 1135 XX02 1945```
```30Apr     2M  880 XX07 2273```
```13Mar   2.3M  997 XX08 2307```
```12Mar  2.05M  962 XX07 2131```
```26Feb   2.4M  832 XX10 2885```
```04Feb  3.05M  872 XX02 3498```
```27Jan 1.785M  908 XX01 1966```
```------------2024-----------```
```11Dec   2.3M  825 XX02 2788```
```04Dec  2.15M  921 XX11 2334```
```17Oct  2.15M  962 XX07 2235```
```29Aug  2.25M  962 XX07 2339```
```22Aug   2.1M  921 XX11 2280```
```12Aug  3.13M  889 XX05 3521```
```11Jul  1.99M  822 XX02 2421```
```03Jul   1.9M  962 XX07 1975```
```02Jul  2.05M  832 XX10 2464```
```23May   2.1M  962 XX07 2183```
```07May   2.1M  921 XX11 2280```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</si>
  <si>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1009834, *NEW RE</t>
  </si>
  <si>
    <t>1009836, *SALES*</t>
  </si>
  <si>
    <t>*SALES*
*TRANSACTIONS**
*BURJ VISTA T1+T2*
_Area: Downtown_
_Type: 2 bedroom apartment_
_Gross ROI=5.45%_
_Median annual rent=197.5K_
```Date   Price  BUA Type P/sf```
```------------2026-----------```
```08Jan  2.98M 1335 XX09 2232```
```------------2025-----------```
```10Dec     4M 1452 XX01 2755```
```04Dec   5.2M 1658 XX06 3136```
```05Nov   3.4M 1467 XX02 2318```
```04Nov  5.85M 1660 XX06 3524```
```31Oct     5M 1450 XX06 3448```
```22Oct  3.75M 1393 XXXX 2692```
```08Sep   3.9M 1394 XX01 2798```
```03Sep  3.65M 1417 XX08 2576```
```25Jun  3.68M 1415 XX08 2601```
```09Jun   3.2M 1331 XX03 2404```
```04Jun   4.1M 1389 XX04 2952```
```29May   2.8M 1392 XX01 2011```
```01May 3.525M 1391 XX01 2534```
```01May   2.9M 1293 XX06 2243```
```29Apr 3.825M 1293 XX06 2958```
```10Apr   3.6M 1293 XX06 2784```
```19Mar  2.95M 1332 XX03 2215```
```26Feb   3.3M 1467 XX02 2249```
```29Jan 3.485M 1392 XX01 2504```
```09Jan  3.05M 1332 XX03 2290```
```------------2024-----------```
```12Dec   3.4M 1337 XX09 2543```
```04Dec 3.366M 1467 XX02 2294```
```18Nov  5.35M 1452 XX06 3685```
```25Oct  5.21M 1486 XX06 3506```
```02Oct   6.3M 1650 XX06 3818```
```28Aug  3.65M 1392 XX01 2622```
```02Aug   3.1M 1337 XX09 2319```
```20Jun   4.5M 1450 XX03 3103```
```03Jun  3.25M 1468 XX02 2214```
_Source: DLD, Databot_
_BUA - built-up area, sq.ft._
_P/sf - price per sq.ft._
_B - bedrooms; O - office_
_M - million, K- thousand_
_S - studio, R - shop_
_*Max 30 latest transactions_
www.trydatabot.com</t>
  </si>
  <si>
    <t>1009837, *MARKET</t>
  </si>
  <si>
    <t>*MARKET*
*SNAPSHOT*
*BURJ VISTA T1+T2*
_Area: Downtown_
_Type: 2 bedroom apartment_
*Price dynamics, Dirham/sq.ft.*
_(M - median value)_
```3524|                 *    ```
```    |                *     ```
```    |                      ```
```    |                   *  ```
```    |      *   *           ```
```    |     *        *     * ```
```2560|---------------------M```
```    |*           ** *      ```
```    |  *     *  *          ```
```    | * **  *          *  *```
```2011|         *            ```
```____|______________________```
```    |Dec2024        Jan2026```
_Source: see table below_
*Latest sales transactions*
```Date   Price  BUA Type P/sf```
```------------2026-----------```
```08Jan  2.98M 1335 XX09 2232```
```------------2025-----------```
```10Dec     4M 1452 XX01 2755```
```04Dec   5.2M 1658 XX06 3136```
```05Nov   3.4M 1467 XX02 2318```
```04Nov  5.85M 1660 XX06 3524```
```31Oct     5M 1450 XX06 3448```
```22Oct  3.75M 1393 XXXX 2692```
```08Sep   3.9M 1394 XX01 2798```
```03Sep  3.65M 1417 XX08 2576```
```25Jun  3.68M 1415 XX08 2601```
```09Jun   3.2M 1331 XX03 2404```
```04Jun   4.1M 1389 XX04 2952```
```29May   2.8M 1392 XX01 2011```
```01May 3.525M 1391 XX01 2534```
```01May   2.9M 1293 XX06 2243```
```29Apr 3.825M 1293 XX06 2958```
```10Apr   3.6M 1293 XX06 2784```
```19Mar  2.95M 1332 XX03 2215```
```26Feb   3.3M 1467 XX02 2249```
```29Jan 3.485M 1392 XX01 2504```
```09Jan  3.05M 1332 XX03 2290```
```------------2024-----------```
```12Dec   3.4M 1337 XX09 2543```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</si>
  <si>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1009838, *NEW RE</t>
  </si>
  <si>
    <t>1009840, *SALES*</t>
  </si>
  <si>
    <t>*SALES*
*TRANSACTIONS**
*BURJ VISTA T1+T2*
_Area: Downtown_
_Type: 3 bedroom apartment_
_Gross ROI=4.63%_
_Median annual rent=342.5K_
```Date   Price  BUA Type P/sf```
```------------2026-----------```
```19Jan   9.4M 2058 XX05 4568```
```------------2025-----------```
```10Dec   7.5M 1816 XX03 4130```
```21Nov  7.25M 1788 XX06 4055```
```28Oct     8M 2058 XXXX 3887```
```20Oct   7.8M 2059 XX04 3788```
```17Oct   7.4M 2058 XX05 3596```
```18Sep  7.55M 2058 XX04 3669```
```18Sep   7.8M 2108 XXXX 3700```
```15Sep  7.35M 2059 XX04 3570```
```28Jul   4.5M 1818 XX07 2475```
```21Jul   4.7M 1818 XX07 2585```
```03Jul   5.7M 1937 XX08 2943```
```03Jul  7.05M 2058 XX05 3426```
```18Jun   7.4M 1821 XX06 4064```
```10Jun   7.7M 2107 XX04 3654```
```09Jun   6.6M 1922 XX08 3434```
```12May   6.7M 1926 XX04 3479```
```25Apr 4.575M 1819 XX07 2515```
```16Apr   6.5M 2107 XX04 3085```
```07Apr   7.6M 2107 XX04 3607```
```18Feb 1.792M  686 XXXX 2612```
```10Feb  7.55M 2058 XX05 3669```
```05Feb   6.4M 2107 XX04 3037```
```03Jan     6M 1816 XX03 3304```
```------------2024-----------```
```19Dec   6.5M 2058 XX05 3158```
```17Dec   6.6M 1922 XX08 3434```
```11Dec   6.3M 1783 XX03 3533```
```18Nov   6.1M 1821 XX06 3350```
```14Nov   4.5M 1819 XX07 2474```
```28Oct     4M 1926 XX04 2077```
_Source: DLD, Databot_
_BUA - built-up area, sq.ft._
_P/sf - price per sq.ft._
_B - bedrooms; O - office_
_M - million, K- thousand_
_S - studio, R - shop_
_*Max 30 latest transactions_
www.trydatabot.com</t>
  </si>
  <si>
    <t>1009841, *MARKET</t>
  </si>
  <si>
    <t>*MARKET*
*SNAPSHOT*
*BURJ VISTA T1+T2*
_Area: Downtown_
_Type: 3 bedroom apartment_
*Price dynamics, Dirham/sq.ft.*
_(M - median value)_
```4568|                     *```
```    |                      ```
```    |        *          ** ```
```    |                  *   ```
```    |*      *      ** *    ```
```3602|---------------------M```
```    |  *  **  *   *  *     ```
```    |                      ```
```    |   *                  ```
```    |          *           ```
```2475| *  *      **         ```
```____|______________________```
```    |Feb2025        Jan2026```
_Source: see table below_
*Latest sales transactions*
```Date   Price  BUA Type P/sf```
```------------2026-----------```
```19Jan   9.4M 2058 XX05 4568```
```------------2025-----------```
```10Dec   7.5M 1816 XX03 4130```
```21Nov  7.25M 1788 XX06 4055```
```28Oct     8M 2058 XXXX 3887```
```20Oct   7.8M 2059 XX04 3788```
```17Oct   7.4M 2058 XX05 3596```
```18Sep  7.55M 2058 XX04 3669```
```18Sep   7.8M 2108 XXXX 3700```
```15Sep  7.35M 2059 XX04 3570```
```28Jul   4.5M 1818 XX07 2475```
```21Jul   4.7M 1818 XX07 2585```
```03Jul   5.7M 1937 XX08 2943```
```03Jul  7.05M 2058 XX05 3426```
```18Jun   7.4M 1821 XX06 4064```
```10Jun   7.7M 2107 XX04 3654```
```09Jun   6.6M 1922 XX08 3434```
```12May   6.7M 1926 XX04 3479```
```25Apr 4.575M 1819 XX07 2515```
```16Apr   6.5M 2107 XX04 3085```
```07Apr   7.6M 2107 XX04 3607```
```18Feb 1.792M  686 XXXX 2612```
```10Feb  7.55M 2058 XX05 3669```
```05Feb   6.4M 2107 XX04 3037```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</si>
  <si>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1009842, *NEW RE</t>
  </si>
  <si>
    <t>1009844, *SALES*</t>
  </si>
  <si>
    <t>*SALES*
*TRANSACTIONS**
*BURJ VISTA T1+T2*
_Area: Downtown_
_Type: 4 bedroom apartment_
```Date   Price  BUA Type P/sf```
```------------2021-----------```
```28Sep 11.73M 5593 XX04 2098```
_Source: DLD, Databot_
_BUA - built-up area, sq.ft._
_P/sf - price per sq.ft._
_B - bedrooms; O - office_
_M - million, K- thousand_
_S - studio, R - shop_
_*Max 30 latest transactions_
www.trydatabot.com</t>
  </si>
  <si>
    <t>1009845, *MARKET</t>
  </si>
  <si>
    <t>*MARKET*
*SNAPSHOT*
*BURJ VISTA T1+T2*
_Area: Downtown_
_Type: 4 bedroom apartment_
*Price dynamics, Dirham/sq.ft.*
_(M - median value)_
```2098|                     *```
```2098|----------------------```
```    |                     *```
```2098|---------------------M```
```    |                     *```
```2098|---------------------M```
```    |                     *```
```2098|---------------------M```
```    |                     *```
```2098|---------------------M```
```    |                     *```
```____|______________________```
```    |Sep2021        Sep2021```
_Source: see table below_
*Latest sales transactions*
```Date   Price  BUA Type P/sf```
```------------2021-----------```
```28Sep 11.73M 5593 XX04 2098```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</si>
  <si>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1009846, *NEW RE</t>
  </si>
  <si>
    <t>1009848, *SALES*</t>
  </si>
  <si>
    <t>*SALES*
*TRANSACTIONS**
*BURJ VISTA T1+T2*
_Area: Downtown_
_Type: 5 bedroom apartment_
```Date   Price  BUA Type P/sf```
```------------2025-----------```
```10Jul  23.5M 8528 XX01 2756```
```------------2019-----------```
```31Jul 14.94M 6922 XX03 2158```
```25Jun  21.3M 8528 XX01 2498```
_Source: DLD, Databot_
_BUA - built-up area, sq.ft._
_P/sf - price per sq.ft._
_B - bedrooms; O - office_
_M - million, K- thousand_
_S - studio, R - shop_
_*Max 30 latest transactions_
www.trydatabot.com</t>
  </si>
  <si>
    <t>1009849, *MARKET</t>
  </si>
  <si>
    <t>*MARKET*
*SNAPSHOT*
*BURJ VISTA T1+T2*
_Area: Downtown_
_Type: 5 bedroom apartment_
*Price dynamics, Dirham/sq.ft.*
_(M - median value)_
```2756|                     *```
```    |                      ```
```    |                      ```
```    |                      ```
```2498|---------------------M```
```    |                   *  ```
```    |                      ```
```    |                      ```
```    |                      ```
```    |                      ```
```2158|                    * ```
```____|______________________```
```    |Jun2019        Jul2025```
_Source: see table below_
*Latest sales transactions*
```Date   Price  BUA Type P/sf```
```------------2025-----------```
```10Jul  23.5M 8528 XX01 2756```
```------------2019-----------```
```31Jul 14.94M 6922 XX03 2158```
```25Jun  21.3M 8528 XX01 2498```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</si>
  <si>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1009858, *NEW RE</t>
  </si>
  <si>
    <t>1009862, *NEW RE</t>
  </si>
  <si>
    <t>1009870, *NEW RE</t>
  </si>
  <si>
    <t>1009876, *NEW RE</t>
  </si>
  <si>
    <t>1009877, *SALES*</t>
  </si>
  <si>
    <t>*SALES*
*TRANSACTIONS**
*BURJ VISTA T1+T2*
_Area: Downtown_
_All types/bedrooms_
```Date    Price   BUA  Type B```
```------------2026-----------```
```19Jan    9.4M  2058  XX05 3```
```08Jan   2.98M  1335  XX09 2```
```------------2025-----------```
```10Dec      4M  1452  XX01 2```
```10Dec    7.5M  1816  XX03 3```
```04Dec    5.2M  1658  XX06 2```
```21Nov   7.25M  1788  XX06 3```
```05Nov    3.4M  1467  XX02 2```
```04Nov   5.85M  1660  XX06 2```
```31Oct      5M  1450  XX06 2```
```28Oct      8M  2058  XXXX 3```
```28Oct   2.45M   997  XX08 1```
```22Oct   3.75M  1393  XXXX 2```
```20Oct   2.35M   906  XX01 1```
```20Oct    7.8M  2059  XX04 3```
```17Oct    7.4M  2058  XX05 3```
```06Oct    2.2M   996  XX08 1```
```18Sep   7.55M  2058  XX04 3```
```18Sep    7.8M  2108  XXXX 3```
```15Sep   7.35M  2059  XX04 3```
```10Sep    2.4M   906  XX01 1```
```08Sep    3.9M  1394  XX01 2```
```03Sep   3.65M  1417  XX08 2```
```06Aug    2.2M   962  XX07 1```
```28Jul    4.5M  1818  XX07 3```
```25Jul  2.207M  1135  XX02 1```
```21Jul    4.7M  1818  XX07 3```
```10Jul   23.5M  8528  XX01 5```
```03Jul    5.7M  1937  XX08 3```
```03Jul   7.05M  2058  XX05 3```
```25Jun   3.68M  1415  XX08 2```
_Source: DLD, Databot_
_BUA - built-up area, sq.ft._
_P/sf - price per sq.ft._
_B - bedrooms; O - office_
_M - million, K- thousand_
_S - studio, R - shop_
_*Max 30 latest transactions_
www.trydatabot.com</t>
  </si>
  <si>
    <t>1009878, by code, *BUILDI</t>
  </si>
  <si>
    <t xml:space="preserve">*BUILDING*
*PROFILE*
*BURJ VISTA T1+T2*
_Area: Downtown_
_Tap&amp;hold to copy a reply_
```-------------------------```
```Report              Reply```
```-------------------------```
*1 B/R*
```Sales, ROI        1009832```
```Price chart       1009833```
```Rentals           1009834```
*2 B/R*
```Sales, ROI        1009836```
```Price chart       1009837```
```Rentals           1009838```
*3 B/R*
```Sales, ROI        1009840```
```Price chart       1009841```
```Rentals           1009842```
*4 B/R*
```Sales, ROI        1009844```
```Price chart       1009845```
```Rentals           1009846```
*5 B/R*
```Sales, ROI        1009848```
```Price chart       1009849```
```Rentals               n/a```
*All types/bedrooms*
```Sales, ROI        1009877```
```Rentals           1009876```
</t>
  </si>
  <si>
    <t>1009896, *SALES*</t>
  </si>
  <si>
    <r>
      <rPr/>
      <t xml:space="preserve">*SALES*
*TRANSACTIONS (RESALE)**
*CITY CENTER RESIDENCES*
_Area: Downtown_
_Type: 1 bedroom apartment_
```Date   Price  BUA Type P/sf```
```------------2026-----------```
```20Jan     2M  750 XX09 2667```
```16Jan   2.2M  767 XX03 2868```
```------------2025-----------```
```13Nov  2.05M  782 XX07 2621```
```03Nov 1.904M  789 XX07 2413```
```30Sep 2.375M  752 XX08 3158```
```19Sep     2M  777 XX03 2574```
```19Jun  1.95M  783 XX07 2490```
```11Jun  1.65M  789 XX07 2091```
```04Jun   1.9M  757 XX06 2510```
```04Jun  1.74M  757 XXXX 2299```
```14May  2.15M  757 XXXX 2840```
```05May 2.265M  782 XX07 2896```
```05May 2.235M  752 XX08 2972```
```24Apr  2.28M  786 XXXX 2901```
```24Apr  2.42M  758 XX05 3193```
```30Jan  1.96M  783 XX07 2503```
```------------2024-----------```
```06Nov  1.77M  757 XXXX 2338```
```31Oct  1.77M  786 XXXX 2252```
```28Oct  1.76M  750 XX09 2347```
```08Oct   2.5M  768 XX03 3255```
```03Oct   1.7M  786 XXXX 2163```
```25Sep  1.71M  789 XX07 2167```
```17Sep  2.12M  757 XXXX 2801```
```16Sep 1.883M  787 XX06 2392```
```19Aug 1.819M  757 XXXX 2403```
```29Jul 2.139M  757 XXXX 2825```
```24Jul 1.822M  752 XX08 2422```
```24Jul 2.071M  787 XX06 2632```
```15Jul 1.973M  758 XX05 2603```
```15Jul   1.9M  751 XX08 2530```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</si>
  <si>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City Center Residences</t>
  </si>
  <si>
    <t>1009897, *MARKET</t>
  </si>
  <si>
    <t>*MARKET*
*SNAPSHOT*
*CITY CENTER RESIDENCES*
_Area: Downtown_
_Type: 1 bedroom apartment_
*Price dynamics, Dirham/sq.ft.*
_(M - median value)_
```3255|  *                   ```
```    |       *         *    ```
```    |         *            ```
```    |        * *         * ```
```    |           *          ```
```    |                   * *```
```2542|---------------------M```
```    |      *      *  *     ```
```    |               *  *   ```
```    |   ***      *         ```
```2091|**            *       ```
```____|______________________```
```    |Sep2024        Jan2026```
_Source: see table below_
*Latest sales transactions*
```Date   Price  BUA Type P/sf```
```------------2026-----------```
```20Jan     2M  750 XX09 2667```
```16Jan   2.2M  767 XX03 2868```
```------------2025-----------```
```13Nov  2.05M  782 XX07 2621```
```03Nov 1.904M  789 XX07 2413```
```30Sep 2.375M  752 XX08 3158```
```19Sep     2M  777 XX03 2574```
```19Jun  1.95M  783 XX07 2490```
```11Jun  1.65M  789 XX07 2091```
```04Jun   1.9M  757 XX06 2510```
```04Jun  1.74M  757 XXXX 2299```
```14May  2.15M  757 XXXX 2840```
```05May 2.265M  782 XX07 2896```
```05May 2.235M  752 XX08 2972```
```24Apr  2.28M  786 XXXX 2901```
```24Apr  2.42M  758 XX05 3193```
```30Jan  1.96M  783 XX07 2503```
```------------2024-----------```
```06Nov  1.77M  757 XXXX 2338```
```31Oct  1.77M  786 XXXX 2252```
```28Oct  1.76M  750 XX09 2347```
```08Oct   2.5M  768 XX03 3255```
```03Oct   1.7M  786 XXXX 2163```
```25Sep  1.71M  789 XX07 2167```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</si>
  <si>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1009899, *RESELL</t>
  </si>
  <si>
    <t>*RESELL*
*VS PRIMARY*
*CITY CENTER RESIDENCES*
_Area: Downtown_
_Type: 1 bedroom apartment_
*Price dynamics, Dirham/sq.ft.*
_(x - primary; * - resell)_
```3158|                 *    ```
```    |                      ```
```    |                      ```
```    |           *        * ```
```2730|                      ```
```    |                *  * *```
```    |       x     * *      ```
```    |                  *   ```
```    |x  xxxx x x *         ```
```2091| xx      x    *       ```
```____|______________________```
```    |Aug2022        Jan2026```
_Source: see a table below_
*Latest resell transactions*
```Date   Price  BUA Type P/sf```
```------------2026-----------```
```20Jan     2M  750 XX09 2667```
```16Jan   2.2M  767 XX03 2868```
```------------2025-----------```
```13Nov  2.05M  782 XX07 2621```
```03Nov 1.904M  789 XX07 2413```
```30Sep 2.375M  752 XX08 3158```
```19Sep     2M  777 XX03 2574```
```19Jun  1.95M  783 XX07 2490```
```11Jun  1.65M  789 XX07 2091```
```04Jun   1.9M  757 XX06 2510```
```04Jun  1.74M  757 XXXX 2299```
```14May  2.15M  757 XXXX 2840```
```05May 2.265M  782 XX07 2896```
```05May 2.235M  752 XX08 2972```
```24Apr  2.28M  786 XXXX 2901```
```24Apr  2.42M  758 XX05 3193```
```30Jan  1.96M  783 XX07 2503```
```------------2024-----------```
*Latest primary transactions*
```------------2024-----------```
```19Sep 1.773M  757 XXXX 2342```
```19Sep 1.656M  786 XX08 2107```
```12Sep 1.762M  785 XX06 2245```
```12Sep 1.869M  756 XX05 2473```
```12Sep 1.728M  751 XXXX 2301```
```12Sep 1.747M  782 XX07 2234```
```------------2022-----------```
```16Dec 1.608M  710 XX07 2264```
```07Sep 1.652M  710 XX07 2327```
```17Aug 1.612M  755 XX09 2135```
```17Aug 1.606M  755 XX09 2128```
```11Aug 1.735M  754 XX06 2301```
```05Aug 2.042M  770 XX03 2651```
```29Jul 1.808M  706 XX07 2561```
```21Jul 1.692M  754 XX06 2245```
_Source: DLD, Databot_
_BUA - built-up area, sq.ft._
_P/sf - price per sq.ft._
_B - bedrooms; O - office_
_M - million, K- thousand_
_S - studio, R - shop_
www.trydatabot.com</t>
  </si>
  <si>
    <t>1009900, *SALES*</t>
  </si>
  <si>
    <t>*SALES*
*TRANSACTIONS (RESALE)**
*CITY CENTER RESIDENCES*
_Area: Downtown_
_Type: 2 bedroom apartment_
```Date   Price  BUA Type P/sf```
```------------2025-----------```
```16Dec   3.1M 1052 XX04 2947```
```10Nov  3.32M 1183 XXXX 2806```
```27Oct   3.2M 1184 XX05 2703```
```20Oct 3.993M 1183 XXXX 3376```
```14Oct   2.5M 1172 XXXX 2133```
```14Oct   2.5M 1061 XX02 2356```
```26Sep   2.5M 1052 XX04 2376```
```25Sep 4.226M 1173 XX01 3603```
```19Sep   2.5M 1184 XX05 2111```
```29May   3.2M 1184 XX05 2703```
```19May  2.68M 1145 XX01 2341```
```15May  2.85M 1172 XX01 2432```
```05May  4.33M 1171 XX01 3698```
```24Apr  3.87M 1182 XX04 3274```
```10Apr 3.146M 1184 XX05 2657```
```17Mar  2.45M 1060 XX02 2311```
```10Feb 3.254M 1163 XX04 2798```
```06Feb   2.8M 1172 XXXX 2389```
```31Jan 3.141M 1183 XXXX 2655```
```08Jan   3.4M 1144 XXXX 2972```
```------------2024-----------```
```23Dec  3.21M 1162 XX04 2762```
```06Dec 3.007M 1073 XX04 2802```
```26Nov     3M 1061 XX02 2828```
```22Nov  2.85M 1145 XX01 2489```
```23Oct  2.75M 1145 XX01 2402```
```26Aug   3.6M 1171 XX01 3074```
```13Aug 2.625M 1051 XX04 2498```
```01Jul 3.002M 1052 XX04 2853```
```26Jun  2.85M 1071 XX04 2661```
```11Jun 3.576M 1144 XXXX 3126```
_Source: DLD, Databot_
_BUA - built-up area, sq.ft._
_P/sf - price per sq.ft._
_B - bedrooms; O - office_
_M - million, K- thousand_
_S - studio, R - shop_
_*Max 30 latest transactions_
www.trydatabot.com</t>
  </si>
  <si>
    <t>1009901, *MARKET</t>
  </si>
  <si>
    <t>*MARKET*
*SNAPSHOT*
*CITY CENTER RESIDENCES*
_Area: Downtown_
_Type: 2 bedroom apartment_
*Price dynamics, Dirham/sq.ft.*
_(M - median value)_
```3698|         *            ```
```    |              *       ```
```    |                  *   ```
```    |        *             ```
```    |                      ```
```    |  *                  *```
```2703|---------------------M```
```    |**   *      *      ** ```
```    |   *   *              ```
```    |    * *   **   **     ```
```2111|             *   *    ```
```____|______________________```
```    |Dec2024        Dec2025```
_Source: see table below_
*Latest sales transactions*
```Date   Price  BUA Type P/sf```
```------------2025-----------```
```16Dec   3.1M 1052 XX04 2947```
```10Nov  3.32M 1183 XXXX 2806```
```27Oct   3.2M 1184 XX05 2703```
```20Oct 3.993M 1183 XXXX 3376```
```14Oct   2.5M 1172 XXXX 2133```
```14Oct   2.5M 1061 XX02 2356```
```26Sep   2.5M 1052 XX04 2376```
```25Sep 4.226M 1173 XX01 3603```
```19Sep   2.5M 1184 XX05 2111```
```29May   3.2M 1184 XX05 2703```
```19May  2.68M 1145 XX01 2341```
```15May  2.85M 1172 XX01 2432```
```05May  4.33M 1171 XX01 3698```
```24Apr  3.87M 1182 XX04 3274```
```10Apr 3.146M 1184 XX05 2657```
```17Mar  2.45M 1060 XX02 2311```
```10Feb 3.254M 1163 XX04 2798```
```06Feb   2.8M 1172 XXXX 2389```
```31Jan 3.141M 1183 XXXX 2655```
```08Jan   3.4M 1144 XXXX 2972```
```------------2024-----------```
```23Dec  3.21M 1162 XX04 2762```
```06Dec 3.007M 1073 XX04 2802```
```26Nov     3M 1061 XX02 2828```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</si>
  <si>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1009903, *RESELL</t>
  </si>
  <si>
    <t>*RESELL*
*VS PRIMARY*
*CITY CENTER RESIDENCES*
_Area: Downtown_
_Type: 2 bedroom apartment_
*Price dynamics, Dirham/sq.ft.*
_(x - primary; * - resell)_
```3603|              *       ```
```    |       x          *   ```
```    |                      ```
```    |          x           ```
```2971|     x  x            *```
```    |x  x                * ```
```    |            *      *  ```
```    |  x      x            ```
```    |           *   **     ```
```2028| x  x x      *   *    ```
```____|______________________```
```    |Jun2022        Dec2025```
_Source: see a table below_
*Latest resell transactions*
```Date   Price  BUA Type P/sf```
```------------2025-----------```
```16Dec   3.1M 1052 XX04 2947```
```10Nov  3.32M 1183 XXXX 2806```
```27Oct   3.2M 1184 XX05 2703```
```20Oct 3.993M 1183 XXXX 3376```
```14Oct   2.5M 1172 XXXX 2133```
```14Oct   2.5M 1061 XX02 2356```
```26Sep   2.5M 1052 XX04 2376```
```25Sep 4.226M 1173 XX01 3603```
```19Sep   2.5M 1184 XX05 2111```
```29May   3.2M 1184 XX05 2703```
```19May  2.68M 1145 XX01 2341```
```15May  2.85M 1172 XX01 2432```
```05May  4.33M 1171 XX01 3698```
```24Apr  3.87M 1182 XX04 3274```
```10Apr 3.146M 1184 XX05 2657```
```17Mar  2.45M 1060 XX02 2311```
```10Feb 3.254M 1163 XX04 2798```
```06Feb   2.8M 1172 XXXX 2389```
*Latest primary transactions*
```------------2024-----------```
```29Oct 3.585M 1162 XX04 3085```
```12Sep 2.982M 1162 XX04 2566```
```12Sep 3.317M 1144 XXXX 2900```
```------------2022-----------```
```12Dec  3.93M 1148 XX01 3423```
```05Sep 2.319M 1144 XX05 2028```
```27Jul  3.44M 1148 XX01 2997```
```21Jul 2.226M 1079 XX04 2063```
```06Jul 3.284M 1148 XX01 2860```
```06Jul 2.949M 1147 XX04 2571```
```01Jul 2.367M 1146 XX01 2065```
```28Jun 3.191M 1146 XX01 2785```
```28Jun 3.105M 1147 XX04 2707```
```27Jun 3.564M 1148 XX01 3105```
```25Jun 2.425M 1144 XX05 2120```
_Source: DLD, Databot_
_BUA - built-up area, sq.ft._
_P/sf - price per sq.ft._
_B - bedrooms; O - office_
_M - million, K- thousand_
_S - studio, R - shop_
www.trydatabot.com</t>
  </si>
  <si>
    <t>1009904, *SALES*</t>
  </si>
  <si>
    <t>*SALES*
*TRANSACTIONS (RESALE)**
*CITY CENTER RESIDENCES*
_Area: Downtown_
_Type: 3 bedroom apartment_
```Date   Price  BUA Type P/sf```
```------------2025-----------```
```13Nov  4.85M 1470 XX02 3299```
```02Oct 11.54M 2884 XX02 4000```
```11Sep 5.301M 1456 XX02 3641```
```11Sep 5.301M 1451 XX03 3653```
```03Jun  4.95M 1455 XX02 3402```
```14May   4.5M 1463 XX03 3076```
```05May 5.365M 1455 XX02 3687```
```24Apr  5.35M 1448 XXXX 3695```
```17Apr   4.3M 1448 XXXX 2970```
```------------2024-----------```
```26Nov  4.35M 1463 XX03 2973```
```05Nov  4.95M 1464 XX02 3381```
```26Aug 12.44M 4137 XX01 3006```
```22Jul 12.56M 4174 XX02 3008```
```02Jul  4.18M 1470 XX02 2844```
```25Apr  4.55M 1448 XXXX 3142```
```18Mar   4.9M 1455 XXXX 3368```
```11Mar   4.4M 1470 XXXX 2993```
```23Feb 4.705M 1455 XXXX 3234```
```29Jan  7.88M 2781 XXXX 2834```
```16Jan  7.77M 2884 XXXX 2694```
```------------2023-----------```
```13Jul 4.351M 1471 XX03 2958```
```16Jun   4.3M 1473 XX02 2919```
_Source: DLD, Databot_
_BUA - built-up area, sq.ft._
_P/sf - price per sq.ft._
_B - bedrooms; O - office_
_M - million, K- thousand_
_S - studio, R - shop_
_*Max 30 latest transactions_
www.trydatabot.com</t>
  </si>
  <si>
    <t>1009905, *MARKET</t>
  </si>
  <si>
    <t>*MARKET*
*SNAPSHOT*
*CITY CENTER RESIDENCES*
_Area: Downtown_
_Type: 3 bedroom apartment_
*Price dynamics, Dirham/sq.ft.*
_(M - median value)_
```4000|                    * ```
```    |                      ```
```    |              **      ```
```    |                  **  ```
```    |                      ```
```    |      *    *     *   *```
```    |    *                 ```
```3109|---------------------M```
```    |       *        *     ```
```    |** * *  *** **        ```
```2694|  *                   ```
```____|______________________```
```    |Jun2023        Nov2025```
_Source: see table below_
*Latest sales transactions*
```Date   Price  BUA Type P/sf```
```------------2025-----------```
```13Nov  4.85M 1470 XX02 3299```
```02Oct 11.54M 2884 XX02 4000```
```11Sep 5.301M 1456 XX02 3641```
```11Sep 5.301M 1451 XX03 3653```
```03Jun  4.95M 1455 XX02 3402```
```14May   4.5M 1463 XX03 3076```
```05May 5.365M 1455 XX02 3687```
```24Apr  5.35M 1448 XXXX 3695```
```17Apr   4.3M 1448 XXXX 2970```
```------------2024-----------```
```26Nov  4.35M 1463 XX03 2973```
```05Nov  4.95M 1464 XX02 3381```
```26Aug 12.44M 4137 XX01 3006```
```22Jul 12.56M 4174 XX02 3008```
```02Jul  4.18M 1470 XX02 2844```
```25Apr  4.55M 1448 XXXX 3142```
```18Mar   4.9M 1455 XXXX 3368```
```11Mar   4.4M 1470 XXXX 2993```
```23Feb 4.705M 1455 XXXX 3234```
```29Jan  7.88M 2781 XXXX 2834```
```16Jan  7.77M 2884 XXXX 2694```
```------------2023-----------```
```13Jul 4.351M 1471 XX03 2958```
```16Jun   4.3M 1473 XX02 2919```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</si>
  <si>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1009907, *RESELL</t>
  </si>
  <si>
    <t>*RESELL*
*VS PRIMARY*
*CITY CENTER RESIDENCES*
_Area: Downtown_
_Type: 3 bedroom apartment_
*Price dynamics, Dirham/sq.ft.*
_(x - primary; * - resell)_
```4000|                    * ```
```    |                      ```
```    |                      ```
```    |      x       **  **  ```
```3540|                      ```
```    |       x   *     *    ```
```    |                     *```
```    |x                     ```
```    | x   x  xxx **  *     ```
```2846|  xxx                 ```
```____|______________________```
```    |Jun2022        Nov2025```
_Source: see a table below_
*Latest resell transactions*
```Date   Price  BUA Type P/sf```
```------------2025-----------```
```13Nov  4.85M 1470 XX02 3299```
```02Oct 11.54M 2884 XX02 4000```
```11Sep 5.301M 1456 XX02 3641```
```11Sep 5.301M 1451 XX03 3653```
```03Jun  4.95M 1455 XX02 3402```
```14May   4.5M 1463 XX03 3076```
```05May 5.365M 1455 XX02 3687```
```24Apr  5.35M 1448 XXXX 3695```
```17Apr   4.3M 1448 XXXX 2970```
```------------2024-----------```
```26Nov  4.35M 1463 XX03 2973```
```05Nov  4.95M 1464 XX02 3381```
```26Aug 12.44M 4137 XX01 3006```
```22Jul 12.56M 4174 XX02 3008```
```02Jul  4.18M 1470 XX02 2844```
```25Apr  4.55M 1448 XXXX 3142```
```18Mar   4.9M 1455 XXXX 3368```
```11Mar   4.4M 1470 XXXX 2993```
*Latest primary transactions*
```------------2024-----------```
```12Sep 4.401M 1465 XXXX 3004```
```12Sep 4.406M 1464 XX02 3009```
```------------2023-----------```
```30Jan 4.411M 1473 XX02 2995```
```------------2022-----------```
```26Dec  5.07M 1459 XX03 3475```
```14Jul 5.338M 1459 XX03 3659```
```07Jul 4.373M 1471 XX03 2973```
```06Jul 4.354M 1473 XX02 2956```
```06Jul 4.349M 1471 XX03 2957```
```01Jul 4.164M 1463 XX02 2846```
```28Jun 4.577M 1471 XX03 3112```
```27Jun 4.692M 1463 XX02 3207```
```23Jun 5.689M 1471 XX03 3867```
```23Jun 4.153M 1459 XX03 2846```
_Source: DLD, Databot_
_BUA - built-up area, sq.ft._
_P/sf - price per sq.ft._
_B - bedrooms; O - office_
_M - million, K- thousand_
_S - studio, R - shop_
www.trydatabot.com</t>
  </si>
  <si>
    <t>1009908, *SALES*</t>
  </si>
  <si>
    <t>*SALES*
*TRANSACTIONS (RESALE)**
*CITY CENTER RESIDENCES*
_Area: Downtown_
_Type: 4 bedroom apartment_
```Date   Price  BUA Type P/sf```
```------------2025-----------```
```10Oct  10.6M 2624 XX02 4040```
```------------2024-----------```
```16Jan 11.42M 3695 XXXX 3090```
```12Jan 10.63M 2633 XXXX 4039```
_Source: DLD, Databot_
_BUA - built-up area, sq.ft._
_P/sf - price per sq.ft._
_B - bedrooms; O - office_
_M - million, K- thousand_
_S - studio, R - shop_
_*Max 30 latest transactions_
www.trydatabot.com</t>
  </si>
  <si>
    <t>1009909, *MARKET</t>
  </si>
  <si>
    <t>*MARKET*
*SNAPSHOT*
*CITY CENTER RESIDENCES*
_Area: Downtown_
_Type: 4 bedroom apartment_
*Price dynamics, Dirham/sq.ft.*
_(M - median value)_
```4040|                   * 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```3090|                    * ```
```3090|                    * ```
```____|______________________```
```    |Jan2024        Oct2025```
_Source: see table below_
*Latest sales transactions*
```Date   Price  BUA Type P/sf```
```------------2025-----------```
```10Oct  10.6M 2624 XX02 4040```
```------------2024-----------```
```16Jan 11.42M 3695 XXXX 3090```
```12Jan 10.63M 2633 XXXX 4039```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</si>
  <si>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1009911, *RESELL</t>
  </si>
  <si>
    <t>*RESELL*
*VS PRIMARY*
*CITY CENTER RESIDENCES*
_Area: Downtown_
_Type: 4 bedroom apartment_
*Price dynamics, Dirham/sq.ft.*
_(x - primary; * - resell)_
```4242|        xx            ```
```    |                      ```
```    |          x        * *```
```    |                      ```
```3782|                      ```
```    |                      ```
```    |                      ```
```    |                      ```
```    |                      ```
```3090|                    * ```
```____|______________________```
```    |Dec1899        Oct2025```
_Source: see a table below_
*Latest resell transactions*
```Date   Price  BUA Type P/sf```
```------------2025-----------```
```10Oct  10.6M 2624 XX02 4040```
```------------2024-----------```
```16Jan 11.42M 3695 XXXX 3090```
```12Jan 10.63M 2633 XXXX 4039```
*Latest primary transactions*
```------------2024-----------```
```12Jan  10.7M 2632 XXXX 4065```
```------------2022-----------```
```03Aug 10.58M 2495 XX01 4242```
```06Jul  10.6M 2499 XX02 4242```
_Source: DLD, Databot_
_BUA - built-up area, sq.ft._
_P/sf - price per sq.ft._
_B - bedrooms; O - office_
_M - million, K- thousand_
_S - studio, R - shop_
www.trydatabot.com</t>
  </si>
  <si>
    <t>1009912, *SALES*</t>
  </si>
  <si>
    <t>*SALES*
*TRANSACTIONS**
*CITY CENTER RESIDENCES*
_Area: Downtown_
_Type: 5 bedroom apartment_
```Date   Price  BUA Type P/sf```
```------------2025-----------```
```29Oct    22M 7821 XXXX 2813```
```------------2024-----------```
```16Jan    22M 7821 XXXX 2813```
_Source: DLD, Databot_
_BUA - built-up area, sq.ft._
_P/sf - price per sq.ft._
_B - bedrooms; O - office_
_M - million, K- thousand_
_S - studio, R - shop_
_*Max 30 latest transactions_
www.trydatabot.com</t>
  </si>
  <si>
    <t>1009913, *MARKET</t>
  </si>
  <si>
    <t>*MARKET*
*SNAPSHOT*
*CITY CENTER RESIDENCES*
_Area: Downtown_
_Type: 5 bedroom apartment_
*Price dynamics, Dirham/sq.ft.*
_(M - median value)_
```2813|                    **```
```2813|----------------------```
```    |                    **```
```2813|---------------------M```
```    |                    **```
```2813|---------------------M```
```    |                    **```
```2813|---------------------M```
```    |                    **```
```2813|---------------------M```
```    |                    **```
```____|______________________```
```    |Jan2024        Oct2025```
_Source: see table below_
*Latest sales transactions*
```Date   Price  BUA Type P/sf```
```------------2025-----------```
```29Oct    22M 7821 XXXX 2813```
```------------2024-----------```
```16Jan    22M 7821 XXXX 2813```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</si>
  <si>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1009941, *SALES*</t>
  </si>
  <si>
    <t>*SALES*
*TRANSACTIONS (RESALE)**
*CITY CENTER RESIDENCES*
_Area: Downtown_
_All types/bedrooms_
```Date    Price   BUA  Type B```
```------------2026-----------```
```20Jan      2M   750  XX09 1```
```16Jan    2.2M   767  XX03 1```
```------------2025-----------```
```16Dec    3.1M  1052  XX04 2```
```13Nov   4.85M  1470  XX02 3```
```13Nov   2.05M   782  XX07 1```
```10Nov   3.32M  1183  XXXX 2```
```03Nov  1.904M   789  XX07 1```
```29Oct     22M  7821  XXXX 5```
```27Oct    3.2M  1184  XX05 2```
```20Oct  3.993M  1183  XXXX 2```
```14Oct    2.5M  1172  XXXX 2```
```14Oct    2.5M  1061  XX02 2```
```10Oct   10.6M  2624  XX02 4```
```02Oct  11.54M  2884  XX02 3```
```30Sep  2.375M   752  XX08 1```
```26Sep    2.5M  1052  XX04 2```
```25Sep  4.226M  1173  XX01 2```
```19Sep    2.5M  1184  XX05 2```
```19Sep      2M   777  XX03 1```
```11Sep  5.301M  1456  XX02 3```
```11Sep  5.301M  1451  XX03 3```
```19Jun   1.95M   783  XX07 1```
```11Jun   1.65M   789  XX07 1```
```04Jun    1.9M   757  XX06 1```
```04Jun   1.74M   757  XXXX 1```
```03Jun   4.95M  1455  XX02 3```
```29May    3.2M  1184  XX05 2```
```19May   2.68M  1145  XX01 2```
```15May   2.85M  1172  XX01 2```
```14May   2.15M   757  XXXX 1```
_Source: DLD, Databot_
_BUA - built-up area, sq.ft._
_P/sf - price per sq.ft._
_B - bedrooms; O - office_
_M - million, K- thousand_
_S - studio, R - shop_
_*Max 30 latest transactions_
www.trydatabot.com</t>
  </si>
  <si>
    <t>1009942, City Center, Citycenter, *BUILDI</t>
  </si>
  <si>
    <t xml:space="preserve">*BUILDING*
*PROFILE*
*CITY CENTER RESIDENCES*
_Area: Downtown_
_Tap&amp;hold to copy a reply_
```-------------------------```
```Report              Reply```
```-------------------------```
*1 B/R*
```Resell, ROI       1009896```
```Primary sales     1009944```
```Price chart       1009897```
```Rentals               n/a```
```Appreciation      1009899```
*2 B/R*
```Resell, ROI       1009900```
```Primary sales     1009945```
```Price chart       1009901```
```Rentals               n/a```
```Appreciation      1009903```
*3 B/R*
```Resell, ROI       1009904```
```Primary sales     1009946```
```Price chart       1009905```
```Rentals               n/a```
```Appreciation      1009907```
*4 B/R*
```Resell, ROI       1009908```
```Primary sales     1009947```
```Price chart       1009909```
```Rentals               n/a```
```Appreciation      1009911```
*5 B/R*
```Sales, ROI        1009912```
```Price chart       1009913```
```Rentals               n/a```
*All types/bedrooms*
```Resell, ROI       1009941```
```Primary sales     1009955```
```Rentals               n/a```
</t>
  </si>
  <si>
    <t>1009944, *SALES*</t>
  </si>
  <si>
    <t>*SALES*
*TRANSACTIONS (PRIMARY)**
*CITY CENTER RESIDENCES*
_Area: Downtown_
_Type: 1 bedroom apartment_
```Date   Price  BUA Type P/sf```
```------------2024-----------```
```19Sep 1.773M  757 XXXX 2342```
```19Sep 1.656M  786 XX08 2107```
```12Sep 1.762M  785 XX06 2245```
```12Sep 1.869M  756 XX05 2473```
```12Sep 1.728M  751 XXXX 2301```
```12Sep 1.747M  782 XX07 2234```
```------------2022-----------```
```16Dec 1.608M  710 XX07 2264```
```07Sep 1.652M  710 XX07 2327```
```17Aug 1.612M  755 XX09 2135```
```17Aug 1.606M  755 XX09 2128```
```11Aug 1.735M  754 XX06 2301```
```05Aug 2.042M  770 XX03 2651```
```29Jul 1.808M  706 XX07 2561```
```21Jul 1.692M  754 XX06 2245```
```21Jul 1.725M  754 XX08 2287```
```21Jul 1.759M  710 XXXX 2477```
```20Jul 1.655M  755 XX09 2192```
```19Jul 1.683M  754 XX06 2233```
```19Jul 1.574M  705 XX08 2233```
```19Jul 1.571M  755 XX09 2081```
_Source: DLD, Databot_
_BUA - built-up area, sq.ft._
_P/sf - price per sq.ft._
_B - bedrooms; O - office_
_M - million, K- thousand_
_S - studio, R - shop_
_*Max 20 latest transactions_
www.trydatabot.com</t>
  </si>
  <si>
    <t>1009945, *SALES*</t>
  </si>
  <si>
    <t>*SALES*
*TRANSACTIONS (PRIMARY)**
*CITY CENTER RESIDENCES*
_Area: Downtown_
_Type: 2 bedroom apartment_
```Date   Price  BUA Type P/sf```
```------------2024-----------```
```29Oct 3.585M 1162 XX04 3085```
```12Sep 2.982M 1162 XX04 2566```
```12Sep 3.317M 1144 XXXX 2900```
```------------2022-----------```
```12Dec  3.93M 1148 XX01 3423```
```05Sep 2.319M 1144 XX05 2028```
```27Jul  3.44M 1148 XX01 2997```
```21Jul 2.226M 1079 XX04 2063```
```06Jul 3.284M 1148 XX01 2860```
```06Jul 2.949M 1147 XX04 2571```
```01Jul 2.367M 1146 XX01 2065```
```28Jun 3.191M 1146 XX01 2785```
```28Jun 3.105M 1147 XX04 2707```
```27Jun 3.564M 1148 XX01 3105```
```25Jun 2.425M 1144 XX05 2120```
```23Jun   2.1M 1062 XX04 1978```
```23Jun 2.976M 1144 XX05 2602```
```23Jun 2.226M 1078 XX02 2065```
```23Jun 3.108M 1168 XX04 2661```
```22Jun 3.779M 1147 XX04 3295```
```22Jun 3.973M 1148 XX01 3461```
_Source: DLD, Databot_
_BUA - built-up area, sq.ft._
_P/sf - price per sq.ft._
_B - bedrooms; O - office_
_M - million, K- thousand_
_S - studio, R - shop_
_*Max 20 latest transactions_
www.trydatabot.com</t>
  </si>
  <si>
    <t>1009946, *SALES*</t>
  </si>
  <si>
    <t>*SALES*
*TRANSACTIONS (PRIMARY)**
*CITY CENTER RESIDENCES*
_Area: Downtown_
_Type: 3 bedroom apartment_
```Date   Price  BUA Type P/sf```
```------------2024-----------```
```12Sep 4.401M 1465 XXXX 3004```
```12Sep 4.406M 1464 XX02 3009```
```------------2023-----------```
```30Jan 4.411M 1473 XX02 2995```
```------------2022-----------```
```26Dec  5.07M 1459 XX03 3475```
```14Jul 5.338M 1459 XX03 3659```
```07Jul 4.373M 1471 XX03 2973```
```06Jul 4.354M 1473 XX02 2956```
```06Jul 4.349M 1471 XX03 2957```
```01Jul 4.164M 1463 XX02 2846```
```28Jun 4.577M 1471 XX03 3112```
```27Jun 4.692M 1463 XX02 3207```
```23Jun 5.689M 1471 XX03 3867```
```23Jun 4.153M 1459 XX03 2846```
```23Jun 4.749M 1471 XX03 3228```
```22Jun 5.488M 1473 XX02 3726```
```22Jun 4.679M 1459 XX03 3207```
```22Jun 4.809M 1471 XX03 3269```
```22Jun 5.353M 1463 XX02 3659```
```22Jun 4.873M 1463 XX02 3331```
```22Jun 4.325M 1471 XX03 2940```
_Source: DLD, Databot_
_BUA - built-up area, sq.ft._
_P/sf - price per sq.ft._
_B - bedrooms; O - office_
_M - million, K- thousand_
_S - studio, R - shop_
_*Max 20 latest transactions_
www.trydatabot.com</t>
  </si>
  <si>
    <t>1009947, *SALES*</t>
  </si>
  <si>
    <t>*SALES*
*TRANSACTIONS (PRIMARY)**
*CITY CENTER RESIDENCES*
_Area: Downtown_
_Type: 4 bedroom apartment_
```Date   Price  BUA Type P/sf```
```------------2024-----------```
```12Jan  10.7M 2632 XXXX 4065```
```------------2022-----------```
```03Aug 10.58M 2495 XX01 4242```
```06Jul  10.6M 2499 XX02 4242```
_Source: DLD, Databot_
_BUA - built-up area, sq.ft._
_P/sf - price per sq.ft._
_B - bedrooms; O - office_
_M - million, K- thousand_
_S - studio, R - shop_
_*Max 20 latest transactions_
www.trydatabot.com</t>
  </si>
  <si>
    <t>1009955, *SALES*</t>
  </si>
  <si>
    <t>*SALES*
*TRANSACTIONS (PRIMARY)**
*CITY CENTER RESIDENCES*
_Area: Downtown_
_All types/bedrooms_
```Date    Price   BUA  Type B```
```------------2024-----------```
```29Oct  3.585M  1162  XX04 2```
```19Sep  1.773M   757  XXXX 1```
```19Sep  1.656M   786  XX08 1```
```12Sep  1.762M   785  XX06 1```
```12Sep  2.982M  1162  XX04 2```
```12Sep  4.401M  1465  XXXX 3```
```12Sep  4.406M  1464  XX02 3```
```12Sep  3.317M  1144  XXXX 2```
```12Sep  1.869M   756  XX05 1```
```12Sep  1.728M   751  XXXX 1```
```12Sep  1.747M   782  XX07 1```
```12Jan   10.7M  2632  XXXX 4```
```------------2023-----------```
```30Jan  4.411M  1473  XX02 3```
```------------2022-----------```
```26Dec   5.07M  1459  XX03 3```
```16Dec  1.608M   710  XX07 1```
```12Dec   3.93M  1148  XX01 2```
```07Sep  1.652M   710  XX07 1```
```05Sep  2.319M  1144  XX05 2```
```17Aug  1.612M   755  XX09 1```
```17Aug  1.606M   755  XX09 1```
_Source: DLD, Databot_
_BUA - built-up area, sq.ft._
_P/sf - price per sq.ft._
_B - bedrooms; O - office_
_M - million, K- thousand_
_S - studio, R - shop_
_*Max 20 latest transactions_
www.trydatabot.com</t>
  </si>
  <si>
    <t>1009956, *SALES*</t>
  </si>
  <si>
    <t>*SALES*
*TRANSACTIONS**
*CLAREN TOWERS T1*
_Area: Downtown_
_Type: studio apartment_
_Gross ROI=6.27%_
_Median annual rent=73K_
```Date   Price  BUA Type P/sf```
```------------2026-----------```
```13Jan  1.35M  483 XX07 2795```
```------------2025-----------```
```31Oct 1.225M  483 XX07 2536```
```08Sep  1.06M  497 XX02 2133```
```31Jul 1.375M  483 XX07 2847```
```09Jun 1.042M  497 XX02 2097```
```13Feb   1.1M  497 XX02 2213```
```------------2024-----------```
```28Nov  1.25M  483 XX07 2588```
```25Nov   1.2M  668 XX11 1796```
```11Sep 1.135M  497 XX02 2285```
```27Jun  1.15M  497 XX02 2314```
```22May 1.025M  483 XX07 2122```
```------------2023-----------```
```03Oct   920K  497 XX02 1851```
```31Jul   900K  497 XX02 1811```
```------------2022-----------```
```12Oct   800K  497 XX02 1610```
```21Sep   970K  483 XX07 2008```
```22Aug 758.4K  497 XX02 1526```
```13Jun   770K  483 XX07 1594```
```18Apr   820K  434 XX04 1889```
```14Apr   740K  493 XX06 1501```
```08Mar 812.5K  497 XX02 1635```
```------------2021-----------```
```29Aug   775K  483 XX07 1605```
```17Aug   690K  497 XX02 1388```
```14Jul 1.467M  483 XX07 3037```
```16Jun 866.1K  483 XX07 1793```
```------------2020-----------```
```14Dec   625K  483 XX07 1294```
```------------2019-----------```
```11Sep 1.157M  497 XX02 2328```
```25Mar   900K  483 XX07 1863```
```------------2018-----------```
```23Sep 818.9K  497 XX02 1648```
_Source: DLD, Databot_
_BUA - built-up area, sq.ft._
_P/sf - price per sq.ft._
_B - bedrooms; O - office_
_M - million, K- thousand_
_S - studio, R - shop_
_*Max 30 latest transactions_
www.trydatabot.com</t>
  </si>
  <si>
    <t>Claren Towers T1</t>
  </si>
  <si>
    <t>1009957, *MARKET</t>
  </si>
  <si>
    <t>*MARKET*
*SNAPSHOT*
*CLAREN TOWERS T1*
_Area: Downtown_
_Type: studio apartment_
*Price dynamics, Dirham/sq.ft.*
_(M - median value)_
```2847|                  *  *```
```    |                      ```
```    |               *    * ```
```    |                      ```
```    |            **  *     ```
```    |           *     * *  ```
```1949|---------------------M```
```    |       *              ```
```    |    *    **   *       ```
```    | **  *  *             ```
```1388|*  *  *               ```
```____|______________________```
```    |Aug2021        Jan2026```
_Source: see table below_
*Latest sales transactions*
```Date   Price  BUA Type P/sf```
```------------2026-----------```
```13Jan  1.35M  483 XX07 2795```
```------------2025-----------```
```31Oct 1.225M  483 XX07 2536```
```08Sep  1.06M  497 XX02 2133```
```31Jul 1.375M  483 XX07 2847```
```09Jun 1.042M  497 XX02 2097```
```13Feb   1.1M  497 XX02 2213```
```------------2024-----------```
```28Nov  1.25M  483 XX07 2588```
```25Nov   1.2M  668 XX11 1796```
```11Sep 1.135M  497 XX02 2285```
```27Jun  1.15M  497 XX02 2314```
```22May 1.025M  483 XX07 2122```
```------------2023-----------```
```03Oct   920K  497 XX02 1851```
```31Jul   900K  497 XX02 1811```
```------------2022-----------```
```12Oct   800K  497 XX02 1610```
```21Sep   970K  483 XX07 2008```
```22Aug 758.4K  497 XX02 1526```
```13Jun   770K  483 XX07 1594```
```18Apr   820K  434 XX04 1889```
```14Apr   740K  493 XX06 1501```
```08Mar 812.5K  497 XX02 1635```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</si>
  <si>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1009958, *NEW RE</t>
  </si>
  <si>
    <t>*NEW RENT*
*CONTRACTS**
_(renewals are not included)_
*CLAREN TOWERS T1*
_Area: Downtown_
_Type: studio apartment_
```Date  Price   BUA  Type D/s```
```------------2026-----------```
```01Feb   70K   431  XXXX 162```
```------------2025-----------```
```23Oct   72K   484  XXXX 149```
```01Oct  103K   495  XXXX 207```
```22Aug   85K   484  XXXX 176```
```03Aug   70K   495  XXXX 141```
```20Jun   85K   484  XXXX 176```
```29Apr   65K   495  XXXX 131```
```15Apr   72K   495  XXXX 145```
```25Mar   75K   527  XXXX 142```
```------------2024-----------```
```05Nov   84K   463  XXXX 181```
```27Oct   75K   495  XXXX 152```
```19Oct   67K   484  XXXX 138```
```01Oct   73K   527  XXXX 139```
```21Sep   72K   495  XXXX 145```
```07Sep   85K   495  XXXX 172```
```01Sep   75K   431  XXXX 174```
```01Aug 63.5K   484  XXXX 131```
```15Jul   80K   484  XXXX 165```
```01Jul   72K   495  XXXX 145```
```08Jun   73K   484  XXXX 151```
_Source: DLD, Databot_
_BUA - built-up area, sq.ft._
_P/sf - price per sq.ft._
_B - bedrooms; O - office_
_M - million, K- thousand_
_S - studio, R - shop_
_*20 latest contracts_
www.trydatabot.com</t>
  </si>
  <si>
    <t>1009960, *SALES*</t>
  </si>
  <si>
    <r>
      <rPr/>
      <t xml:space="preserve">*SALES*
*TRANSACTIONS**
*CLAREN TOWERS T1*
_Area: Downtown_
_Type: 1 bedroom apartment_
_Gross ROI=6.09%_
_Median annual rent=112.5K_
```Date   Price  BUA Type P/sf```
```------------2025-----------```
```24Nov     2M  869 XX04 2301```
```13Nov  2.05M  842 XX06 2435```
```23Sep  1.85M  861 XX03 2149```
```22Sep 1.845M  869 XX04 2123```
```24Jun  1.85M  869 XX04 2129```
```17Apr 1.625M  867 XX01 1874```
```28Mar  1.75M  869 XX04 2014```
```21Feb  1.45M  869 XX04 1669```
```05Feb  1.79M  881 XX01 2032```
```------------2024-----------```
```18Dec  1.65M  862 XX03 1914```
```29Oct   1.7M  842 XX06 2019```
```16Sep   1.7M  861 XX03 1974```
```05Jul   1.8M  869 XX04 2071```
```05Feb   1.8M  881 XX01 2043```
```------------2023-----------```
```30Nov 1.675M  881 XX01 1901```
```30Nov  1.63M  881 XX01 1850```
```02Nov  1.67M 1043 XX06 1601```
```30Oct   1.7M  842 XX06 2019```
```27Sep  1.35M  861 XX03 1568```
```21Sep  1.86M  881 XX01 2111```
```30May 1.375M  881 XX01 1561```
```21Mar   1.5M  842 XX06 1781```
```21Mar 1.375M  881 XX01 1561```
```15Mar   1.6M  881 XX01 1816```
```01Feb   1.4M  861 XX04 1626```
```------------2022-----------```
```16Nov  1.45M  842 XX06 1722```
```25Oct   1.3M  869 XX04 1496```
```12Aug   1.1M  918 XX02 1198```
```01Apr 1.225M  861 XX03 1423```
```17Jan   1.1M  861 XX03 1278```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</si>
  <si>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1009961, *MARKET</t>
  </si>
  <si>
    <t>*MARKET*
*SNAPSHOT*
*CLAREN TOWERS T1*
_Area: Downtown_
_Type: 1 bedroom apartment_
*Price dynamics, Dirham/sq.ft.*
_(M - median value)_
```2435|                    * ```
```    |                      ```
```    |                     *```
```    |                   *  ```
```    |  *      *       **   ```
```2017|---------------------M```
```    |    *   * ** * *      ```
```    |       *    *   *     ```
```    |      *               ```
```    |*             *       ```
```1561| * * *                ```
```____|______________________```
```    |Mar2023        Nov2025```
_Source: see table below_
*Latest sales transactions*
```Date   Price  BUA Type P/sf```
```------------2025-----------```
```24Nov     2M  869 XX04 2301```
```13Nov  2.05M  842 XX06 2435```
```23Sep  1.85M  861 XX03 2149```
```22Sep 1.845M  869 XX04 2123```
```24Jun  1.85M  869 XX04 2129```
```17Apr 1.625M  867 XX01 1874```
```28Mar  1.75M  869 XX04 2014```
```21Feb  1.45M  869 XX04 1669```
```05Feb  1.79M  881 XX01 2032```
```------------2024-----------```
```18Dec  1.65M  862 XX03 1914```
```29Oct   1.7M  842 XX06 2019```
```16Sep   1.7M  861 XX03 1974```
```05Jul   1.8M  869 XX04 2071```
```05Feb   1.8M  881 XX01 2043```
```------------2023-----------```
```30Nov 1.675M  881 XX01 1901```
```30Nov  1.63M  881 XX01 1850```
```02Nov  1.67M 1043 XX06 1601```
```30Oct   1.7M  842 XX06 2019```
```27Sep  1.35M  861 XX03 1568```
```21Sep  1.86M  881 XX01 2111```
```30May 1.375M  881 XX01 1561```
```21Mar   1.5M  842 XX06 1781```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</si>
  <si>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1009962, *NEW RE</t>
  </si>
  <si>
    <t>*NEW RENT*
*CONTRACTS**
_(renewals are not included)_
*CLAREN TOWERS T1*
_Area: Downtown_
_Type: 1 bedroom apartment_
```Date  Price   BUA  Type D/s```
```------------2026-----------```
```01Jan  110K   764  XXXX 144```
```------------2025-----------```
```31Dec  110K   840  XXXX 131```
```20Dec  115K   743  XXXX 155```
```15Dec  105K   743  XXXX 141```
```12Dec  115K   872  XXXX 132```
```09Dec  130K   850  XXXX 153```
```08Dec  115K   743  XXXX 155```
```03Dec  115K   743  XXXX 155```
```29Nov  110K   840  XXXX 131```
```25Nov  110K   743  XXXX 148```
```23Nov  110K   829  XXXX 133```
```13Nov  120K   883  XXXX 136```
```07Nov  130K  1044  XXXX 125```
```01Nov  110K   840  XXXX 131```
```23Oct  110K   818  XXXX 134```
```18Oct  110K   861  XXXX 128```
```15Oct  120K   872  XXXX 138```
```10Oct   95K   743  XXXX 128```
```10Oct  115K   883  XXXX 130```
```09Oct  115K   861  XXXX 134```
_Source: DLD, Databot_
_BUA - built-up area, sq.ft._
_P/sf - price per sq.ft._
_B - bedrooms; O - office_
_M - million, K- thousand_
_S - studio, R - shop_
_*20 latest contracts_
www.trydatabot.com</t>
  </si>
  <si>
    <t>1009964, *SALES*</t>
  </si>
  <si>
    <t>*SALES*
*TRANSACTIONS**
*CLAREN TOWERS T1*
_Area: Downtown_
_Type: 2 bedroom apartment_
_Gross ROI=7.02% (confidence: low)_
_Median annual rent=165K_
```Date   Price  BUA Type P/sf```
```------------2025-----------```
```05Nov   2.2M 1257 XXXX 1750```
```21Jul 2.844M 1888 XX06 1507```
```02Apr 2.535M 1257 XXXX 2017```
```24Mar   2.5M 1257 XXXX 1989```
```------------2024-----------```
```27Sep 2.225M 1257 XXXX 1770```
```06Jun   2.4M 1249 XX05 1922```
```04Mar   2.8M 1257 XXXX 2228```
```------------2023-----------```
```04Sep  2.55M 1580 XX07 1614```
```27Apr  2.15M 1257 XXXX 1710```
```17Apr 2.556M 1257 XXXX 2034```
```------------2022-----------```
```27Jul   2.2M 1257 XX08 1750```
```04Jul   2.2M 1257 XX05 1750```
```09Jun   2.5M 1257 XX05 1989```
```------------2021-----------```
```21Nov   1.8M 1257 XX05 1432```
```------------2020-----------```
```11Nov 1.385M 1257 XX05 1102```
```16Mar  1.45M 1257 XX05 1154```
```15Jan 1.624M 1249 XX05 1300```
```------------2018-----------```
```02Oct   1.9M 1257 XX08 1512```
_Source: DLD, Databot_
_BUA - built-up area, sq.ft._
_P/sf - price per sq.ft._
_B - bedrooms; O - office_
_M - million, K- thousand_
_S - studio, R - shop_
_*Max 30 latest transactions_
www.trydatabot.com</t>
  </si>
  <si>
    <t>1009965, *MARKET</t>
  </si>
  <si>
    <t>*MARKET*
*SNAPSHOT*
*CLAREN TOWERS T1*
_Area: Downtown_
_Type: 2 bedroom apartment_
*Price dynamics, Dirham/sq.ft.*
_(M - median value)_
```2228|               *      ```
```    |                      ```
```    |         *  *     **  ```
```    |                *     ```
```1750|---------------------M```
```    |          **     *   *```
```    |             **       ```
```    |    *               * ```
```    |        *             ```
```    |     *                ```
```1102|      **              ```
```____|______________________```
```    |Oct2018        Nov2025```
_Source: see table below_
*Latest sales transactions*
```Date   Price  BUA Type P/sf```
```------------2025-----------```
```05Nov   2.2M 1257 XXXX 1750```
```21Jul 2.844M 1888 XX06 1507```
```02Apr 2.535M 1257 XXXX 2017```
```24Mar   2.5M 1257 XXXX 1989```
```------------2024-----------```
```27Sep 2.225M 1257 XXXX 1770```
```06Jun   2.4M 1249 XX05 1922```
```04Mar   2.8M 1257 XXXX 2228```
```------------2023-----------```
```04Sep  2.55M 1580 XX07 1614```
```27Apr  2.15M 1257 XXXX 1710```
```17Apr 2.556M 1257 XXXX 2034```
```------------2022-----------```
```27Jul   2.2M 1257 XX08 1750```
```04Jul   2.2M 1257 XX05 1750```
```09Jun   2.5M 1257 XX05 1989```
```------------2021-----------```
```21Nov   1.8M 1257 XX05 1432```
```------------2020-----------```
```11Nov 1.385M 1257 XX05 1102```
```16Mar  1.45M 1257 XX05 1154```
```15Jan 1.624M 1249 XX05 1300```
```------------2018-----------```
```02Oct   1.9M 1257 XX08 1512```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</si>
  <si>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1009966, *NEW RE</t>
  </si>
  <si>
    <t>*NEW RENT*
*CONTRACTS**
_(renewals are not included)_
*CLAREN TOWERS T1*
_Area: Downtown_
_Type: 2 bedroom apartment_
```Date  Price   BUA  Type D/s```
```------------2026-----------```
```15Jan  165K  1227  XXXX 134```
```------------2025-----------```
```15Dec  165K  1227  XXXX 134```
```05Dec  160K  1410  XXXX 113```
```03Dec  169K  1227  XXXX 137```
```26Nov  165K  1259  XXXX 131```
```25Nov  175K  1227  XXXX 143```
```06Nov  165K  1259  XXXX 131```
```15Oct  160K  1259  XXXX 127```
```01Oct  160K  1259  XXXX 127```
```22Sep  170K  1259  XXXX 135```
```18Sep  159K  1227  XXXX 130```
```11Sep  150K  1227  XXXX 122```
```06Sep  215K  1227  XXXX 175```
```05Sep  170K  1259  XXXX 135```
```01Sep  170K  1259  XXXX 135```
```19Aug  190K  1410  XXXX 135```
```28Jul  180K  1884  XXXX  96```
```17Jul  150K  1227  XXXX 122```
```17Jul  153K  1259  XXXX 122```
```20Jun  175K  1658  XXXX 106```
_Source: DLD, Databot_
_BUA - built-up area, sq.ft._
_P/sf - price per sq.ft._
_B - bedrooms; O - office_
_M - million, K- thousand_
_S - studio, R - shop_
_*20 latest contracts_
www.trydatabot.com</t>
  </si>
  <si>
    <t>1009968, *SALES*</t>
  </si>
  <si>
    <t>*SALES*
*TRANSACTIONS**
*CLAREN TOWERS T1*
_Area: Downtown_
_Type: 3 bedroom apartment_
```Date   Price  BUA Type P/sf```
```------------2025-----------```
```04Dec     3M 1547 XX01 1939```
```10Nov     3M 1447 XX03 2073```
```------------2024-----------```
```28Nov  3.68M 1878 XX04 1960```
```------------2021-----------```
```19Jan 1.734M 1447 XX03 1198```
```------------2020-----------```
```12Aug  1.95M 1855 XX04 1051```
_Source: DLD, Databot_
_BUA - built-up area, sq.ft._
_P/sf - price per sq.ft._
_B - bedrooms; O - office_
_M - million, K- thousand_
_S - studio, R - shop_
_*Max 30 latest transactions_
www.trydatabot.com</t>
  </si>
  <si>
    <t>1009969, *MARKET</t>
  </si>
  <si>
    <t>*MARKET*
*SNAPSHOT*
*CLAREN TOWERS T1*
_Area: Downtown_
_Type: 3 bedroom apartment_
*Price dynamics, Dirham/sq.ft.*
_(M - median value)_
```2073|                    * ```
```1939|----------------------```
```    |                   * *```
```    |                      ```
```    |                      ```
```    |                      ```
```    |                      ```
```    |                      ```
```    |                      ```
```    |                  *   ```
```1051|                 *    ```
```____|______________________```
```    |Aug2020        Dec2025```
_Source: see table below_
*Latest sales transactions*
```Date   Price  BUA Type P/sf```
```------------2025-----------```
```04Dec     3M 1547 XX01 1939```
```10Nov     3M 1447 XX03 2073```
```------------2024-----------```
```28Nov  3.68M 1878 XX04 1960```
```------------2021-----------```
```19Jan 1.734M 1447 XX03 1198```
```------------2020-----------```
```12Aug  1.95M 1855 XX04 1051```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</si>
  <si>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1009970, *NEW RE</t>
  </si>
  <si>
    <t>*NEW RENT*
*CONTRACTS**
_(renewals are not included)_
*CLAREN TOWERS T1*
_Area: Downtown_
_Type: 3 bedroom apartment_
```Date  Price   BUA  Type D/s```
```------------2026-----------```
```06Jan  239K  1722  XXXX 139```
```------------2025-----------```
```15Nov  250K  1873  XXXX 133```
```01Jan  132K  1550  XXXX  85```
```------------2024-----------```
```20Dec  235K  1722  XXXX 136```
```05Dec   55K  1873  XXXX  29```
```09Oct  220K  1722  XXXX 128```
```22Sep  199K  1442  XXXX 138```
```01Mar  285K  1658  XXXX 172```
```20Feb  145K  1658  XXXX  87```
```------------2023-----------```
```10Oct  220K  1873  XXXX 117```
```------------2022-----------```
```23Sep  150K  1873  XXXX  80```
```15Sep  210K  1722  XXXX 122```
```------------2021-----------```
```06Nov  120K  1550  XXXX  77```
```01Oct  143K  1722  XXXX  83```
```23Sep  135K  1873  XXXX  72```
```22Sep  150K  1442  XXXX 104```
```20Feb  105K  1658  XXXX  63```
```------------2020-----------```
```08Nov  115K  1722  XXXX  67```
```06Nov  110K  1550  XXXX  71```
```02Sep  124K  1722  XXXX  72```
_Source: DLD, Databot_
_BUA - built-up area, sq.ft._
_P/sf - price per sq.ft._
_B - bedrooms; O - office_
_M - million, K- thousand_
_S - studio, R - shop_
_*20 latest contracts_
www.trydatabot.com</t>
  </si>
  <si>
    <t>1009990, *NEW RE</t>
  </si>
  <si>
    <t>*NEW RENT*
*CONTRACTS**
_(renewals are not included)_
*CLAREN TOWERS T1*
_Area: Downtown_
_Type: _
```Date  Price   BUA  Type D/s```
```------------2025-----------```
```18Feb  570K  2788  XXXX 205```
```------------2024-----------```
```23Nov  674K  2616  XXXX 258```
```20Nov  421K  2616  XXXX 161```
```09Sep  570K  2788  XXXX 205```
```08Sep  475K  4080  XXXX 116```
```29Jul  553K  3272  XXXX 169```
```29Jul  553K  3272  XXXX 169```
```14Mar  415K  2616  XXXX 159```
```14Mar  415K  2616  XXXX 159```
```------------2023-----------```
```27Jun  411K  2616  XXXX 157```
```------------2022-----------```
```08Jun  325K  2874  XXXX 113```
```26Jan  347K  3272  XXXX 106```
```15Jan  571K  4080  XXXX 140```
```------------2021-----------```
```25Nov  571K  4080  XXXX 140```
```26Sep  325K  2874  XXXX 113```
```08Sep  367K  4080  XXXX  90```
```26Aug  528K  4080  XXXX 129```
```13Jul  338K  3444  XXXX  98```
```13Jul  338K  3444  XXXX  98```
```------------2018-----------```
```06Dec  440K  2788  XXXX 158```
_Source: DLD, Databot_
_BUA - built-up area, sq.ft._
_P/sf - price per sq.ft._
_B - bedrooms; O - office_
_M - million, K- thousand_
_S - studio, R - shop_
_*20 latest contracts_
www.trydatabot.com</t>
  </si>
  <si>
    <t>1010004, *NEW RE</t>
  </si>
  <si>
    <t>*NEW RENT*
*CONTRACTS**
_(renewals are not included)_
*CLAREN TOWERS T1*
_Area: Downtown_
_All types/bedrooms_
```Date    Price   BUA Type  B```
```------------2026-----------```
```01Feb     70K   431 XXXX  S```
```15Jan    165K  1227 XXXX  2```
```06Jan  238.7K  1722 XXXX  3```
```01Jan    110K   764 XXXX  1```
```------------2025-----------```
```31Dec    110K   840 XXXX  1```
```20Dec    115K   743 XXXX  1```
```15Dec    165K  1227 XXXX  2```
```15Dec    105K   743 XXXX  1```
```12Dec    115K   872 XXXX  1```
```09Dec    130K   850 XXXX  1```
```08Dec    115K   743 XXXX  1```
```05Dec    160K  1410 XXXX  2```
```03Dec    115K   743 XXXX  1```
```03Dec  168.5K  1227 XXXX  2```
```29Nov    110K   840 XXXX  1```
```26Nov    165K  1259 XXXX  2```
```25Nov    110K   743 XXXX  1```
```25Nov    175K  1227 XXXX  2```
```23Nov    110K   829 XXXX  1```
```15Nov    250K  1873 XXXX  3```
_Source: DLD, Databot_
_BUA - built-up area, sq.ft._
_P/sf - price per sq.ft._
_B - bedrooms; O - office_
_M - million, K- thousand_
_S - studio, R - shop_
_*20 latest contracts_
www.trydatabot.com</t>
  </si>
  <si>
    <t>1010005, *SALES*</t>
  </si>
  <si>
    <t>*SALES*
*TRANSACTIONS**
*CLAREN TOWERS T1*
_Area: Downtown_
_All types/bedrooms_
```Date    Price   BUA  Type B```
```------------2026-----------```
```13Jan   1.35M   483  XX07 S```
```------------2025-----------```
```04Dec      3M  1547  XX01 3```
```24Nov      2M   869  XX04 1```
```13Nov   2.05M   842  XX06 1```
```10Nov      3M  1447  XX03 3```
```05Nov    2.2M  1257  XXXX 2```
```31Oct  1.225M   483  XX07 S```
```23Sep   1.85M   861  XX03 1```
```22Sep  1.845M   869  XX04 1```
```08Sep   1.06M   497  XX02 S```
```31Jul  1.375M   483  XX07 S```
```21Jul  2.844M  1888  XX06 2```
```24Jun   1.85M   869  XX04 1```
```09Jun  1.042M   497  XX02 S```
```17Apr  1.625M   867  XX01 1```
```02Apr  2.535M  1257  XXXX 2```
```28Mar   1.75M   869  XX04 1```
```24Mar    2.5M  1257  XXXX 2```
```21Feb   1.45M   869  XX04 1```
```13Feb    1.1M   497  XX02 S```
```05Feb   1.79M   881  XX01 1```
```------------2024-----------```
```18Dec   1.65M   862  XX03 1```
```28Nov   1.25M   483  XX07 S```
```28Nov   3.68M  1878  XX04 3```
```25Nov    1.2M   668  XX11 S```
```29Oct    1.7M   842  XX06 1```
```27Sep  2.225M  1257  XXXX 2```
```16Sep    1.7M   861  XX03 1```
```11Sep  1.135M   497  XX02 S```
```05Jul    1.8M   869  XX04 1```
_Source: DLD, Databot_
_BUA - built-up area, sq.ft._
_P/sf - price per sq.ft._
_B - bedrooms; O - office_
_M - million, K- thousand_
_S - studio, R - shop_
_*Max 30 latest transactions_
www.trydatabot.com</t>
  </si>
  <si>
    <t>1010006, by code, Claren 1, *BUILDI</t>
  </si>
  <si>
    <t xml:space="preserve">*BUILDING*
*PROFILE*
*CLAREN TOWERS T1*
_Area: Downtown_
_Tap&amp;hold to copy a reply_
```-------------------------```
```Report              Reply```
```-------------------------```
*Studio*
```Sales, ROI        1009956```
```Price chart       1009957```
```Rentals           1009958```
*1 B/R*
```Sales, ROI        1009960```
```Price chart       1009961```
```Rentals           1009962```
*2 B/R*
```Sales, ROI        1009964```
```Price chart       1009965```
```Rentals           1009966```
*3 B/R*
```Sales, ROI        1009968```
```Price chart       1009969```
```Rentals           1009970```
*All types/bedrooms*
```Sales, ROI        1010005```
```Rentals           1010004```
</t>
  </si>
  <si>
    <t>1010020, *SALES*</t>
  </si>
  <si>
    <t>*SALES*
*TRANSACTIONS**
*CLAREN TOWERS T2*
_Area: Downtown_
_Type: studio apartment_
```Date   Price  BUA Type P/sf```
```------------2024-----------```
```11Nov     1M  435 XX02 2299```
```------------2021-----------```
```17Nov   715K  427 XX08 1674```
_Source: DLD, Databot_
_BUA - built-up area, sq.ft._
_P/sf - price per sq.ft._
_B - bedrooms; O - office_
_M - million, K- thousand_
_S - studio, R - shop_
_*Max 30 latest transactions_
www.trydatabot.com</t>
  </si>
  <si>
    <t>Claren Towers T2</t>
  </si>
  <si>
    <t>1010021, *MARKET</t>
  </si>
  <si>
    <t>*MARKET*
*SNAPSHOT*
*CLAREN TOWERS T2*
_Area: Downtown_
_Type: studio apartment_
*Price dynamics, Dirham/sq.ft.*
_(M - median value)_
```2299|                     *```
```    |                      ```
```    |                      ```
```    |                      ```
```    |                      ```
```1987|---------------------M```
```    |                      ```
```    |                      ```
```    |                      ```
```    |                      ```
```1674|                    * ```
```____|______________________```
```    |Nov2021        Nov2024```
_Source: see table below_
*Latest sales transactions*
```Date   Price  BUA Type P/sf```
```------------2024-----------```
```11Nov     1M  435 XX02 2299```
```------------2021-----------```
```17Nov   715K  427 XX08 1674```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</si>
  <si>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1010024, *SALES*</t>
  </si>
  <si>
    <t>*SALES*
*TRANSACTIONS**
*CLAREN TOWERS T2*
_Area: Downtown_
_Type: 1 bedroom apartment_
```Date   Price  BUA Type P/sf```
```------------2026-----------```
```22Jan   1.7M  744 XX03 2285```
```13Jan   1.9M  845 XX04 2249```
```12Jan   1.5M  729 XX01 2058```
```------------2025-----------```
```09Dec   1.6M  744 XX02 2151```
```14Nov  1.56M  744 XX03 2097```
```25Jul  1.55M  744 XX02 2083```
```23Apr  1.85M 1189 XX04 1556```
```17Apr  1.55M  747 XX03 2075```
```17Feb   1.9M 1197 XX01 1587```
```07Jan  1.61M  837 XX04 1924```
```03Jan 1.775M  845 XX04 2101```
```------------2024-----------```
```30Dec   1.5M  845 XX04 1775```
```26Sep  1.55M  744 XX03 2083```
```07Jun   1.7M  993 XX07 1712```
```17May  1.45M  747 XX02 1941```
```18Apr 1.555M  845 XX04 1840```
```05Mar   1.6M  744 XX03 2151```
```02Jan  1.68M  838 XX01 2005```
```------------2023-----------```
```20Dec  1.61M  838 XX01 1921```
```06Nov  1.32M  744 XX03 1774```
```31Oct  1.58M  744 XX03 2124```
```12Oct  1.05M  729 XX01 1440```
```06Sep 1.525M  744 XX03 2050```
```07Jul 1.122M  744 XX03 1508```
```21Jun  1.45M  744 XX02 1949```
```05Jun     2M  744 XX02 2688```
```19Apr  1.25M  744 XX03 1680```
```13Apr 1.335M  744 XX03 1794```
```05Apr   1.4M  836 XX01 1675```
```31Jan  1.35M  746 XX02 1810```
_Source: DLD, Databot_
_BUA - built-up area, sq.ft._
_P/sf - price per sq.ft._
_B - bedrooms; O - office_
_M - million, K- thousand_
_S - studio, R - shop_
_*Max 30 latest transactions_
www.trydatabot.com</t>
  </si>
  <si>
    <t>1010025, *MARKET</t>
  </si>
  <si>
    <t>*MARKET*
*SNAPSHOT*
*CLAREN TOWERS T2*
_Area: Downtown_
_Type: 1 bedroom apartment_
*Price dynamics, Dirham/sq.ft.*
_(M - median value)_
```2285|                    **```
```    |                      ```
```    | *   *   * *  * ***   ```
```2032|---------------------M```
```    |    *              *  ```
```    |   *   *    *         ```
```    |      *               ```
```    |  *       *           ```
```    |        *             ```
```    |             * *      ```
```1440|*                     ```
```____|______________________```
```    |Oct2023        Jan2026```
_Source: see table below_
*Latest sales transactions*
```Date   Price  BUA Type P/sf```
```------------2026-----------```
```22Jan   1.7M  744 XX03 2285```
```13Jan   1.9M  845 XX04 2249```
```12Jan   1.5M  729 XX01 2058```
```------------2025-----------```
```09Dec   1.6M  744 XX02 2151```
```14Nov  1.56M  744 XX03 2097```
```25Jul  1.55M  744 XX02 2083```
```23Apr  1.85M 1189 XX04 1556```
```17Apr  1.55M  747 XX03 2075```
```17Feb   1.9M 1197 XX01 1587```
```07Jan  1.61M  837 XX04 1924```
```03Jan 1.775M  845 XX04 2101```
```------------2024-----------```
```30Dec   1.5M  845 XX04 1775```
```26Sep  1.55M  744 XX03 2083```
```07Jun   1.7M  993 XX07 1712```
```17May  1.45M  747 XX02 1941```
```18Apr 1.555M  845 XX04 1840```
```05Mar   1.6M  744 XX03 2151```
```02Jan  1.68M  838 XX01 2005```
```------------2023-----------```
```20Dec  1.61M  838 XX01 1921```
```06Nov  1.32M  744 XX03 1774```
```31Oct  1.58M  744 XX03 2124```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</si>
  <si>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1010028, *SALES*</t>
  </si>
  <si>
    <t>*SALES*
*TRANSACTIONS**
*CLAREN TOWERS T2*
_Area: Downtown_
_Type: 2 bedroom apartment_
```Date   Price  BUA Type P/sf```
```------------2026-----------```
```21Jan  2.83M 1232 XX07 2297```
```------------2025-----------```
```23Sep  3.43M 1660 XXXX 2066```
```17Sep  3.95M 1660 XXXX 2380```
```24Jun  2.75M 1533 XX05 1794```
```01May   3.5M 1660 XX06 2108```
```27Feb  2.73M 2270 XX05 1203```
```18Feb  2.75M 1232 XX07 2232```
```10Jan  3.65M 1660 XX06 2199```
```------------2024-----------```
```08Oct 2.625M 1628 XX06 1612```
```22Aug 2.975M 1384 XX02 2150```
```19Feb  2.35M 1414 XX01 1662```
```------------2023-----------```
```23Aug   2.4M 1231 XX05 1950```
```26Jul   3.1M 1660 XX06 1867```
```31Jan  2.08M 1232 XX07 1688```
```20Jan   2.1M 1384 XX02 1517```
```------------2022-----------```
```12Dec  2.05M 1230 XX07 1667```
```21Jul   2.2M 1231 XX05 1787```
```23May  2.15M 1231 XX05 1747```
```------------2021-----------```
```17Mar   1.9M 1660 XX06 1145```
```27Jan   1.7M 1231 XX05 1381```
```------------2020-----------```
```21Sep   1.5M 1231 XX05 1219```
```09Jul  1.15M 1232 XX07  933```
```05Jan 1.575M 1231 XX05 1279```
```------------2019-----------```
```29Oct     2M 1660 XX06 1205```
```20Aug  2.05M 1660 XX06 1235```
```03Jul   1.7M 1231 XX05 1381```
```14Apr   2.1M 1660 XX06 1265```
```14Apr   1.7M 1231 XX05 1381```
```05Mar   1.8M 1384 XX02 1301```
```25Feb 1.725M 1230 XX07 1402```
_Source: DLD, Databot_
_BUA - built-up area, sq.ft._
_P/sf - price per sq.ft._
_B - bedrooms; O - office_
_M - million, K- thousand_
_S - studio, R - shop_
_*Max 30 latest transactions_
www.trydatabot.com</t>
  </si>
  <si>
    <t>1010029, *MARKET</t>
  </si>
  <si>
    <t>*MARKET*
*SNAPSHOT*
*CLAREN TOWERS T2*
_Area: Downtown_
_Type: 2 bedroom apartment_
*Price dynamics, Dirham/sq.ft.*
_(M - median value)_
```2380|                   *  ```
```    |              **     *```
```    |            *    *  * ```
```    |          *           ```
```1767|---------------------M```
```    |    **   *        *   ```
```    |      * *  * *        ```
```    |       *              ```
```    |  *                   ```
```    | * *            *     ```
```933 |*                     ```
```____|______________________```
```    |Jul2020        Jan2026```
_Source: see table below_
*Latest sales transactions*
```Date   Price  BUA Type P/sf```
```------------2026-----------```
```21Jan  2.83M 1232 XX07 2297```
```------------2025-----------```
```23Sep  3.43M 1660 XXXX 2066```
```17Sep  3.95M 1660 XXXX 2380```
```24Jun  2.75M 1533 XX05 1794```
```01May   3.5M 1660 XX06 2108```
```27Feb  2.73M 2270 XX05 1203```
```18Feb  2.75M 1232 XX07 2232```
```10Jan  3.65M 1660 XX06 2199```
```------------2024-----------```
```08Oct 2.625M 1628 XX06 1612```
```22Aug 2.975M 1384 XX02 2150```
```19Feb  2.35M 1414 XX01 1662```
```------------2023-----------```
```23Aug   2.4M 1231 XX05 1950```
```26Jul   3.1M 1660 XX06 1867```
```31Jan  2.08M 1232 XX07 1688```
```20Jan   2.1M 1384 XX02 1517```
```------------2022-----------```
```12Dec  2.05M 1230 XX07 1667```
```21Jul   2.2M 1231 XX05 1787```
```23May  2.15M 1231 XX05 1747```
```------------2021-----------```
```17Mar   1.9M 1660 XX06 1145```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</si>
  <si>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1010032, *SALES*</t>
  </si>
  <si>
    <t>*SALES*
*TRANSACTIONS**
*CLAREN TOWERS T2*
_Area: Downtown_
_Type: 3 bedroom apartment_
```Date   Price  BUA Type P/sf```
```------------2022-----------```
```14Dec   2.8M 1719 XX04 1629```
```------------2021-----------```
```04Jul  2.31M 1719 XX04 1344```
```29Mar   2.1M 1660 XX03 1265```
```------------2019-----------```
```21Mar 2.225M 1660 XX03 1340```
```02Jan  2.47M 1719 XX04 1437```
_Source: DLD, Databot_
_BUA - built-up area, sq.ft._
_P/sf - price per sq.ft._
_B - bedrooms; O - office_
_M - million, K- thousand_
_S - studio, R - shop_
_*Max 30 latest transactions_
www.trydatabot.com</t>
  </si>
  <si>
    <t>1010033, *MARKET</t>
  </si>
  <si>
    <t>*MARKET*
*SNAPSHOT*
*CLAREN TOWERS T2*
_Area: Downtown_
_Type: 3 bedroom apartment_
*Price dynamics, Dirham/sq.ft.*
_(M - median value)_
```1629|                     *```
```    |                      ```
```    |                      ```
```    |                      ```
```    |                      ```
```    |                 *    ```
```    |                      ```
```    |                      ```
```1344|---------------------M```
```    |                  * * ```
```1265|                   *  ```
```____|______________________```
```    |Jan2019        Dec2022```
_Source: see table below_
*Latest sales transactions*
```Date   Price  BUA Type P/sf```
```------------2022-----------```
```14Dec   2.8M 1719 XX04 1629```
```------------2021-----------```
```04Jul  2.31M 1719 XX04 1344```
```29Mar   2.1M 1660 XX03 1265```
```------------2019-----------```
```21Mar 2.225M 1660 XX03 1340```
```02Jan  2.47M 1719 XX04 1437```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</si>
  <si>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1010069, *SALES*</t>
  </si>
  <si>
    <t>*SALES*
*TRANSACTIONS**
*CLAREN TOWERS T2*
_Area: Downtown_
_All types/bedrooms_
```Date    Price   BUA  Type B```
```------------2026-----------```
```22Jan    1.7M   744  XX03 1```
```21Jan   2.83M  1232  XX07 2```
```13Jan    1.9M   845  XX04 1```
```12Jan    1.5M   729  XX01 1```
```------------2025-----------```
```09Dec    1.6M   744  XX02 1```
```14Nov   1.56M   744  XX03 1```
```23Sep   3.43M  1660  XXXX 2```
```17Sep   3.95M  1660  XXXX 2```
```25Jul   1.55M   744  XX02 1```
```24Jun   2.75M  1533  XX05 2```
```01May    3.5M  1660  XX06 2```
```23Apr   1.85M  1189  XX04 1```
```17Apr   1.55M   747  XX03 1```
```27Feb   2.73M  2270  XX05 2```
```18Feb   2.75M  1232  XX07 2```
```17Feb    1.9M  1197  XX01 1```
```10Jan   3.65M  1660  XX06 2```
```07Jan   1.61M   837  XX04 1```
```03Jan  1.775M   845  XX04 1```
```------------2024-----------```
```30Dec    1.5M   845  XX04 1```
```11Nov      1M   435  XX02 S```
```08Oct  2.625M  1628  XX06 2```
```26Sep   1.55M   744  XX03 1```
```22Aug  2.975M  1384  XX02 2```
```07Jun    1.7M   993  XX07 1```
```17May   1.45M   747  XX02 1```
```18Apr  1.555M   845  XX04 1```
```05Mar    1.6M   744  XX03 1```
```19Feb   2.35M  1414  XX01 2```
```02Jan   1.68M   838  XX01 1```
_Source: DLD, Databot_
_BUA - built-up area, sq.ft._
_P/sf - price per sq.ft._
_B - bedrooms; O - office_
_M - million, K- thousand_
_S - studio, R - shop_
_*Max 30 latest transactions_
www.trydatabot.com</t>
  </si>
  <si>
    <t>1010070, by code, Claren 2, *BUILDI</t>
  </si>
  <si>
    <t xml:space="preserve">*BUILDING*
*PROFILE*
*CLAREN TOWERS T2*
_Area: Downtown_
_Tap&amp;hold to copy a reply_
```-------------------------```
```Report              Reply```
```-------------------------```
*Studio*
```Sales, ROI        1010020```
```Price chart       1010021```
```Rentals               n/a```
*1 B/R*
```Sales, ROI        1010024```
```Price chart       1010025```
```Rentals               n/a```
*2 B/R*
```Sales, ROI        1010028```
```Price chart       1010029```
```Rentals               n/a```
*3 B/R*
```Sales, ROI        1010032```
```Price chart       1010033```
```Rentals               n/a```
*All types/bedrooms*
```Sales, ROI        1010069```
```Rentals               n/a```
</t>
  </si>
  <si>
    <t>1010084, *SALES*</t>
  </si>
  <si>
    <t>*SALES*
*TRANSACTIONS**
*CLAREN TOWERS PODIUM*
_Area: Downtown_
_Type: studio apartment_
```Date   Price  BUA Type P/sf```
```------------2024-----------```
```15Aug     1M  461 XX02 2169```
_Source: DLD, Databot_
_BUA - built-up area, sq.ft._
_P/sf - price per sq.ft._
_B - bedrooms; O - office_
_M - million, K- thousand_
_S - studio, R - shop_
_*Max 30 latest transactions_
www.trydatabot.com</t>
  </si>
  <si>
    <t>Claren Towers Podium</t>
  </si>
  <si>
    <t>1010085, *MARKET</t>
  </si>
  <si>
    <t>*MARKET*
*SNAPSHOT*
*CLAREN TOWERS PODIUM*
_Area: Downtown_
_Type: studio apartment_
*Price dynamics, Dirham/sq.ft.*
_(M - median value)_
```2169|                     *```
```2169|----------------------```
```    |                     *```
```2169|---------------------M```
```    |                     *```
```2169|---------------------M```
```    |                     *```
```2169|---------------------M```
```    |                     *```
```2169|---------------------M```
```    |                     *```
```____|______________________```
```    |Aug2024        Aug2024```
_Source: see table below_
*Latest sales transactions*
```Date   Price  BUA Type P/sf```
```------------2024-----------```
```15Aug     1M  461 XX02 2169```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</si>
  <si>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1010088, *SALES*</t>
  </si>
  <si>
    <t>*SALES*
*TRANSACTIONS**
*CLAREN TOWERS PODIUM*
_Area: Downtown_
_Type: 1 bedroom apartment_
```Date   Price  BUA Type P/sf```
```------------2025-----------```
```02Jun 1.995M  784 XX01 2545```
```------------2024-----------```
```21Nov     2M  784 XX01 2551```
```------------2023-----------```
```22Jun  1.45M  757 XXXX 1915```
```------------2022-----------```
```22Sep  1.42M 1190 XX12 1193```
```------------2021-----------```
```14Jan   890K  784 XX01 1135```
```------------2019-----------```
```22Aug   1.2M  784 XX01 1531```
```27Mar  1.04M  821 XX04 1267```
```------------2018-----------```
```06Jun  1.25M  757 XX04 1651```
_Source: DLD, Databot_
_BUA - built-up area, sq.ft._
_P/sf - price per sq.ft._
_B - bedrooms; O - office_
_M - million, K- thousand_
_S - studio, R - shop_
_*Max 30 latest transactions_
www.trydatabot.com</t>
  </si>
  <si>
    <t>1010089, *MARKET</t>
  </si>
  <si>
    <t>*MARKET*
*SNAPSHOT*
*CLAREN TOWERS PODIUM*
_Area: Downtown_
_Type: 1 bedroom apartment_
*Price dynamics, Dirham/sq.ft.*
_(M - median value)_
```2551|                    **```
```    |                      ```
```    |                      ```
```    |                      ```
```    |                   *  ```
```    |                      ```
```    |              *       ```
```1591|---------------------M```
```    |                *     ```
```    |                      ```
```1135|               * **   ```
```____|______________________```
```    |Jun2018        Jun2025```
_Source: see table below_
*Latest sales transactions*
```Date   Price  BUA Type P/sf```
```------------2025-----------```
```02Jun 1.995M  784 XX01 2545```
```------------2024-----------```
```21Nov     2M  784 XX01 2551```
```------------2023-----------```
```22Jun  1.45M  757 XXXX 1915```
```------------2022-----------```
```22Sep  1.42M 1190 XX12 1193```
```------------2021-----------```
```14Jan   890K  784 XX01 1135```
```------------2019-----------```
```22Aug   1.2M  784 XX01 1531```
```27Mar  1.04M  821 XX04 1267```
```------------2018-----------```
```06Jun  1.25M  757 XX04 1651```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</si>
  <si>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1010092, *SALES*</t>
  </si>
  <si>
    <t>*SALES*
*TRANSACTIONS**
*CLAREN TOWERS PODIUM*
_Area: Downtown_
_Type: 2 bedroom apartment_
```Date   Price  BUA Type P/sf```
```------------2025-----------```
```14Jul  3.03M 1400 XX07 2164```
```------------2020-----------```
```17May   1.7M 1401 XX06 1213```
_Source: DLD, Databot_
_BUA - built-up area, sq.ft._
_P/sf - price per sq.ft._
_B - bedrooms; O - office_
_M - million, K- thousand_
_S - studio, R - shop_
_*Max 30 latest transactions_
www.trydatabot.com</t>
  </si>
  <si>
    <t>1010093, *MARKET</t>
  </si>
  <si>
    <t>*MARKET*
*SNAPSHOT*
*CLAREN TOWERS PODIUM*
_Area: Downtown_
_Type: 2 bedroom apartment_
*Price dynamics, Dirham/sq.ft.*
_(M - median value)_
```2164|                     *```
```    |                      ```
```    |                      ```
```    |                      ```
```    |                      ```
```1689|---------------------M```
```    |                      ```
```    |                      ```
```    |                      ```
```    |                      ```
```1213|                    * ```
```____|______________________```
```    |May2020        Jul2025```
_Source: see table below_
*Latest sales transactions*
```Date   Price  BUA Type P/sf```
```------------2025-----------```
```14Jul  3.03M 1400 XX07 2164```
```------------2020-----------```
```17May   1.7M 1401 XX06 1213```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</si>
  <si>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1010133, *SALES*</t>
  </si>
  <si>
    <t>*SALES*
*TRANSACTIONS**
*CLAREN TOWERS PODIUM*
_Area: Downtown_
_All types/bedrooms_
```Date    Price   BUA  Type B```
```------------2025-----------```
```14Jul   3.03M  1400  XX07 2```
```02Jun  1.995M   784  XX01 1```
```------------2024-----------```
```21Nov      2M   784  XX01 1```
```15Aug      1M   461  XX02 S```
```------------2023-----------```
```22Jun   1.45M   757  XXXX 1```
```------------2022-----------```
```22Sep   1.42M  1190  XX12 1```
```------------2021-----------```
```14Jan    890K   784  XX01 1```
```------------2020-----------```
```17May    1.7M  1401  XX06 2```
```------------2019-----------```
```22Aug    1.2M   784  XX01 1```
```27Mar   1.04M   821  XX04 1```
```------------2018-----------```
```06Jun   1.25M   757  XX04 1```
_Source: DLD, Databot_
_BUA - built-up area, sq.ft._
_P/sf - price per sq.ft._
_B - bedrooms; O - office_
_M - million, K- thousand_
_S - studio, R - shop_
_*Max 30 latest transactions_
www.trydatabot.com</t>
  </si>
  <si>
    <t>1010134, by code, *BUILDI</t>
  </si>
  <si>
    <t xml:space="preserve">*BUILDING*
*PROFILE*
*CLAREN TOWERS PODIUM*
_Area: Downtown_
_Tap&amp;hold to copy a reply_
```-------------------------```
```Report              Reply```
```-------------------------```
*Studio*
```Sales, ROI        1010084```
```Price chart       1010085```
```Rentals               n/a```
*1 B/R*
```Sales, ROI        1010088```
```Price chart       1010089```
```Rentals               n/a```
*2 B/R*
```Sales, ROI        1010092```
```Price chart       1010093```
```Rentals               n/a```
*All types/bedrooms*
```Sales, ROI        1010133```
```Rentals               n/a```
</t>
  </si>
  <si>
    <t>1010148, *SALES*</t>
  </si>
  <si>
    <t>*SALES*
*TRANSACTIONS**
*CLAREN TOWERS T1+T2+P*
_Area: Downtown_
_Type: studio apartment_
```Date   Price  BUA Type P/sf```
```------------2026-----------```
```13Jan  1.35M  483 XX07 2795```
```------------2025-----------```
```31Oct 1.225M  483 XX07 2536```
```08Sep  1.06M  497 XX02 2133```
```31Jul 1.375M  483 XX07 2847```
```09Jun 1.042M  497 XX02 2097```
```13Feb   1.1M  497 XX02 2213```
```------------2024-----------```
```28Nov  1.25M  483 XX07 2588```
```25Nov   1.2M  668 XX11 1796```
```11Nov     1M  435 XX02 2299```
```11Sep 1.135M  497 XX02 2285```
```15Aug     1M  461 XX02 2169```
```27Jun  1.15M  497 XX02 2314```
```22May 1.025M  483 XX07 2122```
```------------2023-----------```
```03Oct   920K  497 XX02 1851```
```31Jul   900K  497 XX02 1811```
```------------2022-----------```
```12Oct   800K  497 XX02 1610```
```21Sep   970K  483 XX07 2008```
```22Aug 758.4K  497 XX02 1526```
```13Jun   770K  483 XX07 1594```
```18Apr   820K  434 XX04 1889```
```14Apr   740K  493 XX06 1501```
```08Mar 812.5K  497 XX02 1635```
```------------2021-----------```
```17Nov   715K  427 XX08 1674```
```29Aug   775K  483 XX07 1605```
```17Aug   690K  497 XX02 1388```
```14Jul 1.467M  483 XX07 3037```
```16Jun 866.1K  483 XX07 1793```
```------------2020-----------```
```14Dec   625K  483 XX07 1294```
```------------2019-----------```
```11Sep 1.157M  497 XX02 2328```
```25Mar   900K  483 XX07 1863```
_Source: DLD, Databot_
_BUA - built-up area, sq.ft._
_P/sf - price per sq.ft._
_B - bedrooms; O - office_
_M - million, K- thousand_
_S - studio, R - shop_
_*Max 30 latest transactions_
www.trydatabot.com</t>
  </si>
  <si>
    <t>Claren Towers T1+T2+P</t>
  </si>
  <si>
    <t>1010149, *MARKET</t>
  </si>
  <si>
    <t>*MARKET*
*SNAPSHOT*
*CLAREN TOWERS T1+T2+P*
_Area: Downtown_
_Type: studio apartment_
*Price dynamics, Dirham/sq.ft.*
_(M - median value)_
```2847|                  *  *```
```    |                      ```
```    |               *    * ```
```    |                      ```
```    |          * **        ```
```2110|---------------------M```
```    |         * *    *  *  ```
```    |     *           *    ```
```    |  *     *             ```
```    |*      *      *       ```
```1501| * ** *               ```
```____|______________________```
```    |Mar2022        Jan2026```
_Source: see table below_
*Latest sales transactions*
```Date   Price  BUA Type P/sf```
```------------2026-----------```
```13Jan  1.35M  483 XX07 2795```
```------------2025-----------```
```31Oct 1.225M  483 XX07 2536```
```08Sep  1.06M  497 XX02 2133```
```31Jul 1.375M  483 XX07 2847```
```09Jun 1.042M  497 XX02 2097```
```13Feb   1.1M  497 XX02 2213```
```------------2024-----------```
```28Nov  1.25M  483 XX07 2588```
```25Nov   1.2M  668 XX11 1796```
```11Nov     1M  435 XX02 2299```
```11Sep 1.135M  497 XX02 2285```
```15Aug     1M  461 XX02 2169```
```27Jun  1.15M  497 XX02 2314```
```22May 1.025M  483 XX07 2122```
```------------2023-----------```
```03Oct   920K  497 XX02 1851```
```31Jul   900K  497 XX02 1811```
```------------2022-----------```
```12Oct   800K  497 XX02 1610```
```21Sep   970K  483 XX07 2008```
```22Aug 758.4K  497 XX02 1526```
```13Jun   770K  483 XX07 1594```
```18Apr   820K  434 XX04 1889```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</si>
  <si>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1010152, *SALES*</t>
  </si>
  <si>
    <t>*SALES*
*TRANSACTIONS**
*CLAREN TOWERS T1+T2+P*
_Area: Downtown_
_Type: 1 bedroom apartment_
```Date   Price  BUA Type P/sf```
```------------2026-----------```
```22Jan   1.7M  744 XX03 2285```
```13Jan   1.9M  845 XX04 2249```
```12Jan   1.5M  729 XX01 2058```
```------------2025-----------```
```09Dec   1.6M  744 XX02 2151```
```24Nov     2M  869 XX04 2301```
```14Nov  1.56M  744 XX03 2097```
```13Nov  2.05M  842 XX06 2435```
```23Sep  1.85M  861 XX03 2149```
```22Sep 1.845M  869 XX04 2123```
```25Jul  1.55M  744 XX02 2083```
```24Jun  1.85M  869 XX04 2129```
```02Jun 1.995M  784 XX01 2545```
```23Apr  1.85M 1189 XX04 1556```
```17Apr 1.625M  867 XX01 1874```
```17Apr  1.55M  747 XX03 2075```
```28Mar  1.75M  869 XX04 2014```
```21Feb  1.45M  869 XX04 1669```
```17Feb   1.9M 1197 XX01 1587```
```05Feb  1.79M  881 XX01 2032```
```07Jan  1.61M  837 XX04 1924```
```03Jan 1.775M  845 XX04 2101```
```------------2024-----------```
```30Dec   1.5M  845 XX04 1775```
```18Dec  1.65M  862 XX03 1914```
```21Nov     2M  784 XX01 2551```
```29Oct   1.7M  842 XX06 2019```
```26Sep  1.55M  744 XX03 2083```
```16Sep   1.7M  861 XX03 1974```
```05Jul   1.8M  869 XX04 2071```
```07Jun   1.7M  993 XX07 1712```
```17May  1.45M  747 XX02 1941```
_Source: DLD, Databot_
_BUA - built-up area, sq.ft._
_P/sf - price per sq.ft._
_B - bedrooms; O - office_
_M - million, K- thousand_
_S - studio, R - shop_
_*Max 30 latest transactions_
www.trydatabot.com</t>
  </si>
  <si>
    <t>1010153, *MARKET</t>
  </si>
  <si>
    <t>*MARKET*
*SNAPSHOT*
*CLAREN TOWERS T1+T2+P*
_Area: Downtown_
_Type: 1 bedroom apartment_
*Price dynamics, Dirham/sq.ft.*
_(M - median value)_
```2545|          *           ```
```    |               *      ```
```    |                 *    ```
```    |                    **```
```    | *         * **   *   ```
```2090|---------------------M```
```    |   *  **    *   *  *  ```
```    |  *                   ```
```    |        *             ```
```    |*    *                ```
```1556|    *    *            ```
```____|______________________```
```    |Dec2024        Jan2026```
_Source: see table below_
*Latest sales transactions*
```Date   Price  BUA Type P/sf```
```------------2026-----------```
```22Jan   1.7M  744 XX03 2285```
```13Jan   1.9M  845 XX04 2249```
```12Jan   1.5M  729 XX01 2058```
```------------2025-----------```
```09Dec   1.6M  744 XX02 2151```
```24Nov     2M  869 XX04 2301```
```14Nov  1.56M  744 XX03 2097```
```13Nov  2.05M  842 XX06 2435```
```23Sep  1.85M  861 XX03 2149```
```22Sep 1.845M  869 XX04 2123```
```25Jul  1.55M  744 XX02 2083```
```24Jun  1.85M  869 XX04 2129```
```02Jun 1.995M  784 XX01 2545```
```23Apr  1.85M 1189 XX04 1556```
```17Apr 1.625M  867 XX01 1874```
```17Apr  1.55M  747 XX03 2075```
```28Mar  1.75M  869 XX04 2014```
```21Feb  1.45M  869 XX04 1669```
```17Feb   1.9M 1197 XX01 1587```
```05Feb  1.79M  881 XX01 2032```
```07Jan  1.61M  837 XX04 1924```
```03Jan 1.775M  845 XX04 2101```
```------------2024-----------```
```30Dec   1.5M  845 XX04 1775```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</si>
  <si>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1010156, *SALES*</t>
  </si>
  <si>
    <t>*SALES*
*TRANSACTIONS**
*CLAREN TOWERS T1+T2+P*
_Area: Downtown_
_Type: 2 bedroom apartment_
```Date   Price  BUA Type P/sf```
```------------2026-----------```
```21Jan  2.83M 1232 XX07 2297```
```------------2025-----------```
```05Nov   2.2M 1257 XXXX 1750```
```23Sep  3.43M 1660 XXXX 2066```
```17Sep  3.95M 1660 XXXX 2380```
```21Jul 2.844M 1888 XX06 1507```
```14Jul  3.03M 1400 XX07 2164```
```24Jun  2.75M 1533 XX05 1794```
```01May   3.5M 1660 XX06 2108```
```02Apr 2.535M 1257 XXXX 2017```
```24Mar   2.5M 1257 XXXX 1989```
```27Feb  2.73M 2270 XX05 1203```
```18Feb  2.75M 1232 XX07 2232```
```10Jan  3.65M 1660 XX06 2199```
```------------2024-----------```
```08Oct 2.625M 1628 XX06 1612```
```27Sep 2.225M 1257 XXXX 1770```
```22Aug 2.975M 1384 XX02 2150```
```06Jun   2.4M 1249 XX05 1922```
```04Mar   2.8M 1257 XXXX 2228```
```19Feb  2.35M 1414 XX01 1662```
```------------2023-----------```
```04Sep  2.55M 1580 XX07 1614```
```23Aug   2.4M 1231 XX05 1950```
```26Jul   3.1M 1660 XX06 1867```
```27Apr  2.15M 1257 XXXX 1710```
```17Apr 2.556M 1257 XXXX 2034```
```31Jan  2.08M 1232 XX07 1688```
```20Jan   2.1M 1384 XX02 1517```
```------------2022-----------```
```12Dec  2.05M 1230 XX07 1667```
```27Jul   2.2M 1257 XX08 1750```
```21Jul   2.2M 1231 XX05 1787```
```04Jul   2.2M 1257 XX05 1750```
_Source: DLD, Databot_
_BUA - built-up area, sq.ft._
_P/sf - price per sq.ft._
_B - bedrooms; O - office_
_M - million, K- thousand_
_S - studio, R - shop_
_*Max 30 latest transactions_
www.trydatabot.com</t>
  </si>
  <si>
    <t>1010157, *MARKET</t>
  </si>
  <si>
    <t>*MARKET*
*SNAPSHOT*
*CLAREN TOWERS T1+T2+P*
_Area: Downtown_
_Type: 2 bedroom apartment_
*Price dynamics, Dirham/sq.ft.*
_(M - median value)_
```2380|                  *   ```
```    |    *     *          *```
```    |      *  *    * *     ```
```1970|---------------------M```
```    |            **     *  ```
```    |**   *                ```
```    |       *       *    * ```
```    |  **                  ```
```    |        *        *    ```
```    |                      ```
```1203|           *          ```
```____|______________________```
```    |Jul2023        Jan2026```
_Source: see table below_
*Latest sales transactions*
```Date   Price  BUA Type P/sf```
```------------2026-----------```
```21Jan  2.83M 1232 XX07 2297```
```------------2025-----------```
```05Nov   2.2M 1257 XXXX 1750```
```23Sep  3.43M 1660 XXXX 2066```
```17Sep  3.95M 1660 XXXX 2380```
```21Jul 2.844M 1888 XX06 1507```
```14Jul  3.03M 1400 XX07 2164```
```24Jun  2.75M 1533 XX05 1794```
```01May   3.5M 1660 XX06 2108```
```02Apr 2.535M 1257 XXXX 2017```
```24Mar   2.5M 1257 XXXX 1989```
```27Feb  2.73M 2270 XX05 1203```
```18Feb  2.75M 1232 XX07 2232```
```10Jan  3.65M 1660 XX06 2199```
```------------2024-----------```
```08Oct 2.625M 1628 XX06 1612```
```27Sep 2.225M 1257 XXXX 1770```
```22Aug 2.975M 1384 XX02 2150```
```06Jun   2.4M 1249 XX05 1922```
```04Mar   2.8M 1257 XXXX 2228```
```19Feb  2.35M 1414 XX01 1662```
```------------2023-----------```
```04Sep  2.55M 1580 XX07 1614```
```23Aug   2.4M 1231 XX05 1950```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</si>
  <si>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1010160, *SALES*</t>
  </si>
  <si>
    <t>*SALES*
*TRANSACTIONS**
*CLAREN TOWERS T1+T2+P*
_Area: Downtown_
_Type: 3 bedroom apartment_
```Date   Price  BUA Type P/sf```
```------------2025-----------```
```04Dec     3M 1547 XX01 1939```
```10Nov     3M 1447 XX03 2073```
```------------2024-----------```
```28Nov  3.68M 1878 XX04 1960```
```------------2022-----------```
```14Dec   2.8M 1719 XX04 1629```
```------------2021-----------```
```04Jul  2.31M 1719 XX04 1344```
```29Mar   2.1M 1660 XX03 1265```
```19Jan 1.734M 1447 XX03 1198```
```------------2020-----------```
```12Aug  1.95M 1855 XX04 1051```
```------------2019-----------```
```21Mar 2.225M 1660 XX03 1340```
```02Jan  2.47M 1719 XX04 1437```
_Source: DLD, Databot_
_BUA - built-up area, sq.ft._
_P/sf - price per sq.ft._
_B - bedrooms; O - office_
_M - million, K- thousand_
_S - studio, R - shop_
_*Max 30 latest transactions_
www.trydatabot.com</t>
  </si>
  <si>
    <t>1010161, *MARKET</t>
  </si>
  <si>
    <t>*MARKET*
*SNAPSHOT*
*CLAREN TOWERS T1+T2+P*
_Area: Downtown_
_Type: 3 bedroom apartment_
*Price dynamics, Dirham/sq.ft.*
_(M - median value)_
```2073|                    * ```
```    |                   * *```
```    |                      ```
```    |                      ```
```    |                  *   ```
```    |                      ```
```    |            *         ```
```1391|---------------------M```
```    |             *   *    ```
```    |               **     ```
```1051|              *       ```
```____|______________________```
```    |Jan2019        Dec2025```
_Source: see table below_
*Latest sales transactions*
```Date   Price  BUA Type P/sf```
```------------2025-----------```
```04Dec     3M 1547 XX01 1939```
```10Nov     3M 1447 XX03 2073```
```------------2024-----------```
```28Nov  3.68M 1878 XX04 1960```
```------------2022-----------```
```14Dec   2.8M 1719 XX04 1629```
```------------2021-----------```
```04Jul  2.31M 1719 XX04 1344```
```29Mar   2.1M 1660 XX03 1265```
```19Jan 1.734M 1447 XX03 1198```
```------------2020-----------```
```12Aug  1.95M 1855 XX04 1051```
```------------2019-----------```
```21Mar 2.225M 1660 XX03 1340```
```02Jan  2.47M 1719 XX04 1437```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</si>
  <si>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1010197, *SALES*</t>
  </si>
  <si>
    <t>*SALES*
*TRANSACTIONS**
*CLAREN TOWERS T1+T2+P*
_Area: Downtown_
_All types/bedrooms_
```Date    Price   BUA  Type B```
```------------2026-----------```
```22Jan    1.7M   744  XX03 1```
```21Jan   2.83M  1232  XX07 2```
```13Jan    1.9M   845  XX04 1```
```13Jan   1.35M   483  XX07 S```
```12Jan    1.5M   729  XX01 1```
```------------2025-----------```
```09Dec    1.6M   744  XX02 1```
```04Dec      3M  1547  XX01 3```
```24Nov      2M   869  XX04 1```
```14Nov   1.56M   744  XX03 1```
```13Nov   2.05M   842  XX06 1```
```10Nov      3M  1447  XX03 3```
```05Nov    2.2M  1257  XXXX 2```
```31Oct  1.225M   483  XX07 S```
```23Sep   1.85M   861  XX03 1```
```23Sep   3.43M  1660  XXXX 2```
```22Sep  1.845M   869  XX04 1```
```17Sep   3.95M  1660  XXXX 2```
```08Sep   1.06M   497  XX02 S```
```31Jul  1.375M   483  XX07 S```
```25Jul   1.55M   744  XX02 1```
```21Jul  2.844M  1888  XX06 2```
```14Jul   3.03M  1400  XX07 2```
```24Jun   1.85M   869  XX04 1```
```24Jun   2.75M  1533  XX05 2```
```09Jun  1.042M   497  XX02 S```
```02Jun  1.995M   784  XX01 1```
```01May    3.5M  1660  XX06 2```
```23Apr   1.85M  1189  XX04 1```
```17Apr  1.625M   867  XX01 1```
```17Apr   1.55M   747  XX03 1```
_Source: DLD, Databot_
_BUA - built-up area, sq.ft._
_P/sf - price per sq.ft._
_B - bedrooms; O - office_
_M - million, K- thousand_
_S - studio, R - shop_
_*Max 30 latest transactions_
www.trydatabot.com</t>
  </si>
  <si>
    <t>1010198, by code, *BUILDI</t>
  </si>
  <si>
    <t xml:space="preserve">*BUILDING*
*PROFILE*
*CLAREN TOWERS T1+T2+P*
_Area: Downtown_
_Tap&amp;hold to copy a reply_
```-------------------------```
```Report              Reply```
```-------------------------```
*Studio*
```Sales, ROI        1010148```
```Price chart       1010149```
```Rentals               n/a```
*1 B/R*
```Sales, ROI        1010152```
```Price chart       1010153```
```Rentals               n/a```
*2 B/R*
```Sales, ROI        1010156```
```Price chart       1010157```
```Rentals               n/a```
*3 B/R*
```Sales, ROI        1010160```
```Price chart       1010161```
```Rentals               n/a```
*All types/bedrooms*
```Sales, ROI        1010197```
```Rentals               n/a```
</t>
  </si>
  <si>
    <t>1010212, *SALES*</t>
  </si>
  <si>
    <r>
      <rPr/>
      <t xml:space="preserve">*SALES*
*TRANSACTIONS**
*DAMAC THE DISTINCTION*
_Area: Downtown_
_Type: studio apartment_
_Gross ROI=8.35% (confidence: low)_
_Median annual rent=80K_
```Date   Price  BUA Type P/sf```
```------------2025-----------```
```14Jul     1M  520 XX06 1923```
```02Jun   915K  520 XX06 1760```
```------------2024-----------```
```05Sep   980K  520 XX06 1885```
```31Jan  1.12M  520 XX06 2154```
```------------2022-----------```
```04Aug   817K  520 XX06 1571```
```------------2021-----------```
```10Nov   780K  520 XX06 1500```
```07Jan   490K  520 XX06  942```
```------------2020-----------```
```24Nov   570K  520 XX06 1096```
```------------2019-----------```
```28Jul   900K  520 XX06 1731```
```------------2018-----------```
```08Aug     1M  520 XX06 1923```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</si>
  <si>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Damac The Distinction</t>
  </si>
  <si>
    <t>1010213, *MARKET</t>
  </si>
  <si>
    <t>*MARKET*
*SNAPSHOT*
*DAMAC THE DISTINCTION*
_Area: Downtown_
_Type: studio apartment_
*Price dynamics, Dirham/sq.ft.*
_(M - median value)_
```2154|                  *   ```
```    |                      ```
```    |            *      * *```
```1746|---------------------M```
```    |             *      * ```
```    |                      ```
```    |                **    ```
```    |                      ```
```    |                      ```
```    |              *       ```
```942 |               *      ```
```____|______________________```
```    |Aug2018        Jul2025```
_Source: see table below_
*Latest sales transactions*
```Date   Price  BUA Type P/sf```
```------------2025-----------```
```14Jul     1M  520 XX06 1923```
```02Jun   915K  520 XX06 1760```
```------------2024-----------```
```05Sep   980K  520 XX06 1885```
```31Jan  1.12M  520 XX06 2154```
```------------2022-----------```
```04Aug   817K  520 XX06 1571```
```------------2021-----------```
```10Nov   780K  520 XX06 1500```
```07Jan   490K  520 XX06  942```
```------------2020-----------```
```24Nov   570K  520 XX06 1096```
```------------2019-----------```
```28Jul   900K  520 XX06 1731```
```------------2018-----------```
```08Aug     1M  520 XX06 1923```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</si>
  <si>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1010214, *NEW RE</t>
  </si>
  <si>
    <t>*NEW RENT*
*CONTRACTS**
_(renewals are not included)_
*DAMAC THE DISTINCTION*
_Area: Downtown_
_Type: studio apartment_
```Date  Price   BUA  Type D/s```
```------------2025-----------```
```05Dec  118K   517  XXXX 227```
```14Nov   82K   517  XXXX 159```
```09Oct 82.5K   517  XXXX 160```
```01Oct   80K   517  XXXX 155```
```27Aug   85K   517  XXXX 164```
```27Aug   85K   517  XXXX 164```
```22Aug  136K   517  XXXX 264```
```01Aug   82K   517  XXXX 159```
```------------2024-----------```
```23Oct   85K   517  XXXX 164```
```01Mar   80K   517  XXXX 155```
```------------2023-----------```
```19Dec   85K   517  XXXX 164```
```03Oct   80K   517  XXXX 155```
```------------2022-----------```
```14Nov   70K   517  XXXX 135```
```10Nov   65K   517  XXXX 126```
```11Apr   60K   517  XXXX 116```
```------------2021-----------```
```10Oct   56K   517  XXXX 108```
```08Aug   55K   517  XXXX 106```
```01Feb 46.8K   517  XXXX  91```
```------------2020-----------```
```02Feb   54K   517  XXXX 104```
```------------2019-----------```
```01Dec   50K   517  XXXX  97```
_Source: DLD, Databot_
_BUA - built-up area, sq.ft._
_P/sf - price per sq.ft._
_B - bedrooms; O - office_
_M - million, K- thousand_
_S - studio, R - shop_
_*20 latest contracts_
www.trydatabot.com</t>
  </si>
  <si>
    <t>1010216, *SALES*</t>
  </si>
  <si>
    <r>
      <rPr/>
      <t xml:space="preserve">*SALES*
*TRANSACTIONS**
*DAMAC THE DISTINCTION*
_Area: Downtown_
_Type: 1 bedroom apartment_
_Gross ROI=7%_
_Median annual rent=102.5K_
```Date   Price  BUA Type P/sf```
```------------2025-----------```
```23Dec 1.801M  919 XX03 1960```
```06Oct   1.5M  774 XX01 1938```
```25Aug 1.471M  892 XX05 1650```
```14Apr  1.05M  767 XX01 1369```
```06Mar  1.45M  766 XX01 1893```
```05Feb  1.27M  767 XX01 1656```
```31Jan  1.57M  919 XX03 1708```
```23Jan  1.38M  772 XX01 1788```
```------------2024-----------```
```25Dec 1.301M  772 XX01 1686```
```10Dec   1.3M  772 XX01 1684```
```27Nov 1.278M  767 XX01 1666```
```18Oct 1.475M  894 XX05 1650```
```15Aug   1.4M  919 XX03 1523```
```18Jul  1.38M  774 XX01 1783```
```21May 1.463M  854 XXXX 1713```
```02May   1.5M  774 XX01 1938```
```02Jan 1.406M  774 XX01 1816```
```------------2023-----------```
```26Oct  1.41M  894 XX05 1577```
```03Oct  1.46M  776 XX01 1881```
```13Sep   2.4M 1390 XX03 1727```
```17Apr 1.451M  772 XX01 1880```
```11Apr 1.729M  919 XX03 1881```
```23Feb   1.2M  774 XX01 1550```
```17Feb   1.5M  776 XX01 1933```
```------------2022-----------```
```19Oct 1.512M  892 XX05 1695```
```27Sep 1.425M  892 XX05 1598```
```19Aug 1.375M  917 XX03 1499```
```21Jul 1.425M  918 XX03 1552```
```16May 1.531M 1008 XX05 1519```
```25Apr 1.223M  767 XX01 1595```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</si>
  <si>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1010217, *MARKET</t>
  </si>
  <si>
    <t>*MARKET*
*SNAPSHOT*
*DAMAC THE DISTINCTION*
_Area: Downtown_
_Type: 1 bedroom apartment_
*Price dynamics, Dirham/sq.ft.*
_(M - median value)_
```1960|      *             **```
```    |** *             *    ```
```    |     *                ```
```    |        *     *       ```
```1720|---------------------M```
```    |  *    *       *      ```
```    |          ****  *  *  ```
```    |    *                 ```
```    |         *            ```
```    |                      ```
```1369|                  *   ```
```____|______________________```
```    |Apr2023        Dec2025```
_Source: see table below_
*Latest sales transactions*
```Date   Price  BUA Type P/sf```
```------------2025-----------```
```23Dec 1.801M  919 XX03 1960```
```06Oct   1.5M  774 XX01 1938```
```25Aug 1.471M  892 XX05 1650```
```14Apr  1.05M  767 XX01 1369```
```06Mar  1.45M  766 XX01 1893```
```05Feb  1.27M  767 XX01 1656```
```31Jan  1.57M  919 XX03 1708```
```23Jan  1.38M  772 XX01 1788```
```------------2024-----------```
```25Dec 1.301M  772 XX01 1686```
```10Dec   1.3M  772 XX01 1684```
```27Nov 1.278M  767 XX01 1666```
```18Oct 1.475M  894 XX05 1650```
```15Aug   1.4M  919 XX03 1523```
```18Jul  1.38M  774 XX01 1783```
```21May 1.463M  854 XXXX 1713```
```02May   1.5M  774 XX01 1938```
```02Jan 1.406M  774 XX01 1816```
```------------2023-----------```
```26Oct  1.41M  894 XX05 1577```
```03Oct  1.46M  776 XX01 1881```
```13Sep   2.4M 1390 XX03 1727```
```17Apr 1.451M  772 XX01 1880```
```11Apr 1.729M  919 XX03 1881```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</si>
  <si>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1010218, *NEW RE</t>
  </si>
  <si>
    <t>*NEW RENT*
*CONTRACTS**
_(renewals are not included)_
*DAMAC THE DISTINCTION*
_Area: Downtown_
_Type: 1 bedroom apartment_
```Date  Price   BUA  Type D/s```
```------------2025-----------```
```15Nov   80K   775  XXXX 103```
```17Oct  105K   893  XXXX 118```
```15Oct  100K   850  XXXX 118```
```06Oct  130K   893  XXXX 146```
```01Oct  100K   775  XXXX 129```
```01Oct  105K   893  XXXX 118```
```26Sep  110K   893  XXXX 123```
```18Sep  110K   775  XXXX 142```
```11Sep  105K   915  XXXX 115```
```01Aug  100K   915  XXXX 109```
```01Aug  105K   893  XXXX 118```
```26Jul  105K   893  XXXX 118```
```03Feb  136K   764  XXXX 178```
```20Jan  100K   775  XXXX 129```
```11Jan  100K   915  XXXX 109```
```------------2024-----------```
```28Oct  125K   915  XXXX 137```
```15Oct  100K   850  XXXX 118```
```28Sep   75K   775  XXXX  97```
```21Sep  100K   893  XXXX 112```
```18Sep  100K   775  XXXX 129```
_Source: DLD, Databot_
_BUA - built-up area, sq.ft._
_P/sf - price per sq.ft._
_B - bedrooms; O - office_
_M - million, K- thousand_
_S - studio, R - shop_
_*20 latest contracts_
www.trydatabot.com</t>
  </si>
  <si>
    <t>1010220, *SALES*</t>
  </si>
  <si>
    <t>*SALES*
*TRANSACTIONS**
*DAMAC THE DISTINCTION*
_Area: Downtown_
_Type: 2 bedroom apartment_
_Gross ROI=6.81%_
_Median annual rent=150K_
```Date   Price  BUA Type P/sf```
```------------2025-----------```
```24Nov  2.35M 1426 XX07 1648```
```10Nov 2.262M 1320 XX02 1713```
```16Sep 2.179M 1320 XX02 1651```
```18Jul 2.234M 1324 XX02 1688```
```28May   2.1M 1238 XXXX 1696```
```17Mar 2.044M 1238 XXXX 1651```
```16Jan   2.6M 1426 XX07 1823```
```13Jan     2M 1326 XX02 1508```
```07Jan   2.4M 1326 XX02 1810```
```------------2024-----------```
```26Dec   2.8M 1242 XXXX 2254```
```19Nov   2.3M 1238 XXXX 1858```
```19Nov   2.4M 1326 XX02 1810```
```04Oct     2M 1238 XXXX 1616```
```04Oct     2M 1320 XX02 1515```
```24Sep 2.111M 1238 XXXX 1705```
```26Aug 2.364M 1326 XX02 1783```
```15Jul   3.1M 1424 XX07 2177```
```02Jul     3M 1324 XX02 2266```
```31May 2.349M 1326 XX02 1771```
```29Apr 2.363M 1326 XX02 1782```
```23Apr   2.2M 1242 XXXX 1771```
```19Apr   2.3M 1242 XXXX 1852```
```04Apr 2.004M 1316 XX02 1523```
```05Mar   2.8M 1242 XXXX 2254```
```------------2023-----------```
```22Nov   2.5M 1430 XX07 1748```
```13Sep 3.364M 1859 XX04 1810```
```24Aug 2.949M 1324 XX02 2228```
```21Aug   900K 1324 XX02  680```
```22Jun 2.475M 1320 XX02 1875```
```25May 2.475M 1320 XX02 1875```
_Source: DLD, Databot_
_BUA - built-up area, sq.ft._
_P/sf - price per sq.ft._
_B - bedrooms; O - office_
_M - million, K- thousand_
_S - studio, R - shop_
_*Max 30 latest transactions_
www.trydatabot.com</t>
  </si>
  <si>
    <t>1010221, *MARKET</t>
  </si>
  <si>
    <t>*MARKET*
*SNAPSHOT*
*DAMAC THE DISTINCTION*
_Area: Downtown_
_Type: 2 bedroom apartment_
*Price dynamics, Dirham/sq.ft.*
_(M - median value)_
```2266|    *       *         ```
```    |     *                ```
```    |                      ```
```    |                      ```
```    |                      ```
```    |*          *          ```
```    |  *   *   *  * *      ```
```1771|---------------------M```
```    | * *   *            * ```
```    |         *      * ** *```
```1508|        *     *       ```
```____|______________________```
```    |Apr2024        Nov2025```
_Source: see table below_
*Latest sales transactions*
```Date   Price  BUA Type P/sf```
```------------2025-----------```
```24Nov  2.35M 1426 XX07 1648```
```10Nov 2.262M 1320 XX02 1713```
```16Sep 2.179M 1320 XX02 1651```
```18Jul 2.234M 1324 XX02 1688```
```28May   2.1M 1238 XXXX 1696```
```17Mar 2.044M 1238 XXXX 1651```
```16Jan   2.6M 1426 XX07 1823```
```13Jan     2M 1326 XX02 1508```
```07Jan   2.4M 1326 XX02 1810```
```------------2024-----------```
```26Dec   2.8M 1242 XXXX 2254```
```19Nov   2.3M 1238 XXXX 1858```
```19Nov   2.4M 1326 XX02 1810```
```04Oct     2M 1238 XXXX 1616```
```04Oct     2M 1320 XX02 1515```
```24Sep 2.111M 1238 XXXX 1705```
```26Aug 2.364M 1326 XX02 1783```
```15Jul   3.1M 1424 XX07 2177```
```02Jul     3M 1324 XX02 2266```
```31May 2.349M 1326 XX02 1771```
```29Apr 2.363M 1326 XX02 1782```
```23Apr   2.2M 1242 XXXX 1771```
```19Apr   2.3M 1242 XXXX 1852```
```04Apr 2.004M 1316 XX02 1523```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</si>
  <si>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1010222, *NEW RE</t>
  </si>
  <si>
    <t>*NEW RENT*
*CONTRACTS**
_(renewals are not included)_
*DAMAC THE DISTINCTION*
_Area: Downtown_
_Type: 2 bedroom apartment_
```Date  Price   BUA  Type D/s```
```------------2025-----------```
```24Dec  130K  1238  XXXX 105```
```20Dec  170K  1238  XXXX 137```
```15Dec  147K  1324  XXXX 111```
```03Dec  150K  1238  XXXX 121```
```24Nov  210K  1238  XXXX 170```
```20Nov  150K  1324  XXXX 113```
```01Nov  150K  1324  XXXX 113```
```06Oct  145K  1324  XXXX 110```
```05Oct  140K  1238  XXXX 113```
```03Oct  158K  1432  XXXX 110```
```25Sep  150K  1238  XXXX 121```
```19Sep  145K  1432  XXXX 101```
```10Sep  150K  1324  XXXX 113```
```08Sep  160K  1238  XXXX 129```
```27Aug  155K  1432  XXXX 108```
```20Aug  145K  1324  XXXX 110```
```11Aug  150K  1421  XXXX 106```
```04Aug  130K  1238  XXXX 105```
```28Jun  180K  1238  XXXX 145```
```05Jun  100K  1421  XXXX  70```
_Source: DLD, Databot_
_BUA - built-up area, sq.ft._
_P/sf - price per sq.ft._
_B - bedrooms; O - office_
_M - million, K- thousand_
_S - studio, R - shop_
_*20 latest contracts_
www.trydatabot.com</t>
  </si>
  <si>
    <t>1010224, *SALES*</t>
  </si>
  <si>
    <t>*SALES*
*TRANSACTIONS**
*DAMAC THE DISTINCTION*
_Area: Downtown_
_Type: 3 bedroom apartment_
_Gross ROI=6.93%_
_Median annual rent=210.3K_
```Date   Price  BUA Type P/sf```
```------------2025-----------```
```18Nov 3.168M 1755 XX06 1805```
```16Sep 3.561M 2158 XX03 1650```
```04Aug 3.036M 1770 XX07 1715```
```25Apr   3.6M 2219 XX03 1622```
```25Feb 3.256M 1741 XX06 1870```
```23Jan 2.921M 1770 XX07 1650```
```------------2024-----------```
```20Aug 3.465M 1678 XX06 2065```
```09Aug   3.4M 1778 XX05 1912```
```03Jan 2.995M 1678 XX06 1785```
```------------2023-----------```
```25Sep  3.15M 1755 XX06 1795```
```11Sep     3M 1778 XX05 1687```
```24Aug  2.73M 2158 XX03 1265```
```17Mar 2.391M 1770 XX07 1351```
```03Mar   2.5M 1678 XX06 1490```
```------------2022-----------```
```15Dec 3.255M 1770 XX07 1839```
```26Oct   4.8M 2158 XX03 2224```
```19Sep   2.3M 1213 XX03 1896```
```18Jul     3M 2158 XX03 1390```
```23May 2.714M 1777 XX06 1527```
```18May 2.852M 1849 XX02 1542```
```09Mar 2.541M 1720 XX06 1477```
```------------2021-----------```
```09Dec 2.876M 2158 XX03 1333```
```07Dec  1.91M 1213 XX03 1575```
```22Nov 1.911M 1214 XX04 1574```
```03Jun  1.85M 1755 XX06 1054```
```07Jan   1.5M 1770 XX07  847```
```------------2019-----------```
```23Dec   2.4M 1755 XX06 1368```
```------------2018-----------```
```08Aug   3.4M 1770 XX07 1921```
```08Aug 4.316M 2158 XX03 2000```
```22Jul   4.3M 2158 XX03 1993```
_Source: DLD, Databot_
_BUA - built-up area, sq.ft._
_P/sf - price per sq.ft._
_B - bedrooms; O - office_
_M - million, K- thousand_
_S - studio, R - shop_
_*Max 30 latest transactions_
www.trydatabot.com</t>
  </si>
  <si>
    <t>1010225, *MARKET</t>
  </si>
  <si>
    <t>*MARKET*
*SNAPSHOT*
*DAMAC THE DISTINCTION*
_Area: Downtown_
_Type: 3 bedroom apartment_
*Price dynamics, Dirham/sq.ft.*
_(M - median value)_
```2224|      *               ```
```    |                      ```
```    |               *      ```
```    |     *        *       ```
```    |       *    *    *   *```
```    |             *     *  ```
```1669|---------------------M```
```    |           *    * * * ```
```    |  **                  ```
```    | *  *   *             ```
```1265|*        **           ```
```____|______________________```
```    |Dec2021        Nov2025```
_Source: see table below_
*Latest sales transactions*
```Date   Price  BUA Type P/sf```
```------------2025-----------```
```18Nov 3.168M 1755 XX06 1805```
```16Sep 3.561M 2158 XX03 1650```
```04Aug 3.036M 1770 XX07 1715```
```25Apr   3.6M 2219 XX03 1622```
```25Feb 3.256M 1741 XX06 1870```
```23Jan 2.921M 1770 XX07 1650```
```------------2024-----------```
```20Aug 3.465M 1678 XX06 2065```
```09Aug   3.4M 1778 XX05 1912```
```03Jan 2.995M 1678 XX06 1785```
```------------2023-----------```
```25Sep  3.15M 1755 XX06 1795```
```11Sep     3M 1778 XX05 1687```
```24Aug  2.73M 2158 XX03 1265```
```17Mar 2.391M 1770 XX07 1351```
```03Mar   2.5M 1678 XX06 1490```
```------------2022-----------```
```15Dec 3.255M 1770 XX07 1839```
```26Oct   4.8M 2158 XX03 2224```
```19Sep   2.3M 1213 XX03 1896```
```18Jul     3M 2158 XX03 1390```
```23May 2.714M 1777 XX06 1527```
```18May 2.852M 1849 XX02 1542```
```09Mar 2.541M 1720 XX06 1477```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</si>
  <si>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1010226, *NEW RE</t>
  </si>
  <si>
    <t>*NEW RENT*
*CONTRACTS**
_(renewals are not included)_
*DAMAC THE DISTINCTION*
_Area: Downtown_
_Type: 3 bedroom apartment_
```Date  Price   BUA  Type D/s```
```------------2025-----------```
```30Dec  200K  1765  XXXX 113```
```26Dec  218K  1755  XXXX 124```
```25Dec  180K  1216  XXXX 148```
```01Dec  230K  2153  XXXX 107```
```15Nov  210K  2153  XXXX  98```
```22Oct  210K  1765  XXXX 119```
```22Oct  210K  1765  XXXX 119```
```15Oct  230K  1755  XXXX 131```
```01Sep  211K  2153  XXXX  98```
```01Aug  195K  1722  XXXX 113```
```12May  170K  1216  XXXX 140```
```05Apr  250K  1776  XXXX 141```
```22Jan  230K  1776  XXXX 130```
```------------2024-----------```
```15Nov  215K  1755  XXXX 123```
```01Sep  300K  1722  XXXX 174```
```14Aug  195K  1755  XXXX 111```
```12Mar  165K  1216  XXXX 136```
```16Feb  210K  1765  XXXX 119```
```------------2023-----------```
```13Nov  220K  1755  XXXX 125```
```13Nov  220K  1755  XXXX 125```
_Source: DLD, Databot_
_BUA - built-up area, sq.ft._
_P/sf - price per sq.ft._
_B - bedrooms; O - office_
_M - million, K- thousand_
_S - studio, R - shop_
_*20 latest contracts_
www.trydatabot.com</t>
  </si>
  <si>
    <t>1010246, *NEW RE</t>
  </si>
  <si>
    <t>*NEW RENT*
*CONTRACTS**
_(renewals are not included)_
*DAMAC THE DISTINCTION*
_Area: Downtown_
_Type: _
```Date  Price   BUA  Type D/s```
```------------2022-----------```
```01Apr  900K  5134  XXXX 175```
```01Apr  900K  5134  XXXX 175```
```------------2018-----------```
```02Aug  853K  5134  XXXX 166```
```01May  473K  1916  XXXX 247```
```01May  473K  1916  XXXX 247```
```------------2016-----------```
```01Dec  511K  5134  XXXX 100```
_Source: DLD, Databot_
_BUA - built-up area, sq.ft._
_P/sf - price per sq.ft._
_B - bedrooms; O - office_
_M - million, K- thousand_
_S - studio, R - shop_
_*20 latest contracts_
www.trydatabot.com</t>
  </si>
  <si>
    <t>1010260, *NEW RE</t>
  </si>
  <si>
    <t>*NEW RENT*
*CONTRACTS**
_(renewals are not included)_
*DAMAC THE DISTINCTION*
_Area: Downtown_
_All types/bedrooms_
```Date    Price   BUA Type  B```
```------------2026-----------```
```21Jan    100K   764 XXXX  check```
```15Jan    110K   915 XXXX  check```
```15Jan    100K   915 XXXX  check```
```02Jan    100K   850 XXXX  check```
```------------2025-----------```
```30Dec    200K  1765 XXXX  3```
```26Dec    218K  1755 XXXX  3```
```25Dec    180K  1216 XXXX  3```
```24Dec  129.6K  1238 XXXX  2```
```22Dec    170K  1238 XXXX  check```
```20Dec    170K  1238 XXXX  2```
```20Dec    150K  1238 XXXX  check```
```15Dec    147K  1324 XXXX  2```
```05Dec  117.6K   517 XXXX  S```
```03Dec    150K  1238 XXXX  2```
```01Dec    230K  2153 XXXX  3```
```26Nov    230K  1432 XXXX  check```
```24Nov    210K  1238 XXXX  2```
```20Nov    150K  1324 XXXX  2```
```15Nov    210K  2153 XXXX  3```
```15Nov     80K   775 XXXX  1```
_Source: DLD, Databot_
_BUA - built-up area, sq.ft._
_P/sf - price per sq.ft._
_B - bedrooms; O - office_
_M - million, K- thousand_
_S - studio, R - shop_
_*20 latest contracts_
www.trydatabot.com</t>
  </si>
  <si>
    <t>1010261, *SALES*</t>
  </si>
  <si>
    <t>*SALES*
*TRANSACTIONS**
*DAMAC THE DISTINCTION*
_Area: Downtown_
_All types/bedrooms_
```Date    Price   BUA  Type B```
```------------2025-----------```
```23Dec  1.801M   919  XX03 1```
```24Nov   2.35M  1426  XX07 2```
```18Nov  3.168M  1755  XX06 3```
```10Nov  2.262M  1320  XX02 2```
```06Oct    1.5M   774  XX01 1```
```16Sep  3.561M  2158  XX03 3```
```16Sep  2.179M  1320  XX02 2```
```25Aug  1.471M   892  XX05 1```
```04Aug  3.036M  1770  XX07 3```
```18Jul  2.234M  1324  XX02 2```
```14Jul      1M   520  XX06 S```
```02Jun    915K   520  XX06 S```
```28May    2.1M  1238  XXXX 2```
```25Apr    3.6M  2219  XX03 3```
```14Apr   1.05M   767  XX01 1```
```17Mar  2.044M  1238  XXXX 2```
```06Mar   1.45M   766  XX01 1```
```25Feb  3.256M  1741  XX06 3```
```05Feb   1.27M   767  XX01 1```
```31Jan   1.57M   919  XX03 1```
```23Jan   1.38M   772  XX01 1```
```23Jan  2.921M  1770  XX07 3```
```16Jan    2.6M  1426  XX07 2```
```13Jan      2M  1326  XX02 2```
```07Jan    2.4M  1326  XX02 2```
```------------2024-----------```
```26Dec    2.8M  1242  XXXX 2```
```25Dec  1.301M   772  XX01 1```
```10Dec    1.3M   772  XX01 1```
```27Nov  1.278M   767  XX01 1```
```19Nov    2.3M  1238  XXXX 2```
_Source: DLD, Databot_
_BUA - built-up area, sq.ft._
_P/sf - price per sq.ft._
_B - bedrooms; O - office_
_M - million, K- thousand_
_S - studio, R - shop_
_*Max 30 latest transactions_
www.trydatabot.com</t>
  </si>
  <si>
    <t>1010262, Distinction, *BUILDI</t>
  </si>
  <si>
    <t xml:space="preserve">*BUILDING*
*PROFILE*
*DAMAC THE DISTINCTION*
_Area: Downtown_
_Tap&amp;hold to copy a reply_
```-------------------------```
```Report              Reply```
```-------------------------```
*Studio*
```Sales, ROI        1010212```
```Price chart       1010213```
```Rentals           1010214```
*1 B/R*
```Sales, ROI        1010216```
```Price chart       1010217```
```Rentals           1010218```
*2 B/R*
```Sales, ROI        1010220```
```Price chart       1010221```
```Rentals           1010222```
*3 B/R*
```Sales, ROI        1010224```
```Price chart       1010225```
```Rentals           1010226```
*All types/bedrooms*
```Sales, ROI        1010261```
```Rentals           1010260```
</t>
  </si>
  <si>
    <t>1010276, *SALES*</t>
  </si>
  <si>
    <r>
      <rPr/>
      <t xml:space="preserve">*SALES*
*TRANSACTIONS**
*DT1*
_Area: Downtown_
_Type: studio apartment_
_Gross ROI=6.72% (confidence: low)_
_Median annual rent=92K_
```Date   Price  BUA Type P/sf```
```------------2025-----------```
```03Jun 1.365M  536 XX07 2547```
```17Apr 1.375M  536 XX01 2565```
```07Apr 1.375M  536 XX01 2565```
```26Feb 1.285M  536 XX01 2397```
```------------2024-----------```
```11Nov   350K  268 XXXX 1306```
```20Aug   1.3M  536 XX01 2425```
```16May   650K  536 XX07 1213```
```------------2023-----------```
```19Oct  1.35M  536 XX01 2519```
```07Sep  1.35M  536 XX07 2519```
```06Jul 1.255M  536 XX07 2341```
```22Jun  1.35M  536 XX01 2519```
```11May  1.23M  536 XX01 2295```
```09Feb  1.21M  536 XX07 2257```
```------------2022-----------```
```29Mar 1.151M  536 XX01 2147```
```07Feb  1.22M  536 XX07 2276```
```------------2021-----------```
```26Dec 1.101M  536 XX01 2054```
```24Nov 1.255M  536 XX07 2341```
```14Nov 1.217M  536 XX07 2270```
```14Nov 1.217M  536 XX07 2270```
```28Oct 1.084M  536 XX01 2022```
```13Jun  1.92M 1131 XX04 1698```
```13Jun 904.7K  536 XX01 1688```
```13Jun 904.7K  536 XX07 1688```
```10Jun 1.317M  776 XX01 1697```
```19May 1.032M  536 XX01 1925```
```18May 1.017M  536 XX07 1897```
```30Mar 1.001M  536 XX01 1868```
```24Mar 1.059M  536 XX07 1975```
```07Feb 1.172M  536 XX01 2186```
```25Jan 960.8K  536 XX07 1793```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</si>
  <si>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DT1</t>
  </si>
  <si>
    <t>1010277, *MARKET</t>
  </si>
  <si>
    <t>*MARKET*
*SNAPSHOT*
*DT1*
_Area: Downtown_
_Type: studio apartment_
*Price dynamics, Dirham/sq.ft.*
_(M - median value)_
```2565|           * **    ***```
```    |                * *   ```
```2286|---------------------M```
```    |   *** * ** *         ```
```    |        *             ```
```    |  *   *               ```
```    |                      ```
```    |**                    ```
```    |                      ```
```    |                      ```
```1213|               * *    ```
```____|______________________```
```    |Jun2021        Jun2025```
_Source: see table below_
*Latest sales transactions*
```Date   Price  BUA Type P/sf```
```------------2025-----------```
```03Jun 1.365M  536 XX07 2547```
```17Apr 1.375M  536 XX01 2565```
```07Apr 1.375M  536 XX01 2565```
```26Feb 1.285M  536 XX01 2397```
```------------2024-----------```
```11Nov   350K  268 XXXX 1306```
```20Aug   1.3M  536 XX01 2425```
```16May   650K  536 XX07 1213```
```------------2023-----------```
```19Oct  1.35M  536 XX01 2519```
```07Sep  1.35M  536 XX07 2519```
```06Jul 1.255M  536 XX07 2341```
```22Jun  1.35M  536 XX01 2519```
```11May  1.23M  536 XX01 2295```
```09Feb  1.21M  536 XX07 2257```
```------------2022-----------```
```29Mar 1.151M  536 XX01 2147```
```07Feb  1.22M  536 XX07 2276```
```------------2021-----------```
```26Dec 1.101M  536 XX01 2054```
```24Nov 1.255M  536 XX07 2341```
```14Nov 1.217M  536 XX07 2270```
```14Nov 1.217M  536 XX07 2270```
```28Oct 1.084M  536 XX01 2022```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</si>
  <si>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1010278, *NEW RE</t>
  </si>
  <si>
    <t>*NEW RENT*
*CONTRACTS**
_(renewals are not included)_
*DT1*
_Area: Downtown_
_Type: studio apartment_
```Date  Price   BUA  Type D/s```
```------------2026-----------```
```17Jan  104K   538  XXXX 194```
```15Jan  100K   538  XXXX 186```
```------------2025-----------```
```28Oct  100K   538  XXXX 186```
```01Aug   85K   538  XXXX 158```
```17Jul   90K   538  XXXX 167```
```10Jun  110K   538  XXXX 204```
```07Apr   88K   538  XXXX 164```
```06Mar  110K   538  XXXX 204```
```01Mar  105K   538  XXXX 195```
```23Feb   93K   538  XXXX 173```
```11Jan  105K  1130  XXXX  93```
```------------2024-----------```
```05Dec   82K   538  XXXX 152```
```05Dec   92K   538  XXXX 171```
```30Nov   85K   538  XXXX 158```
```09Sep   90K   538  XXXX 167```
```15Jun   90K   538  XXXX 167```
```29Feb   70K   538  XXXX 130```
```09Feb   92K   538  XXXX 171```
```------------2023-----------```
```15Dec   92K   538  XXXX 171```
```30Nov   85K   538  XXXX 158```
_Source: DLD, Databot_
_BUA - built-up area, sq.ft._
_P/sf - price per sq.ft._
_B - bedrooms; O - office_
_M - million, K- thousand_
_S - studio, R - shop_
_*20 latest contracts_
www.trydatabot.com</t>
  </si>
  <si>
    <t>1010280, *SALES*</t>
  </si>
  <si>
    <r>
      <rPr/>
      <t xml:space="preserve">*SALES*
*TRANSACTIONS**
*DT1*
_Area: Downtown_
_Type: 1 bedroom apartment_
_Gross ROI=6.12% (confidence: low)_
_Median annual rent=150K_
```Date   Price  BUA Type P/sf```
```------------2025-----------```
```18Jun   2.6M 1036 XX03 2510```
```20May  2.45M  993 XX04 2467```
```25Feb   2.3M  993 XX04 2316```
```------------2024-----------```
```22Nov   2.3M 1036 XX03 2220```
```27Aug  2.34M 1036 XX05 2259```
```16Aug  2.35M 1036 XX05 2268```
```05Aug   2.3M 1036 XX05 2220```
```02Jul   2.3M 1036 XX03 2220```
```04Jun   2.3M 1036 XX05 2220```
```13May 2.175M  993 XX04 2190```
```10May  2.15M  993 XX04 2165```
```03Apr  2.15M  993 XX04 2165```
```21Feb  2.14M 1036 XX05 2066```
```08Feb  2.35M 1036 XX05 2268```
```------------2023-----------```
```06Dec   2.5M 1036 XX03 2413```
```10Nov     2M 1036 XX05 1931```
```02Nov 2.215M 1036 XX03 2138```
```31Jul 2.075M 1036 XX03 2003```
```17Jul 1.504M 1036 XX03 1452```
```27Apr   2.3M 1036 XX05 2220```
```14Feb     2M 1036 XX03 1931```
```05Jan  2.05M 1036 XX05 1979```
```05Jan   2.2M 1036 XX03 2124```
```------------2022-----------```
```06Sep   1.8M 1036 XX05 1737```
```23May  2.22M  993 XX04 2235```
```10May 2.317M 1036 XX03 2236```
```03Mar 2.244M  993 XX04 2260```
```------------2021-----------```
```20Dec  1.67M 1036 XX05 1612```
```15Dec 2.106M 1036 XX03 2033```
```14Jun 1.751M 1036 XX03 1690```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</si>
  <si>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1010281, *MARKET</t>
  </si>
  <si>
    <t>*MARKET*
*SNAPSHOT*
*DT1*
_Area: Downtown_
_Type: 1 bedroom apartment_
*Price dynamics, Dirham/sq.ft.*
_(M - median value)_
```2510|                    **```
```    |       *              ```
```    |        *       ** *  ```
```2220|---------------------M```
```    |  *       ******  *   ```
```    |     *   *            ```
```    |**  * *               ```
```    |                      ```
```    |                      ```
```    |                      ```
```1452|   *                  ```
```____|______________________```
```    |Jan2023        Jun2025```
_Source: see table below_
*Latest sales transactions*
```Date   Price  BUA Type P/sf```
```------------2025-----------```
```18Jun   2.6M 1036 XX03 2510```
```20May  2.45M  993 XX04 2467```
```25Feb   2.3M  993 XX04 2316```
```------------2024-----------```
```22Nov   2.3M 1036 XX03 2220```
```27Aug  2.34M 1036 XX05 2259```
```16Aug  2.35M 1036 XX05 2268```
```05Aug   2.3M 1036 XX05 2220```
```02Jul   2.3M 1036 XX03 2220```
```04Jun   2.3M 1036 XX05 2220```
```13May 2.175M  993 XX04 2190```
```10May  2.15M  993 XX04 2165```
```03Apr  2.15M  993 XX04 2165```
```21Feb  2.14M 1036 XX05 2066```
```08Feb  2.35M 1036 XX05 2268```
```------------2023-----------```
```06Dec   2.5M 1036 XX03 2413```
```10Nov     2M 1036 XX05 1931```
```02Nov 2.215M 1036 XX03 2138```
```31Jul 2.075M 1036 XX03 2003```
```17Jul 1.504M 1036 XX03 1452```
```27Apr   2.3M 1036 XX05 2220```
```14Feb     2M 1036 XX03 1931```
```05Jan  2.05M 1036 XX05 1979```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</si>
  <si>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1010282, *NEW RE</t>
  </si>
  <si>
    <t>*NEW RENT*
*CONTRACTS**
_(renewals are not included)_
*DT1*
_Area: Downtown_
_Type: 1 bedroom apartment_
```Date  Price   BUA  Type D/s```
```------------2026-----------```
```17Jan  165K   990  XXXX 167```
```------------2025-----------```
```11Dec  165K  1033  XXXX 160```
```20Oct  155K  1033  XXXX 150```
```13Oct  158K   990  XXXX 160```
```13Oct  145K  1033  XXXX 140```
```15Sep  155K   990  XXXX 157```
```28Jun  144K  1033  XXXX 140```
```------------2024-----------```
```06Dec  115K   990  XXXX 116```
```22Nov  150K   990  XXXX 152```
```18Nov  150K  1033  XXXX 145```
```01Nov  125K   990  XXXX 126```
```27Oct  115K   990  XXXX 116```
```15Oct  150K   990  XXXX 152```
```19Jun  170K  1033  XXXX 165```
```15May  125K  1033  XXXX 121```
```01May  162K  1033  XXXX 157```
```01May 1.62M  1033  XXXX1568```
```04Apr  140K  1033  XXXX 136```
```04Apr  140K  1033  XXXX 136```
```15Mar  160K  1033  XXXX 155```
_Source: DLD, Databot_
_BUA - built-up area, sq.ft._
_P/sf - price per sq.ft._
_B - bedrooms; O - office_
_M - million, K- thousand_
_S - studio, R - shop_
_*20 latest contracts_
www.trydatabot.com</t>
  </si>
  <si>
    <t>1010284, *SALES*</t>
  </si>
  <si>
    <r>
      <rPr/>
      <t xml:space="preserve">*SALES*
*TRANSACTIONS**
*DT1*
_Area: Downtown_
_Type: 2 bedroom apartment_
_Gross ROI=6.93%_
_Median annual rent=232.5K_
```Date   Price  BUA Type P/sf```
```------------2025-----------```
```11Nov   4.2M 1716 XX09 2448```
```02Jul 4.962M 3392 XX06 1463```
```02Jul 2.495M 1716 XX09 1454```
```26Jun 2.437M 1707 XX10 1428```
```11Apr  3.85M 1527 XX06 2521```
```07Apr   4.2M 1716 XX09 2448```
```------------2024-----------```
```07Aug   3.6M 1527 XX06 2358```
```06Jun   3.8M 1527 XX06 2489```
```15Apr     3M 1527 XX02 1965```
```01Feb 3.475M 1527 XX06 2276```
```------------2023-----------```
```06Oct   3.8M 1707 XX10 2226```
```16Aug 2.211M 1527 XX06 1448```
```20Jul  2.75M 1527 XX02 1801```
```17Jul 2.211M 1527 XX02 1448```
```17Jul 2.211M 1527 XX06 1448```
```07Jun   3.4M 1527 XX06 2227```
```05Jun 3.425M 1527 XX06 2243```
```01May 3.425M 1527 XX02 2243```
```10Apr   3.4M 1527 XX06 2227```
```05Jan 3.125M 1527 XX06 2046```
```------------2022-----------```
```04Oct 2.905M 1716 XX09 1693```
```15Sep 3.175M 1716 XX09 1850```
```03Aug 4.121M 1716 XX09 2401```
```28Jun   3.3M 1707 XX10 1933```
```31Jan 3.449M 1707 XX10 2020```
```26Jan   3.4M 1527 XX02 2227```
```------------2021-----------```
```27Dec 2.669M 1527 XX02 1748```
```14Dec 3.114M 1527 XX06 2039```
```28Nov 3.451M 1716 XX09 2011```
```24Oct 3.131M 1527 XX06 2050```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</si>
  <si>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1010285, *MARKET</t>
  </si>
  <si>
    <t>*MARKET*
*SNAPSHOT*
*DT1*
_Area: Downtown_
_Type: 2 bedroom apartment_
*Price dynamics, Dirham/sq.ft.*
_(M - median value)_
```2521|              *  *    ```
```    |               **    *```
```    |            *         ```
```    |   ****    *          ```
```2136|---------------------M```
```    |  *                   ```
```    |             *        ```
```    |*                     ```
```    |         *            ```
```    | *                    ```
```1428|       ** *       *** ```
```____|______________________```
```    |Sep2022        Nov2025```
_Source: see table below_
*Latest sales transactions*
```Date   Price  BUA Type P/sf```
```------------2025-----------```
```11Nov   4.2M 1716 XX09 2448```
```02Jul 4.962M 3392 XX06 1463```
```02Jul 2.495M 1716 XX09 1454```
```26Jun 2.437M 1707 XX10 1428```
```11Apr  3.85M 1527 XX06 2521```
```07Apr   4.2M 1716 XX09 2448```
```------------2024-----------```
```07Aug   3.6M 1527 XX06 2358```
```06Jun   3.8M 1527 XX06 2489```
```15Apr     3M 1527 XX02 1965```
```01Feb 3.475M 1527 XX06 2276```
```------------2023-----------```
```06Oct   3.8M 1707 XX10 2226```
```16Aug 2.211M 1527 XX06 1448```
```20Jul  2.75M 1527 XX02 1801```
```17Jul 2.211M 1527 XX02 1448```
```17Jul 2.211M 1527 XX06 1448```
```07Jun   3.4M 1527 XX06 2227```
```05Jun 3.425M 1527 XX06 2243```
```01May 3.425M 1527 XX02 2243```
```10Apr   3.4M 1527 XX06 2227```
```05Jan 3.125M 1527 XX06 2046```
```------------2022-----------```
```04Oct 2.905M 1716 XX09 1693```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</si>
  <si>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1010286, *NEW RE</t>
  </si>
  <si>
    <t>*NEW RENT*
*CONTRACTS**
_(renewals are not included)_
*DT1*
_Area: Downtown_
_Type: 2 bedroom apartment_
```Date  Price   BUA  Type D/s```
```------------2025-----------```
```13Dec  235K  1711  XXXX 137```
```17Nov  230K  1711  XXXX 134```
```01Oct  235K  1528  XXXX 154```
```19Sep  230K  1711  XXXX 134```
```18Aug  230K  1528  XXXX 151```
```10Aug  230K  1528  XXXX 151```
```29Apr  265K  1528  XXXX 173```
```29Apr  265K  1528  XXXX 173```
```24Mar  260K  2336  XXXX 111```
```06Mar  220K  1528  XXXX 144```
```------------2024-----------```
```16Dec  245K  1711  XXXX 143```
```04Dec  224K  1711  XXXX 131```
```15Nov  315K  1711  XXXX 184```
```09Nov   42K  1528  XXXX  27```
```09Nov  265K  1528  XXXX 173```
```30Sep  247K  1528  XXXX 162```
```07Sep  175K  1711  XXXX 102```
```01Aug  240K  1528  XXXX 157```
```01Aug  230K  1711  XXXX 134```
```05Jul  230K  1528  XXXX 151```
_Source: DLD, Databot_
_BUA - built-up area, sq.ft._
_P/sf - price per sq.ft._
_B - bedrooms; O - office_
_M - million, K- thousand_
_S - studio, R - shop_
_*20 latest contracts_
www.trydatabot.com</t>
  </si>
  <si>
    <t>1010288, *SALES*</t>
  </si>
  <si>
    <t>*SALES*
*TRANSACTIONS**
*DT1*
_Area: Downtown_
_Type: 3 bedroom apartment_
```Date   Price  BUA Type P/sf```
```------------2025-----------```
```26Jun 4.418M 2536 XX08 1742```
```12Jun     5M 2536 XX08 1972```
```------------2024-----------```
```10Jan   6.8M 2536 XXXX 2681```
```------------2023-----------```
```31May     7M 3938 XXXX 1778```
```------------2022-----------```
```04Oct 4.271M 2536 XX08 1684```
```03Oct 4.271M 2536 XX08 1684```
```20May 6.001M 3253 XX03 1845```
```08Mar 182.7K 2536 XX08   72```
```------------2021-----------```
```25Nov  5.22M 2536 XX08 2058```
```20Sep   5.1M 2536 XX08 2011```
```13Jun 4.271M 2536 XX08 1684```
```13Jun 4.271M 2536 XX08 1684```
```27Apr 4.428M 2536 XX08 1746```
```13Apr  4.34M 2536 XX08 1711```
```11Apr  4.05M 2536 XX08 1597```
```------------2020-----------```
```17Mar 7.309M 3938 XX02 1856```
```------------2019-----------```
```16Dec 5.441M 6091 XX05  893```
```16Dec  3.69M 2536 XX08 1455```
```16Dec  3.55M 2536 XX08 1400```
_Source: DLD, Databot_
_BUA - built-up area, sq.ft._
_P/sf - price per sq.ft._
_B - bedrooms; O - office_
_M - million, K- thousand_
_S - studio, R - shop_
_*Max 30 latest transactions_
www.trydatabot.com</t>
  </si>
  <si>
    <t>1010289, *MARKET</t>
  </si>
  <si>
    <t>*MARKET*
*SNAPSHOT*
*DT1*
_Area: Downtown_
_Type: 3 bedroom apartment_
*Price dynamics, Dirham/sq.ft.*
_(M - median value)_
```2681|                   *  ```
```    |                      ```
```    |             *        ```
```    |      *     *  *  * * ```
```1711|---------------------M```
```    |       *****    **   *```
```    |   **                 ```
```    |                      ```
```    |     *                ```
```    |                      ```
```72 |***           *       ```
```____|______________________```
```    |Dec2019        Jun2025```
_Source: see table below_
*Latest sales transactions*
```Date   Price  BUA Type P/sf```
```------------2025-----------```
```26Jun 4.418M 2536 XX08 1742```
```12Jun     5M 2536 XX08 1972```
```------------2024-----------```
```10Jan   6.8M 2536 XXXX 2681```
```------------2023-----------```
```31May     7M 3938 XXXX 1778```
```------------2022-----------```
```04Oct 4.271M 2536 XX08 1684```
```03Oct 4.271M 2536 XX08 1684```
```20May 6.001M 3253 XX03 1845```
```08Mar 182.7K 2536 XX08   72```
```------------2021-----------```
```25Nov  5.22M 2536 XX08 2058```
```20Sep   5.1M 2536 XX08 2011```
```13Jun 4.271M 2536 XX08 1684```
```13Jun 4.271M 2536 XX08 1684```
```27Apr 4.428M 2536 XX08 1746```
```13Apr  4.34M 2536 XX08 1711```
```11Apr  4.05M 2536 XX08 1597```
```------------2020-----------```
```17Mar 7.309M 3938 XX02 1856```
```------------2019-----------```
```16Dec 5.441M 6091 XX05  893```
```16Dec  3.69M 2536 XX08 1455```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</si>
  <si>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1010290, *NEW RE</t>
  </si>
  <si>
    <t>*NEW RENT*
*CONTRACTS**
_(renewals are not included)_
*DT1*
_Area: Downtown_
_Type: 3 bedroom apartment_
```Date  Price   BUA  Type D/s```
```------------2025-----------```
```10Oct  350K  2540  XXXX 138```
```07Mar  320K  2540  XXXX 126```
```01Mar  550K  3940  XXXX 140```
```------------2024-----------```
```13Jun  280K  2540  XXXX 110```
```20Apr  320K  2540  XXXX 126```
```------------2023-----------```
```15Oct  407K  6092  XXXX  67```
```15Oct  407K  6092  XXXX  67```
```16Sep  300K  2540  XXXX 118```
```15Apr  350K  2540  XXXX 138```
```09Feb  245K  2540  XXXX  96```
```------------2022-----------```
```01Nov  240K  2540  XXXX  94```
```15Oct  250K  2540  XXXX  98```
```01Oct  390K  6092  XXXX  64```
```24Sep  250K  2540  XXXX  98```
```16Sep  300K  2540  XXXX 118```
```31Aug  245K  2540  XXXX  96```
```20Aug  280K  2540  XXXX 110```
```------------2021-----------```
```01Nov  240K  2540  XXXX  94```
```15Oct  250K  2540  XXXX  98```
```24Sep  250K  2540  XXXX  98```
_Source: DLD, Databot_
_BUA - built-up area, sq.ft._
_P/sf - price per sq.ft._
_B - bedrooms; O - office_
_M - million, K- thousand_
_S - studio, R - shop_
_*20 latest contracts_
www.trydatabot.com</t>
  </si>
  <si>
    <t>1010292, *SALES*</t>
  </si>
  <si>
    <t>*SALES*
*TRANSACTIONS**
*DT1*
_Area: Downtown_
_Type: 4 bedroom apartment_
```Date   Price  BUA Type P/sf```
```------------2022-----------```
```21Jul 11.73M 5622 XX01 2086```
```------------2018-----------```
```20Jun 10.08M 5622 XX01 1793```
_Source: DLD, Databot_
_BUA - built-up area, sq.ft._
_P/sf - price per sq.ft._
_B - bedrooms; O - office_
_M - million, K- thousand_
_S - studio, R - shop_
_*Max 30 latest transactions_
www.trydatabot.com</t>
  </si>
  <si>
    <t>1010293, *MARKET</t>
  </si>
  <si>
    <t>*MARKET*
*SNAPSHOT*
*DT1*
_Area: Downtown_
_Type: 4 bedroom apartment_
*Price dynamics, Dirham/sq.ft.*
_(M - median value)_
```2086|                     *```
```    |                      ```
```    |                      ```
```    |                      ```
```    |                      ```
```1940|---------------------M```
```    |                      ```
```    |                      ```
```    |                      ```
```    |                      ```
```1793|                    * ```
```____|______________________```
```    |Jun2018        Jul2022```
_Source: see table below_
*Latest sales transactions*
```Date   Price  BUA Type P/sf```
```------------2022-----------```
```21Jul 11.73M 5622 XX01 2086```
```------------2018-----------```
```20Jun 10.08M 5622 XX01 1793```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</si>
  <si>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1010308, *SALES*</t>
  </si>
  <si>
    <t>*SALES*
*TRANSACTIONS**
*DT1*
_Area: Downtown_
_Type: shop_
```Date   Price  BUA Type P/sf```
```------------2021-----------```
```02May   4.5M 2843 XXXX 1583```
```04Feb     5M 2931 XXXX 1706```
_Source: DLD, Databot_
_BUA - built-up area, sq.ft._
_P/sf - price per sq.ft._
_B - bedrooms; O - office_
_M - million, K- thousand_
_S - studio, R - shop_
_*Max 30 latest transactions_
www.trydatabot.com</t>
  </si>
  <si>
    <t>1010309, *MARKET</t>
  </si>
  <si>
    <t>*MARKET*
*SNAPSHOT*
*DT1*
_Area: Downtown_
_Type: shop_
*Price dynamics, Dirham/sq.ft.*
_(M - median value)_
```1706|                    * ```
```    |                      ```
```    |                      ```
```    |                      ```
```    |                      ```
```1645|---------------------M```
```    |                      ```
```    |                      ```
```    |                      ```
```    |                      ```
```1583|                     *```
```____|______________________```
```    |Feb2021        May2021```
_Source: see table below_
*Latest sales transactions*
```Date   Price  BUA Type P/sf```
```------------2021-----------```
```02May   4.5M 2843 XXXX 1583```
```04Feb     5M 2931 XXXX 1706```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</si>
  <si>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1010310, *NEW RE</t>
  </si>
  <si>
    <t>*NEW RENT*
*CONTRACTS**
_(renewals are not included)_
*DT1*
_Area: Downtown_
_Type: shop_
```Date  Price   BUA  Type D/s```
```------------2025-----------```
```04Nov 2.31M  4704  XXXX 491```
```------------2024-----------```
```04Nov  803K  4704  XXXX 171```
```01Jan  500K  2842  XXXX 176```
```------------2021-----------```
```04Aug  750K  4704  XXXX 159```
```04Aug  750K  4704  XXXX 159```
```01Jun  512K  2842  XXXX 180```
```01Apr  528K  2928  XXXX 180```
_Source: DLD, Databot_
_BUA - built-up area, sq.ft._
_P/sf - price per sq.ft._
_B - bedrooms; O - office_
_M - million, K- thousand_
_S - studio, R - shop_
_*20 latest contracts_
www.trydatabot.com</t>
  </si>
  <si>
    <t>1010324, *NEW RE</t>
  </si>
  <si>
    <t>*NEW RENT*
*CONTRACTS**
_(renewals are not included)_
*DT1*
_Area: Downtown_
_All types/bedrooms_
```Date    Price   BUA Type  B```
```------------2026-----------```
```17Jan    165K   990 XXXX  1```
```17Jan  104.2K   538 XXXX  S```
```15Jan    100K   538 XXXX  S```
```------------2025-----------```
```13Dec    235K  1711 XXXX  2```
```11Dec    165K  1033 XXXX  1```
```17Nov    230K  1711 XXXX  2```
```04Nov  2.312M  4704 XXXX  R```
```28Oct    100K   538 XXXX  S```
```20Oct    155K  1033 XXXX  1```
```13Oct    158K   990 XXXX  1```
```13Oct    145K  1033 XXXX  1```
```10Oct    350K  2540 XXXX  3```
```01Oct    235K  1528 XXXX  2```
```19Sep    230K  1711 XXXX  2```
```15Sep    155K   990 XXXX  1```
```18Aug    230K  1528 XXXX  2```
```10Aug    230K  1528 XXXX  2```
```01Aug     85K   538 XXXX  S```
```17Jul     90K   538 XXXX  S```
```28Jun  144.3K  1033 XXXX  1```
_Source: DLD, Databot_
_BUA - built-up area, sq.ft._
_P/sf - price per sq.ft._
_B - bedrooms; O - office_
_M - million, K- thousand_
_S - studio, R - shop_
_*20 latest contracts_
www.trydatabot.com</t>
  </si>
  <si>
    <t>1010325, *SALES*</t>
  </si>
  <si>
    <t>*SALES*
*TRANSACTIONS**
*DT1*
_Area: Downtown_
_All types/bedrooms_
```Date    Price   BUA  Type B```
```------------2025-----------```
```11Nov    4.2M  1716  XX09 2```
```02Jul  4.962M  3392  XX06 2```
```02Jul  2.495M  1716  XX09 2```
```26Jun  4.418M  2536  XX08 3```
```26Jun  2.437M  1707  XX10 2```
```18Jun    2.6M  1036  XX03 1```
```12Jun      5M  2536  XX08 3```
```03Jun  1.365M   536  XX07 S```
```20May   2.45M   993  XX04 1```
```17Apr  1.375M   536  XX01 S```
```11Apr   3.85M  1527  XX06 2```
```07Apr    4.2M  1716  XX09 2```
```07Apr  1.375M   536  XX01 S```
```26Feb  1.285M   536  XX01 S```
```25Feb    2.3M   993  XX04 1```
```------------2024-----------```
```22Nov    2.3M  1036  XX03 1```
```11Nov    350K   268  XXXX S```
```27Aug   2.34M  1036  XX05 1```
```20Aug    1.3M   536  XX01 S```
```16Aug   2.35M  1036  XX05 1```
```07Aug    3.6M  1527  XX06 2```
```05Aug    2.3M  1036  XX05 1```
```02Jul    2.3M  1036  XX03 1```
```06Jun    3.8M  1527  XX06 2```
```04Jun    2.3M  1036  XX05 1```
```16May    650K   536  XX07 S```
```13May  2.175M   993  XX04 1```
```10May   2.15M   993  XX04 1```
```15Apr      3M  1527  XX02 2```
```03Apr   2.15M   993  XX04 1```
_Source: DLD, Databot_
_BUA - built-up area, sq.ft._
_P/sf - price per sq.ft._
_B - bedrooms; O - office_
_M - million, K- thousand_
_S - studio, R - shop_
_*Max 30 latest transactions_
www.trydatabot.com</t>
  </si>
  <si>
    <t>1010326, DT1, DT 1, 1DT, *BUILDI</t>
  </si>
  <si>
    <t xml:space="preserve">*BUILDING*
*PROFILE*
*DT1*
_Area: Downtown_
_Tap&amp;hold to copy a reply_
```-------------------------```
```Report              Reply```
```-------------------------```
*Studio*
```Sales, ROI        1010276```
```Price chart       1010277```
```Rentals           1010278```
*1 B/R*
```Sales, ROI        1010280```
```Price chart       1010281```
```Rentals           1010282```
*2 B/R*
```Sales, ROI        1010284```
```Price chart       1010285```
```Rentals           1010286```
*3 B/R*
```Sales, ROI        1010288```
```Price chart       1010289```
```Rentals           1010290```
*4 B/R*
```Sales, ROI        1010292```
```Price chart       1010293```
```Rentals               n/a```
*Shop*
```Sales, ROI        1010308```
```Price chart       1010309```
```Rentals           1010310```
*All types/bedrooms*
```Sales, ROI        1010325```
```Rentals           1010324```
</t>
  </si>
  <si>
    <t>1010340, *SALES*</t>
  </si>
  <si>
    <r>
      <rPr/>
      <t xml:space="preserve">*SALES*
*TRANSACTIONS (RESALE)**
*DUNYA TOWER*
_Area: Downtown_
_Type: studio apartment_
```Date   Price  BUA Type P/sf```
```------------2024-----------```
```07Oct   1.2M  412 XXXX 2913```
```------------2023-----------```
```17Nov   950K  402 XX02 2363```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</si>
  <si>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Dunya Tower</t>
  </si>
  <si>
    <t>1010341, *MARKET</t>
  </si>
  <si>
    <t>*MARKET*
*SNAPSHOT*
*DUNYA TOWER*
_Area: Downtown_
_Type: studio apartment_
*Price dynamics, Dirham/sq.ft.*
_(M - median value)_
```2913|                     *```
```    |                      ```
```    |                      ```
```    |                      ```
```    |                      ```
```2638|---------------------M```
```    |                      ```
```    |                      ```
```    |                      ```
```    |                      ```
```2363|                    * ```
```____|______________________```
```    |Nov2023        Oct2024```
_Source: see table below_
*Latest sales transactions*
```Date   Price  BUA Type P/sf```
```------------2024-----------```
```07Oct   1.2M  412 XXXX 2913```
```------------2023-----------```
```17Nov   950K  402 XX02 2363```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</si>
  <si>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1010343, *RESELL</t>
  </si>
  <si>
    <t>*RESELL*
*VS PRIMARY*
*DUNYA TOWER*
_Area: Downtown_
_Type: studio apartment_
*Price dynamics, Dirham/sq.ft.*
_(x - primary; * - resell)_
```2913|                     *```
```    |                      ```
```    |                      ```
```    |                      ```
```2481|                      ```
```    |                    * ```
```    |                      ```
```    |                      ```
```    | xxx xxxxx            ```
```1833|x   x     x           ```
```____|______________________```
```    |Dec1899        Oct2024```
_Source: see a table below_
*Latest resell transactions*
```Date   Price  BUA Type P/sf```
```------------2024-----------```
```07Oct   1.2M  412 XXXX 2913```
```------------2023-----------```
```17Nov   950K  402 XX02 2363```
*Latest primary transactions*
```------------2023-----------```
```12Oct   737K  402 XX02 1833```
```09Aug   800K  412 XX02 1942```
```21Jun   815K  402 XX02 2027```
```15Jun   815K  402 XX02 2027```
```25May   800K  402 XX02 1990```
```12May   810K  402 XX02 2015```
```10May   748K  402 XX02 1861```
```09May   825K  402 XX02 2052```
```17Apr   810K  402 XX02 2015```
```14Apr   800K  402 XX02 1990```
```14Apr   770K  402 XX02 1915```
```04Apr   800K  402 XX02 1990```
```04Apr   835K  348 XX02 2399```
```09Mar   810K  402 XX02 2015```
```23Feb   770K  402 XX02 1915```
_Source: DLD, Databot_
_BUA - built-up area, sq.ft._
_P/sf - price per sq.ft._
_B - bedrooms; O - office_
_M - million, K- thousand_
_S - studio, R - shop_
www.trydatabot.com</t>
  </si>
  <si>
    <t>1010344, *SALES*</t>
  </si>
  <si>
    <r>
      <rPr/>
      <t xml:space="preserve">*SALES*
*TRANSACTIONS (RESALE)**
*DUNYA TOWER*
_Area: Downtown_
_Type: 1 bedroom apartment_
```Date   Price  BUA Type P/sf```
```------------2025-----------```
```29Dec   1.7M  773 XXXX 2199```
```15Dec  1.74M  797 XXXX 2183```
```09Dec  1.87M  773 XXXX 2419```
```06Nov 1.825M  965 XXXX 1891```
```05Aug   1.9M  717 XXXX 2650```
```25Jul     2M  963 XXXX 2077```
```25Jun  1.94M  965 XXXX 2010```
```23Jun  1.73M  797 XXXX 2171```
```03Jun   1.8M  965 XXXX 1865```
```16May  1.85M  965 XXXX 1917```
```05May  1.55M  965 XXXX 1606```
```28Mar   1.7M  823 XXXX 2066```
```18Mar 1.785M  797 XXXX 2240```
```06Mar  1.95M  965 XXXX 2021```
```27Jan  1.74M  815 XXXX 2135```
```------------2024-----------```
```10Sep  1.38M  816 XX04 1691```
```16Jul 1.449M  965 XXXX 1502```
```05Jul  1.85M  965 XXXX 1917```
```03Jul  1.38M  816 XX04 1691```
```03Jul  1.38M  823 XXXX 1677```
```06Jun   1.4M  773 XX08 1811```
```14May 1.425M  717 XX06 1987```
```08May  1.38M  815 XX05 1693```
```07Mar  1.37M  773 XX08 1772```
```07Mar 1.375M  816 XX06 1685```
```28Feb  1.37M  797 XX01 1719```
```27Feb  1.47M  963 XX03 1526```
```08Feb 1.365M  797 XX01 1713```
```29Jan 1.365M  797 XX01 1713```
```26Jan 1.373M  815 XX05 1685```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</si>
  <si>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1010345, *MARKET</t>
  </si>
  <si>
    <t>*MARKET*
*SNAPSHOT*
*DUNYA TOWER*
_Area: Downtown_
_Type: 1 bedroom apartment_
*Price dynamics, Dirham/sq.ft.*
_(M - median value)_
```2650|                 *    ```
```    |                      ```
```    |                   *  ```
```    |                      ```
```    |       * *    *     **```
```    |        * *     *     ```
```1999|---------------------M```
```    |*   *       *  *      ```
```    | *           *    *   ```
```    |  **  *               ```
```1502|     *     *          ```
```____|______________________```
```    |May2024        Dec2025```
_Source: see table below_
*Latest sales transactions*
```Date   Price  BUA Type P/sf```
```------------2025-----------```
```29Dec   1.7M  773 XXXX 2199```
```15Dec  1.74M  797 XXXX 2183```
```09Dec  1.87M  773 XXXX 2419```
```06Nov 1.825M  965 XXXX 1891```
```05Aug   1.9M  717 XXXX 2650```
```25Jul     2M  963 XXXX 2077```
```25Jun  1.94M  965 XXXX 2010```
```23Jun  1.73M  797 XXXX 2171```
```03Jun   1.8M  965 XXXX 1865```
```16May  1.85M  965 XXXX 1917```
```05May  1.55M  965 XXXX 1606```
```28Mar   1.7M  823 XXXX 2066```
```18Mar 1.785M  797 XXXX 2240```
```06Mar  1.95M  965 XXXX 2021```
```27Jan  1.74M  815 XXXX 2135```
```------------2024-----------```
```10Sep  1.38M  816 XX04 1691```
```16Jul 1.449M  965 XXXX 1502```
```05Jul  1.85M  965 XXXX 1917```
```03Jul  1.38M  816 XX04 1691```
```03Jul  1.38M  823 XXXX 1677```
```06Jun   1.4M  773 XX08 1811```
```14May 1.425M  717 XX06 1987```
```08May  1.38M  815 XX05 1693```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</si>
  <si>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1010347, *RESELL</t>
  </si>
  <si>
    <t>*RESELL*
*VS PRIMARY*
*DUNYA TOWER*
_Area: Downtown_
_Type: 1 bedroom apartment_
*Price dynamics, Dirham/sq.ft.*
_(x - primary; * - resell)_
```2650|                 *    ```
```    |                      ```
```    |                   *  ```
```    |                      ```
```2234|                    **```
```    |              *       ```
```    |   x           **     ```
```    |            *     *   ```
```    |xxx    x     *        ```
```1606|    xxx xxx*          ```
```____|______________________```
```    |Oct2023        Dec2025```
_Source: see a table below_
*Latest resell transactions*
```Date   Price  BUA Type P/sf```
```------------2025-----------```
```29Dec   1.7M  773 XXXX 2199```
```15Dec  1.74M  797 XXXX 2183```
```09Dec  1.87M  773 XXXX 2419```
```06Nov 1.825M  965 XXXX 1891```
```05Aug   1.9M  717 XXXX 2650```
```25Jul     2M  963 XXXX 2077```
```25Jun  1.94M  965 XXXX 2010```
```23Jun  1.73M  797 XXXX 2171```
```03Jun   1.8M  965 XXXX 1865```
```16May  1.85M  965 XXXX 1917```
```05May  1.55M  965 XXXX 1606```
```28Mar   1.7M  823 XXXX 2066```
```18Mar 1.785M  797 XXXX 2240```
```06Mar  1.95M  965 XXXX 2021```
```27Jan  1.74M  815 XXXX 2135```
```------------2024-----------```
```10Sep  1.38M  816 XX04 1691```
```16Jul 1.449M  965 XXXX 1502```
*Latest primary transactions*
```------------2024-----------```
```24May   1.4M  823 XX10 1701```
```29Jan  1.37M  816 XX06 1679```
```------------2023-----------```
```27Dec  1.38M  823 XX10 1677```
```26Dec  1.38M  773 XX08 1785```
```12Dec  1.38M  823 XX10 1677```
```12Dec  1.38M  815 XX05 1693```
```24Nov  1.37M  823 XX10 1665```
```16Nov   1.4M  695 XX01 2014```
```02Nov  1.38M  797 XX01 1731```
```02Nov  1.38M  797 XX01 1731```
```26Oct   1.4M  816 XX06 1716```
```28Sep  1.37M  773 XX08 1772```
```27Sep  1.38M  773 XX08 1785```
```22Sep  1.38M  823 XX10 1677```
_Source: DLD, Databot_
_BUA - built-up area, sq.ft._
_P/sf - price per sq.ft._
_B - bedrooms; O - office_
_M - million, K- thousand_
_S - studio, R - shop_
www.trydatabot.com</t>
  </si>
  <si>
    <t>1010348, *SALES*</t>
  </si>
  <si>
    <t>*SALES*
*TRANSACTIONS (RESALE)**
*DUNYA TOWER*
_Area: Downtown_
_Type: 2 bedroom apartment_
```Date   Price  BUA Type P/sf```
```------------2025-----------```
```29May  2.74M 1111 XXXX 2466```
```------------2024-----------```
```18Dec  2.25M 1331 XXXX 1690```
```04Dec  2.35M 1123 XXXX 2093```
```13Nov  2.35M 1317 XXXX 1784```
```10Oct  2.35M 1331 XXXX 1766```
```10Oct  2.35M 1317 XXXX 1784```
```04Sep  2.35M 1317 XXXX 1784```
```23Aug  2.35M 1317 XXXX 1784```
```05Aug  2.38M 1317 XXXX 1807```
```05Aug  2.37M 1317 XXXX 1800```
```16Jul  2.38M 1331 XXXX 1788```
```16Jul  2.38M 1317 XXXX 1807```
```16Jul  2.36M 1331 XXXX 1773```
```16Jul  2.35M 1331 XXXX 1766```
```02Jul  2.37M 1331 XXXX 1781```
```10Jun  2.38M 1111 XX09 2142```
```08May  2.38M 1317 XX09 1807```
```07Mar  2.38M 1317 XX09 1807```
```28Feb  2.38M 1331 XX07 1788```
```30Jan  2.45M 1331 XX07 1841```
```17Jan   2.4M 1317 XX09 1822```
```------------2023-----------```
```24Nov  2.38M 1331 XX07 1788```
```08Nov  2.38M 1317 XX09 1807```
```08Nov  2.38M 1317 XX09 1807```
```08Nov  2.38M 1317 XX09 1807```
```22Sep 2.305M 1330 XX09 1733```
_Source: DLD, Databot_
_BUA - built-up area, sq.ft._
_P/sf - price per sq.ft._
_B - bedrooms; O - office_
_M - million, K- thousand_
_S - studio, R - shop_
_*Max 30 latest transactions_
www.trydatabot.com</t>
  </si>
  <si>
    <t>1010349, *MARKET</t>
  </si>
  <si>
    <t>*MARKET*
*SNAPSHOT*
*DUNYA TOWER*
_Area: Downtown_
_Type: 2 bedroom apartment_
*Price dynamics, Dirham/sq.ft.*
_(M - median value)_
```2466|                     *```
```    |                      ```
```    |                      ```
```    |                      ```
```    |      *               ```
```    |                   *  ```
```    |                      ```
```    |                      ```
```1788|---------------------M```
```    |****** * ******** *   ```
```1690|                    * ```
```____|______________________```
```    |Nov2023        May2025```
_Source: see table below_
*Latest sales transactions*
```Date   Price  BUA Type P/sf```
```------------2025-----------```
```29May  2.74M 1111 XXXX 2466```
```------------2024-----------```
```18Dec  2.25M 1331 XXXX 1690```
```04Dec  2.35M 1123 XXXX 2093```
```13Nov  2.35M 1317 XXXX 1784```
```10Oct  2.35M 1331 XXXX 1766```
```10Oct  2.35M 1317 XXXX 1784```
```04Sep  2.35M 1317 XXXX 1784```
```23Aug  2.35M 1317 XXXX 1784```
```05Aug  2.38M 1317 XXXX 1807```
```05Aug  2.37M 1317 XXXX 1800```
```16Jul  2.38M 1331 XXXX 1788```
```16Jul  2.38M 1317 XXXX 1807```
```16Jul  2.36M 1331 XXXX 1773```
```16Jul  2.35M 1331 XXXX 1766```
```02Jul  2.37M 1331 XXXX 1781```
```10Jun  2.38M 1111 XX09 2142```
```08May  2.38M 1317 XX09 1807```
```07Mar  2.38M 1317 XX09 1807```
```28Feb  2.38M 1331 XX07 1788```
```30Jan  2.45M 1331 XX07 1841```
```17Jan   2.4M 1317 XX09 1822```
```------------2023-----------```
```24Nov  2.38M 1331 XX07 1788```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</si>
  <si>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1010351, *RESELL</t>
  </si>
  <si>
    <t>*RESELL*
*VS PRIMARY*
*DUNYA TOWER*
_Area: Downtown_
_Type: 2 bedroom apartment_
*Price dynamics, Dirham/sq.ft.*
_(x - primary; * - resell)_
```2466|                     *```
```    |                      ```
```    |                      ```
```    |                      ```
```2154|                      ```
```    |                   *  ```
```    |                      ```
```    |                      ```
```    |    xxxx xx****** *   ```
```1690|   x    x           * ```
```____|______________________```
```    |Dec1899        May2025```
_Source: see a table below_
*Latest resell transactions*
```Date   Price  BUA Type P/sf```
```------------2025-----------```
```29May  2.74M 1111 XXXX 2466```
```------------2024-----------```
```18Dec  2.25M 1331 XXXX 1690```
```04Dec  2.35M 1123 XXXX 2093```
```13Nov  2.35M 1317 XXXX 1784```
```10Oct  2.35M 1331 XXXX 1766```
```10Oct  2.35M 1317 XXXX 1784```
```04Sep  2.35M 1317 XXXX 1784```
```23Aug  2.35M 1317 XXXX 1784```
```05Aug  2.38M 1317 XXXX 1807```
```05Aug  2.37M 1317 XXXX 1800```
```16Jul  2.38M 1331 XXXX 1788```
```16Jul  2.38M 1317 XXXX 1807```
```16Jul  2.36M 1331 XXXX 1773```
```16Jul  2.35M 1331 XXXX 1766```
```02Jul  2.37M 1331 XXXX 1781```
```10Jun  2.38M 1111 XX09 2142```
```08May  2.38M 1317 XX09 1807```
*Latest primary transactions*
```------------2024-----------```
```13Feb  2.36M 1317 XX09 1792```
```------------2023-----------```
```26Dec  2.36M 1331 XX07 1773```
```12Dec 2.305M 1331 XX07 1732```
```12Dec  2.38M 1331 XX07 1788```
```16Nov  2.39M 1331 XX07 1796```
```09Aug  2.36M 1331 XX07 1773```
```17Apr  2.45M 1342 XX07 1826```
```04Apr 2.305M 1317 XX09 1750```
_Source: DLD, Databot_
_BUA - built-up area, sq.ft._
_P/sf - price per sq.ft._
_B - bedrooms; O - office_
_M - million, K- thousand_
_S - studio, R - shop_
www.trydatabot.com</t>
  </si>
  <si>
    <t>1010352, *SALES*</t>
  </si>
  <si>
    <t>*SALES*
*TRANSACTIONS (RESALE)**
*DUNYA TOWER*
_Area: Downtown_
_Type: 3 bedroom apartment_
```Date   Price  BUA Type P/sf```
```------------2025-----------```
```12Nov   3.3M 1634 XXXX 2020```
```31Jul     3M 1634 XXXX 1836```
```------------2024-----------```
```04Dec  2.85M 1634 XXXX 1744```
```04Dec  2.63M 1634 XXXX 1610```
```04Dec  2.65M 1431 XXXX 1852```
```10Oct  2.75M 1634 XXXX 1683```
```04Sep  2.68M 1634 XXXX 1640```
```28Aug  2.67M 1634 XXXX 1634```
```23Aug  2.67M 1634 XXXX 1634```
```05Aug  2.68M 1634 XXXX 1640```
```09May  2.68M 1634 XX04 1640```
```08May 2.755M 1634 XX04 1686```
```19Mar  2.68M 1634 XX04 1640```
```------------2023-----------```
```28Nov   2.7M 1643 XX04 1643```
```17Nov  2.73M 1634 XX04 1671```
```16Nov 2.685M 1634 XX04 1643```
_Source: DLD, Databot_
_BUA - built-up area, sq.ft._
_P/sf - price per sq.ft._
_B - bedrooms; O - office_
_M - million, K- thousand_
_S - studio, R - shop_
_*Max 30 latest transactions_
www.trydatabot.com</t>
  </si>
  <si>
    <t>1010353, *MARKET</t>
  </si>
  <si>
    <t>*MARKET*
*SNAPSHOT*
*DUNYA TOWER*
_Area: Downtown_
_Type: 3 bedroom apartment_
*Price dynamics, Dirham/sq.ft.*
_(M - median value)_
```2020|                     *```
```    |                      ```
```    |                      ```
```    |                      ```
```    |                 *  * ```
```    |                      ```
```    |                      ```
```    |                   *  ```
```    |       *  *     *     ```
```1610|      * ** *****  *   ```
```1610|      * ** *****  *   ```
```____|______________________```
```    |Nov2023        Nov2025```
_Source: see table below_
*Latest sales transactions*
```Date   Price  BUA Type P/sf```
```------------2025-----------```
```12Nov   3.3M 1634 XXXX 2020```
```31Jul     3M 1634 XXXX 1836```
```------------2024-----------```
```04Dec  2.85M 1634 XXXX 1744```
```04Dec  2.63M 1634 XXXX 1610```
```04Dec  2.65M 1431 XXXX 1852```
```10Oct  2.75M 1634 XXXX 1683```
```04Sep  2.68M 1634 XXXX 1640```
```28Aug  2.67M 1634 XXXX 1634```
```23Aug  2.67M 1634 XXXX 1634```
```05Aug  2.68M 1634 XXXX 1640```
```09May  2.68M 1634 XX04 1640```
```08May 2.755M 1634 XX04 1686```
```19Mar  2.68M 1634 XX04 1640```
```------------2023-----------```
```28Nov   2.7M 1643 XX04 1643```
```17Nov  2.73M 1634 XX04 1671```
```16Nov 2.685M 1634 XX04 1643```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</si>
  <si>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1010355, *RESELL</t>
  </si>
  <si>
    <t>*RESELL*
*VS PRIMARY*
*DUNYA TOWER*
_Area: Downtown_
_Type: 3 bedroom apartment_
*Price dynamics, Dirham/sq.ft.*
_(x - primary; * - resell)_
```2020|                     *```
```    |                      ```
```    |                      ```
```    |                      ```
```1856|                 *  * ```
```    |                      ```
```    |                      ```
```    |                   *  ```
```    |          x     *     ```
```1606|        x  *****  *   ```
```____|______________________```
```    |Dec1899        Nov2025```
_Source: see a table below_
*Latest resell transactions*
```Date   Price  BUA Type P/sf```
```------------2025-----------```
```12Nov   3.3M 1634 XXXX 2020```
```31Jul     3M 1634 XXXX 1836```
```------------2024-----------```
```04Dec  2.85M 1634 XXXX 1744```
```04Dec  2.63M 1634 XXXX 1610```
```04Dec  2.65M 1431 XXXX 1852```
```10Oct  2.75M 1634 XXXX 1683```
```04Sep  2.68M 1634 XXXX 1640```
```28Aug  2.67M 1634 XXXX 1634```
```23Aug  2.67M 1634 XXXX 1634```
```05Aug  2.68M 1634 XXXX 1640```
```09May  2.68M 1634 XX04 1640```
```08May 2.755M 1634 XX04 1686```
```19Mar  2.68M 1634 XX04 1640```
```------------2023-----------```
```28Nov   2.7M 1643 XX04 1643```
```17Nov  2.73M 1634 XX04 1671```
```16Nov 2.685M 1634 XX04 1643```
*Latest primary transactions*
```------------2024-----------```
```24May   2.7M 1634 XX04 1652```
```------------2023-----------```
```21Jun 2.695M 1634 XX04 1649```
```14Apr 2.625M 1634 XX04 1606```
_Source: DLD, Databot_
_BUA - built-up area, sq.ft._
_P/sf - price per sq.ft._
_B - bedrooms; O - office_
_M - million, K- thousand_
_S - studio, R - shop_
www.trydatabot.com</t>
  </si>
  <si>
    <t>1010389, *SALES*</t>
  </si>
  <si>
    <t>*SALES*
*TRANSACTIONS (RESALE)**
*DUNYA TOWER*
_Area: Downtown_
_All types/bedrooms_
```Date    Price   BUA  Type B```
```------------2025-----------```
```29Dec    1.7M   773  XXXX 1```
```15Dec   1.74M   797  XXXX 1```
```09Dec   1.87M   773  XXXX 1```
```12Nov    3.3M  1634  XXXX 3```
```06Nov  1.825M   965  XXXX 1```
```05Aug    1.9M   717  XXXX 1```
```31Jul      3M  1634  XXXX 3```
```25Jul      2M   963  XXXX 1```
```25Jun   1.94M   965  XXXX 1```
```23Jun   1.73M   797  XXXX 1```
```03Jun    1.8M   965  XXXX 1```
```29May   2.74M  1111  XXXX 2```
```16May   1.85M   965  XXXX 1```
```05May   1.55M   965  XXXX 1```
```28Mar    1.7M   823  XXXX 1```
```18Mar  1.785M   797  XXXX 1```
```06Mar   1.95M   965  XXXX 1```
```27Jan   1.74M   815  XXXX 1```
```------------2024-----------```
```18Dec   2.25M  1331  XXXX 2```
```04Dec   2.85M  1634  XXXX 3```
```04Dec   2.63M  1634  XXXX 3```
```04Dec   2.65M  1431  XXXX 3```
```04Dec   2.35M  1123  XXXX 2```
```13Nov   2.35M  1317  XXXX 2```
```10Oct   2.35M  1331  XXXX 2```
```10Oct   2.35M  1317  XXXX 2```
```10Oct   2.75M  1634  XXXX 3```
```07Oct    1.2M   412  XXXX S```
```10Sep   1.38M   816  XX04 1```
```04Sep   2.35M  1317  XXXX 2```
_Source: DLD, Databot_
_BUA - built-up area, sq.ft._
_P/sf - price per sq.ft._
_B - bedrooms; O - office_
_M - million, K- thousand_
_S - studio, R - shop_
_*Max 30 latest transactions_
www.trydatabot.com</t>
  </si>
  <si>
    <t>1010390, Dunya, *BUILDI</t>
  </si>
  <si>
    <t xml:space="preserve">*BUILDING*
*PROFILE*
*DUNYA TOWER*
_Area: Downtown_
_Tap&amp;hold to copy a reply_
```-------------------------```
```Report              Reply```
```-------------------------```
*Studio*
```Resell, ROI       1010340```
```Primary sales     1010391```
```Price chart       1010341```
```Rentals               n/a```
```Appreciation      1010343```
*1 B/R*
```Resell, ROI       1010344```
```Primary sales     1010392```
```Price chart       1010345```
```Rentals               n/a```
```Appreciation      1010347```
*2 B/R*
```Resell, ROI       1010348```
```Primary sales     1010393```
```Price chart       1010349```
```Rentals               n/a```
```Appreciation      1010351```
*3 B/R*
```Resell, ROI       1010352```
```Primary sales     1010394```
```Price chart       1010353```
```Rentals               n/a```
```Appreciation      1010355```
*All types/bedrooms*
```Resell, ROI       1010389```
```Primary sales     1010403```
```Rentals               n/a```
</t>
  </si>
  <si>
    <t>1010391, *SALES*</t>
  </si>
  <si>
    <t>*SALES*
*TRANSACTIONS (PRIMARY)**
*DUNYA TOWER*
_Area: Downtown_
_Type: studio apartment_
```Date   Price  BUA Type P/sf```
```------------2023-----------```
```12Oct   737K  402 XX02 1833```
```09Aug   800K  412 XX02 1942```
```21Jun   815K  402 XX02 2027```
```15Jun   815K  402 XX02 2027```
```25May   800K  402 XX02 1990```
```12May   810K  402 XX02 2015```
```10May   748K  402 XX02 1861```
```09May   825K  402 XX02 2052```
```17Apr   810K  402 XX02 2015```
```14Apr   800K  402 XX02 1990```
```14Apr   770K  402 XX02 1915```
```04Apr   800K  402 XX02 1990```
```04Apr   835K  348 XX02 2399```
```09Mar   810K  402 XX02 2015```
```23Feb   770K  402 XX02 1915```
```23Jan   825K  402 XX02 2052```
_Source: DLD, Databot_
_BUA - built-up area, sq.ft._
_P/sf - price per sq.ft._
_B - bedrooms; O - office_
_M - million, K- thousand_
_S - studio, R - shop_
_*Max 20 latest transactions_
www.trydatabot.com</t>
  </si>
  <si>
    <t>1010392, *SALES*</t>
  </si>
  <si>
    <t>*SALES*
*TRANSACTIONS (PRIMARY)**
*DUNYA TOWER*
_Area: Downtown_
_Type: 1 bedroom apartment_
```Date   Price  BUA Type P/sf```
```------------2024-----------```
```24May   1.4M  823 XX10 1701```
```29Jan  1.37M  816 XX06 1679```
```------------2023-----------```
```27Dec  1.38M  823 XX10 1677```
```26Dec  1.38M  773 XX08 1785```
```12Dec  1.38M  823 XX10 1677```
```12Dec  1.38M  815 XX05 1693```
```24Nov  1.37M  823 XX10 1665```
```16Nov   1.4M  695 XX01 2014```
```02Nov  1.38M  797 XX01 1731```
```02Nov  1.38M  797 XX01 1731```
```26Oct   1.4M  816 XX06 1716```
```28Sep  1.37M  773 XX08 1772```
```27Sep  1.38M  773 XX08 1785```
```22Sep  1.38M  823 XX10 1677```
```21Sep 1.375M  816 XX06 1685```
```14Sep  1.38M  797 XX01 1731```
```13Sep 1.365M  797 XX01 1713```
```13Sep  1.75M  965 XX03 1813```
```06Sep   1.4M  823 XX10 1701```
```06Sep  1.39M  769 XX08 1808```
_Source: DLD, Databot_
_BUA - built-up area, sq.ft._
_P/sf - price per sq.ft._
_B - bedrooms; O - office_
_M - million, K- thousand_
_S - studio, R - shop_
_*Max 20 latest transactions_
www.trydatabot.com</t>
  </si>
  <si>
    <t>1010393, *SALES*</t>
  </si>
  <si>
    <t>*SALES*
*TRANSACTIONS (PRIMARY)**
*DUNYA TOWER*
_Area: Downtown_
_Type: 2 bedroom apartment_
```Date   Price  BUA Type P/sf```
```------------2024-----------```
```13Feb  2.36M 1317 XX09 1792```
```------------2023-----------```
```26Dec  2.36M 1331 XX07 1773```
```12Dec 2.305M 1331 XX07 1732```
```12Dec  2.38M 1331 XX07 1788```
```16Nov  2.39M 1331 XX07 1796```
```09Aug  2.36M 1331 XX07 1773```
```17Apr  2.45M 1342 XX07 1826```
```04Apr 2.305M 1317 XX09 1750```
_Source: DLD, Databot_
_BUA - built-up area, sq.ft._
_P/sf - price per sq.ft._
_B - bedrooms; O - office_
_M - million, K- thousand_
_S - studio, R - shop_
_*Max 20 latest transactions_
www.trydatabot.com</t>
  </si>
  <si>
    <t>1010394, *SALES*</t>
  </si>
  <si>
    <t>*SALES*
*TRANSACTIONS (PRIMARY)**
*DUNYA TOWER*
_Area: Downtown_
_Type: 3 bedroom apartment_
```Date   Price  BUA Type P/sf```
```------------2024-----------```
```24May   2.7M 1634 XX04 1652```
```------------2023-----------```
```21Jun 2.695M 1634 XX04 1649```
```14Apr 2.625M 1634 XX04 1606```
_Source: DLD, Databot_
_BUA - built-up area, sq.ft._
_P/sf - price per sq.ft._
_B - bedrooms; O - office_
_M - million, K- thousand_
_S - studio, R - shop_
_*Max 20 latest transactions_
www.trydatabot.com</t>
  </si>
  <si>
    <t>1010403, *SALES*</t>
  </si>
  <si>
    <t>*SALES*
*TRANSACTIONS (PRIMARY)**
*DUNYA TOWER*
_Area: Downtown_
_All types/bedrooms_
```Date    Price   BUA  Type B```
```------------2024-----------```
```24May    1.4M   823  XX10 1```
```24May    2.7M  1634  XX04 3```
```13Feb   2.36M  1317  XX09 2```
```29Jan   1.37M   816  XX06 1```
```------------2023-----------```
```27Dec   1.38M   823  XX10 1```
```26Dec   2.36M  1331  XX07 2```
```26Dec   1.38M   773  XX08 1```
```12Dec  2.305M  1331  XX07 2```
```12Dec   2.38M  1331  XX07 2```
```12Dec   1.38M   823  XX10 1```
```12Dec   1.38M   815  XX05 1```
```24Nov   1.37M   823  XX10 1```
```16Nov   2.39M  1331  XX07 2```
```16Nov    1.4M   695  XX01 1```
```02Nov   1.38M   797  XX01 1```
```02Nov   1.38M   797  XX01 1```
```26Oct    1.4M   816  XX06 1```
```12Oct    737K   402  XX02 S```
```28Sep   1.37M   773  XX08 1```
```27Sep   1.38M   773  XX08 1```
_Source: DLD, Databot_
_BUA - built-up area, sq.ft._
_P/sf - price per sq.ft._
_B - bedrooms; O - office_
_M - million, K- thousand_
_S - studio, R - shop_
_*Max 20 latest transactions_
www.trydatabot.com</t>
  </si>
  <si>
    <t>1010408, *SALES*</t>
  </si>
  <si>
    <t>*SALES*
*TRANSACTIONS (RESALE)**
*ELEGANCE TOWER*
_Area: Downtown_
_Type: 1 bedroom apartment_
```Date   Price  BUA Type P/sf```
```------------2025-----------```
```28Nov  1.04M  744 XXXX 1397```
```20Oct 2.316M  767 XX01 3020```
```------------2024-----------```
```13Nov 2.011M  755 XX09 2664```
```21Oct 2.179M  755 XX09 2886```
```15May 2.024M  768 XX01 2635```
```14Mar 2.107M  768 XX01 2744```
```------------2023-----------```
```28Nov  1.75M  755 XX09 2318```
```01Mar 2.043M  755 XX09 2706```
```01Mar 1.983M  746 XX10 2658```
```01Mar 1.927M  742 XX02 2597```
```01Mar 1.964M  742 XX02 2647```
_Source: DLD, Databot_
_BUA - built-up area, sq.ft._
_P/sf - price per sq.ft._
_B - bedrooms; O - office_
_M - million, K- thousand_
_S - studio, R - shop_
_*Max 30 latest transactions_
www.trydatabot.com</t>
  </si>
  <si>
    <t>Elegance Tower</t>
  </si>
  <si>
    <t>1010409, *MARKET</t>
  </si>
  <si>
    <t>*MARKET*
*SNAPSHOT*
*ELEGANCE TOWER*
_Area: Downtown_
_Type: 1 bedroom apartment_
*Price dynamics, Dirham/sq.ft.*
_(M - median value)_
```3020|                    * ```
```    |                  *   ```
```2658|---------------------M```
```    |           * ** ** *  ```
```    |            *         ```
```    |               *      ```
```    |                      ```
```    |                      ```
```    |                      ```
```    |                      ```
```1397|                     *```
```____|______________________```
```    |Mar2023        Nov2025```
_Source: see table below_
*Latest sales transactions*
```Date   Price  BUA Type P/sf```
```------------2025-----------```
```28Nov  1.04M  744 XXXX 1397```
```20Oct 2.316M  767 XX01 3020```
```------------2024-----------```
```13Nov 2.011M  755 XX09 2664```
```21Oct 2.179M  755 XX09 2886```
```15May 2.024M  768 XX01 2635```
```14Mar 2.107M  768 XX01 2744```
```------------2023-----------```
```28Nov  1.75M  755 XX09 2318```
```01Mar 2.043M  755 XX09 2706```
```01Mar 1.983M  746 XX10 2658```
```01Mar 1.927M  742 XX02 2597```
```01Mar 1.964M  742 XX02 2647```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</si>
  <si>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1010411, *RESELL</t>
  </si>
  <si>
    <t>*RESELL*
*VS PRIMARY*
*ELEGANCE TOWER*
_Area: Downtown_
_Type: 1 bedroom apartment_
*Price dynamics, Dirham/sq.ft.*
_(x - primary; * - resell)_
```3020|          x         * ```
```    |                  *   ```
```    |xx xx x x  * ** ** *  ```
```    |         x  *         ```
```2372|  x  x x       *      ```
```    |                      ```
```    |                      ```
```    |                      ```
```    |                      ```
```1397|                     *```
```____|______________________```
```    |Mar2023        Nov2025```
_Source: see a table below_
*Latest resell transactions*
```Date   Price  BUA Type P/sf```
```------------2025-----------```
```28Nov  1.04M  744 XXXX 1397```
```20Oct 2.316M  767 XX01 3020```
```------------2024-----------```
```13Nov 2.011M  755 XX09 2664```
```21Oct 2.179M  755 XX09 2886```
```15May 2.024M  768 XX01 2635```
```14Mar 2.107M  768 XX01 2744```
```------------2023-----------```
```28Nov  1.75M  755 XX09 2318```
```01Mar 2.043M  755 XX09 2706```
```01Mar 1.983M  746 XX10 2658```
```01Mar 1.927M  742 XX02 2597```
```01Mar 1.964M  742 XX02 2647```
*Latest primary transactions*
```------------2024-----------```
```06Sep  2.24M  746 XX10 3003```
```18Mar 2.106M  827 XX01 2547```
```------------2023-----------```
```05Oct 2.242M  815 XX07 2751```
```26Jun 2.112M  899 XX08 2349```
```22Jun 2.015M  755 XX09 2668```
```07Jun 1.875M  781 XX02 2401```
```15May 2.473M  899 XX08 2751```
```04May 2.097M  768 XX01 2730```
```19Apr 1.941M  815 XX07 2382```
```19Apr 2.053M  742 XX02 2767```
```12Apr 2.156M  815 XX07 2645```
```11Apr 2.206M  746 XX10 2957```
```05Apr 2.027M  742 XX02 2732```
```03Apr 1.866M  768 XX01 2430```
_Source: DLD, Databot_
_BUA - built-up area, sq.ft._
_P/sf - price per sq.ft._
_B - bedrooms; O - office_
_M - million, K- thousand_
_S - studio, R - shop_
www.trydatabot.com</t>
  </si>
  <si>
    <t>1010412, *SALES*</t>
  </si>
  <si>
    <t>*SALES*
*TRANSACTIONS (RESALE)**
*ELEGANCE TOWER*
_Area: Downtown_
_Type: 2 bedroom apartment_
```Date   Price  BUA Type P/sf```
```------------2025-----------```
```17Oct   2.5M 1092 XX04 2289```
```07May  2.85M 1086 XXXX 2624```
```------------2024-----------```
```10Sep 2.653M 1094 XX03 2425```
```05Jul 2.623M 1153 XX12 2275```
```11Jun  2.65M 1083 XX05 2447```
```------------2023-----------```
```01Mar 2.777M 1129 XX11 2460```
_Source: DLD, Databot_
_BUA - built-up area, sq.ft._
_P/sf - price per sq.ft._
_B - bedrooms; O - office_
_M - million, K- thousand_
_S - studio, R - shop_
_*Max 30 latest transactions_
www.trydatabot.com</t>
  </si>
  <si>
    <t>1010413, *MARKET</t>
  </si>
  <si>
    <t>*MARKET*
*SNAPSHOT*
*ELEGANCE TOWER*
_Area: Downtown_
_Type: 2 bedroom apartment_
*Price dynamics, Dirham/sq.ft.*
_(M - median value)_
```2624|                    * ```
```    |                      ```
```    |                      ```
```    |                      ```
```    |                      ```
```2436|---------------------M```
```    |                **    ```
```    |                   *  ```
```    |                      ```
```    |                      ```
```2275|                  *  *```
```____|______________________```
```    |Mar2023        Oct2025```
_Source: see table below_
*Latest sales transactions*
```Date   Price  BUA Type P/sf```
```------------2025-----------```
```17Oct   2.5M 1092 XX04 2289```
```07May  2.85M 1086 XXXX 2624```
```------------2024-----------```
```10Sep 2.653M 1094 XX03 2425```
```05Jul 2.623M 1153 XX12 2275```
```11Jun  2.65M 1083 XX05 2447```
```------------2023-----------```
```01Mar 2.777M 1129 XX11 2460```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</si>
  <si>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1010415, *RESELL</t>
  </si>
  <si>
    <t>*RESELL*
*VS PRIMARY*
*ELEGANCE TOWER*
_Area: Downtown_
_Type: 2 bedroom apartment_
*Price dynamics, Dirham/sq.ft.*
_(x - primary; * - resell)_
```2871|          x           ```
```    |                      ```
```    |      x               ```
```    |     x                ```
```2623|x                   * ```
```    |  x    x              ```
```    |        x             ```
```    |   xx           ** *  ```
```    |                      ```
```2249| x       x        *  *```
```____|______________________```
```    |Dec1899        Oct2025```
_Source: see a table below_
*Latest resell transactions*
```Date   Price  BUA Type P/sf```
```------------2025-----------```
```17Oct   2.5M 1092 XX04 2289```
```07May  2.85M 1086 XXXX 2624```
```------------2024-----------```
```10Sep 2.653M 1094 XX03 2425```
```05Jul 2.623M 1153 XX12 2275```
```11Jun  2.65M 1083 XX05 2447```
```------------2023-----------```
```01Mar 2.777M 1129 XX11 2460```
*Latest primary transactions*
```------------2025-----------```
```29Apr 3.396M 1183 XX12 2871```
```24Mar 2.661M 1183 XX12 2249```
```28Feb 3.049M 1221 XX08 2497```
```28Feb 3.045M 1183 XX12 2574```
```27Feb  3.23M 1183 XX12 2730```
```26Feb 3.204M 1183 XX12 2708```
```26Feb 2.889M 1183 XX12 2442```
```26Feb 2.882M 1183 XX12 2436```
```26Feb 3.008M 1183 XX12 2542```
```------------2024-----------```
```31Dec 2.612M 1153 XX12 2266```
```14Jun 3.603M 1380 XX07 2611```
```------------2023-----------```
```28Aug 2.529M 1129 XX11 2240```
```03Aug 2.689M 1220 XX04 2204```
_Source: DLD, Databot_
_BUA - built-up area, sq.ft._
_P/sf - price per sq.ft._
_B - bedrooms; O - office_
_M - million, K- thousand_
_S - studio, R - shop_
www.trydatabot.com</t>
  </si>
  <si>
    <t>1010453, *SALES*</t>
  </si>
  <si>
    <t>*SALES*
*TRANSACTIONS (RESALE)**
*ELEGANCE TOWER*
_Area: Downtown_
_All types/bedrooms_
```Date    Price   BUA  Type B```
```------------2025-----------```
```28Nov   1.04M   744  XXXX 1```
```20Oct  2.316M   767  XX01 1```
```17Oct    2.5M  1092  XX04 2```
```07May   2.85M  1086  XXXX 2```
```------------2024-----------```
```13Nov  2.011M   755  XX09 1```
```21Oct  2.179M   755  XX09 1```
```10Sep  2.653M  1094  XX03 2```
```05Jul  2.623M  1153  XX12 2```
```11Jun   2.65M  1083  XX05 2```
```15May  2.024M   768  XX01 1```
```14Mar  2.107M   768  XX01 1```
```------------2023-----------```
```28Nov   1.75M   755  XX09 1```
```01Mar  2.777M  1129  XX11 2```
```01Mar  2.043M   755  XX09 1```
```01Mar  1.983M   746  XX10 1```
```01Mar  1.927M   742  XX02 1```
```01Mar  1.964M   742  XX02 1```
_Source: DLD, Databot_
_BUA - built-up area, sq.ft._
_P/sf - price per sq.ft._
_B - bedrooms; O - office_
_M - million, K- thousand_
_S - studio, R - shop_
_*Max 30 latest transactions_
www.trydatabot.com</t>
  </si>
  <si>
    <t>1010454, by code - other areas, Elegance Tower, *BUILDI</t>
  </si>
  <si>
    <t xml:space="preserve">*BUILDING*
*PROFILE*
*ELEGANCE TOWER*
_Area: Downtown_
_Tap&amp;hold to copy a reply_
```-------------------------```
```Report              Reply```
```-------------------------```
*1 B/R*
```Resell, ROI       1010408```
```Primary sales     1010456```
```Price chart       1010409```
```Rentals               n/a```
```Appreciation      1010411```
*2 B/R*
```Resell, ROI       1010412```
```Primary sales     1010457```
```Price chart       1010413```
```Rentals               n/a```
```Appreciation      1010415```
*All types/bedrooms*
```Resell, ROI       1010453```
```Primary sales     1010467```
```Rentals               n/a```
</t>
  </si>
  <si>
    <t>1010456, *SALES*</t>
  </si>
  <si>
    <t>*SALES*
*TRANSACTIONS (PRIMARY)**
*ELEGANCE TOWER*
_Area: Downtown_
_Type: 1 bedroom apartment_
```Date   Price  BUA Type P/sf```
```------------2024-----------```
```06Sep  2.24M  746 XX10 3003```
```18Mar 2.106M  827 XX01 2547```
```------------2023-----------```
```05Oct 2.242M  815 XX07 2751```
```26Jun 2.112M  899 XX08 2349```
```22Jun 2.015M  755 XX09 2668```
```07Jun 1.875M  781 XX02 2401```
```15May 2.473M  899 XX08 2751```
```04May 2.097M  768 XX01 2730```
```19Apr 1.941M  815 XX07 2382```
```19Apr 2.053M  742 XX02 2767```
```12Apr 2.156M  815 XX07 2645```
```11Apr 2.206M  746 XX10 2957```
```05Apr 2.027M  742 XX02 2732```
```03Apr 1.866M  768 XX01 2430```
```29Mar 2.001M  768 XX01 2605```
```29Mar 2.021M  755 XX09 2677```
```27Mar 2.449M  815 XX07 3005```
```27Mar 2.039M  768 XX01 2655```
```23Mar 2.224M  899 XX08 2474```
```21Mar 2.074M  768 XX01 2701```
_Source: DLD, Databot_
_BUA - built-up area, sq.ft._
_P/sf - price per sq.ft._
_B - bedrooms; O - office_
_M - million, K- thousand_
_S - studio, R - shop_
_*Max 20 latest transactions_
www.trydatabot.com</t>
  </si>
  <si>
    <t>1010457, *SALES*</t>
  </si>
  <si>
    <t>*SALES*
*TRANSACTIONS (PRIMARY)**
*ELEGANCE TOWER*
_Area: Downtown_
_Type: 2 bedroom apartment_
```Date   Price  BUA Type P/sf```
```------------2025-----------```
```29Apr 3.396M 1183 XX12 2871```
```24Mar 2.661M 1183 XX12 2249```
```28Feb 3.049M 1221 XX08 2497```
```28Feb 3.045M 1183 XX12 2574```
```27Feb  3.23M 1183 XX12 2730```
```26Feb 3.204M 1183 XX12 2708```
```26Feb 2.889M 1183 XX12 2442```
```26Feb 2.882M 1183 XX12 2436```
```26Feb 3.008M 1183 XX12 2542```
```------------2024-----------```
```31Dec 2.612M 1153 XX12 2266```
```14Jun 3.603M 1380 XX07 2611```
```------------2023-----------```
```28Aug 2.529M 1129 XX11 2240```
```03Aug 2.689M 1220 XX04 2204```
```03Aug 2.855M 1296 XX06 2203```
```20Jul 3.026M 1129 XX11 2680```
```17Jul 2.461M 1143 XX06 2153```
```13Jul 2.405M 1088 XX04 2210```
```22Jun 2.868M 1153 XX12 2488```
```22Jun 2.569M 1129 XX11 2275```
```22Jun 2.582M 1153 XX12 2239```
_Source: DLD, Databot_
_BUA - built-up area, sq.ft._
_P/sf - price per sq.ft._
_B - bedrooms; O - office_
_M - million, K- thousand_
_S - studio, R - shop_
_*Max 20 latest transactions_
www.trydatabot.com</t>
  </si>
  <si>
    <t>1010467, *SALES*</t>
  </si>
  <si>
    <t>*SALES*
*TRANSACTIONS (PRIMARY)**
*ELEGANCE TOWER*
_Area: Downtown_
_All types/bedrooms_
```Date    Price   BUA  Type B```
```------------2025-----------```
```29Apr  3.396M  1183  XX12 2```
```24Mar  2.661M  1183  XX12 2```
```28Feb  3.049M  1221  XX08 2```
```28Feb  3.045M  1183  XX12 2```
```27Feb   3.23M  1183  XX12 2```
```26Feb  3.204M  1183  XX12 2```
```26Feb  2.889M  1183  XX12 2```
```26Feb  2.882M  1183  XX12 2```
```26Feb  3.008M  1183  XX12 2```
```------------2024-----------```
```31Dec  2.612M  1153  XX12 2```
```06Sep   2.24M   746  XX10 1```
```14Jun  3.603M  1380  XX07 2```
```18Mar  2.106M   827  XX01 1```
```------------2023-----------```
```05Oct  2.242M   815  XX07 1```
```28Aug  2.529M  1129  XX11 2```
```03Aug  2.689M  1220  XX04 2```
```03Aug  2.855M  1296  XX06 2```
```20Jul  3.026M  1129  XX11 2```
```17Jul  2.461M  1143  XX06 2```
```13Jul  2.405M  1088  XX04 2```
_Source: DLD, Databot_
_BUA - built-up area, sq.ft._
_P/sf - price per sq.ft._
_B - bedrooms; O - office_
_M - million, K- thousand_
_S - studio, R - shop_
_*Max 20 latest transactions_
www.trydatabot.com</t>
  </si>
  <si>
    <t>1010468, *SALES*</t>
  </si>
  <si>
    <t>*SALES*
*TRANSACTIONS (RESALE)**
*ELITE DOWNTOWN RESIDENCE*
_Area: Downtown_
_Type: studio apartment_
_Gross ROI=7.16%_
_Median annual rent=83.5K_
```Date   Price  BUA Type P/sf```
```------------2026-----------```
```21Jan     1M  522 XX17 1916```
```19Jan 1.188M  514 XX08 2311```
```------------2025-----------```
```17Dec     1M  522 XX17 1916```
```11Dec  1.25M  526 XX20 2376```
```13Nov  1.02M  521 XX11 1958```
```12Nov   1.2M  514 XX08 2335```
```13Oct  1.16M  433 XX15 2679```
```15Sep  1.15M  514 XX08 2237```
```11Sep  1.15M  514 XX08 2237```
```26Aug   1.2M  431 XX15 2784```
```19Aug 1.175M  431 XX15 2726```
```11Aug  1.05M  524 XX17 2004```
```24Jun  1.05M  536 XX06 1959```
```02Jun  1.05M  536 XX06 1959```
```24Apr  1.35M  497 XX03 2716```
```18Apr  1.26M  522 XX17 2414```
```14Mar  1.17M  542 XX13 2159```
```03Mar  1.17M  536 XX06 2183```
```25Feb   1.1M  433 XX15 2540```
```31Jan  1.19M  526 XX20 2262```
```28Jan 1.337M  431 XX15 3101```
```------------2024-----------```
```27Dec   1.2M  514 XX08 2335```
```19Nov 1.315M  431 XX15 3051```
```19Nov 1.315M  431 XX15 3051```
```04Nov   1.2M  431 XX15 2784```
```14Oct 1.235M  431 XX15 2865```
```24Sep  1.31M  495 XX03 2646```
```16Sep   1.3M  431 XX15 3016```
```30Aug   1.6M  495 XX03 3232```
```06Aug 1.065M  531 XX12 2006```
_Source: DLD, Databot_
_BUA - built-up area, sq.ft._
_P/sf - price per sq.ft._
_B - bedrooms; O - office_
_M - million, K- thousand_
_S - studio, R - shop_
_*Max 30 latest transactions_
www.trydatabot.com</t>
  </si>
  <si>
    <t>Elite Downtown Residence</t>
  </si>
  <si>
    <t>1010469, *MARKET</t>
  </si>
  <si>
    <t>*MARKET*
*SNAPSHOT*
*ELITE DOWNTOWN RESIDENCE*
_Area: Downtown_
_Type: studio apartment_
*Price dynamics, Dirham/sq.ft.*
_(M - median value)_
```3101| *                    ```
```    |                      ```
```    |                      ```
```    |       *   **         ```
```    |               *      ```
```    |   *                  ```
```    |*     *         * *   ```
```2287|---------------------M```
```    |  *          **     * ```
```    |    **                ```
```1916|        ***      * * *```
```____|______________________```
```    |Dec2024        Jan2026```
_Source: see table below_
*Latest sales transactions*
```Date   Price  BUA Type P/sf```
```------------2026-----------```
```21Jan     1M  522 XX17 1916```
```19Jan 1.188M  514 XX08 2311```
```------------2025-----------```
```17Dec     1M  522 XX17 1916```
```11Dec  1.25M  526 XX20 2376```
```13Nov  1.02M  521 XX11 1958```
```12Nov   1.2M  514 XX08 2335```
```13Oct  1.16M  433 XX15 2679```
```15Sep  1.15M  514 XX08 2237```
```11Sep  1.15M  514 XX08 2237```
```26Aug   1.2M  431 XX15 2784```
```19Aug 1.175M  431 XX15 2726```
```11Aug  1.05M  524 XX17 2004```
```24Jun  1.05M  536 XX06 1959```
```02Jun  1.05M  536 XX06 1959```
```24Apr  1.35M  497 XX03 2716```
```18Apr  1.26M  522 XX17 2414```
```14Mar  1.17M  542 XX13 2159```
```03Mar  1.17M  536 XX06 2183```
```25Feb   1.1M  433 XX15 2540```
```31Jan  1.19M  526 XX20 2262```
```28Jan 1.337M  431 XX15 3101```
```------------2024-----------```
```27Dec   1.2M  514 XX08 2335```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</si>
  <si>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1010470, *NEW RE</t>
  </si>
  <si>
    <t>*NEW RENT*
*CONTRACTS**
_(renewals are not included)_
*ELITE DOWNTOWN RESIDENCE*
_Area: Downtown_
_Type: studio apartment_
```Date  Price   BUA  Type D/s```
```------------2026-----------```
```13Jan   90K   538  XXXX 167```
```04Jan   88K   527  XXXX 167```
```------------2025-----------```
```23Dec   83K   527  XXXX 157```
```22Dec   75K   538  XXXX 139```
```21Dec   75K   517  XXXX 145```
```01Dec   88K   538  XXXX 164```
```01Dec   88K   538  XXXX 164```
```25Nov   85K   431  XXXX 197```
```17Nov   95K   431  XXXX 220```
```15Nov   82K   431  XXXX 190```
```02Nov   82K   538  XXXX 152```
```01Nov   80K   538  XXXX 149```
```01Nov   80K   538  XXXX 149```
```01Nov   80K   431  XXXX 186```
```01Nov   80K   538  XXXX 149```
```25Oct  100K   431  XXXX 232```
```20Oct   85K   527  XXXX 161```
```15Oct   84K   538  XXXX 156```
```15Oct   75K   527  XXXX 142```
```14Oct 89.8K   495  XXXX 181```
_Source: DLD, Databot_
_BUA - built-up area, sq.ft._
_P/sf - price per sq.ft._
_B - bedrooms; O - office_
_M - million, K- thousand_
_S - studio, R - shop_
_*20 latest contracts_
www.trydatabot.com</t>
  </si>
  <si>
    <t>1010471, *RESELL</t>
  </si>
  <si>
    <t>*RESELL*
*VS PRIMARY*
*ELITE DOWNTOWN RESIDENCE*
_Area: Downtown_
_Type: studio apartment_
*Price dynamics, Dirham/sq.ft.*
_(x - primary; * - resell)_
```2784|            *         ```
```    |           *   *      ```
```    |                      ```
```    |                      ```
```2436|                      ```
```    |     x          * * * ```
```    |x         x  **       ```
```    |    x x  x            ```
```    | xxx   xx             ```
```1916|                 * * *```
```____|______________________```
```    |Jun2025        Jan2026```
_Source: see a table below_
*Latest resell transactions*
```Date   Price  BUA Type P/sf```
```------------2026-----------```
```21Jan     1M  522 XX17 1916```
```19Jan 1.188M  514 XX08 2311```
```------------2025-----------```
```17Dec     1M  522 XX17 1916```
```11Dec  1.25M  526 XX20 2376```
```13Nov  1.02M  521 XX11 1958```
```12Nov   1.2M  514 XX08 2335```
```13Oct  1.16M  433 XX15 2679```
```15Sep  1.15M  514 XX08 2237```
```11Sep  1.15M  514 XX08 2237```
```26Aug   1.2M  431 XX15 2784```
```19Aug 1.175M  431 XX15 2726```
```11Aug  1.05M  524 XX17 2004```
```24Jun  1.05M  536 XX06 1959```
```02Jun  1.05M  536 XX06 1959```
```24Apr  1.35M  497 XX03 2716```
```18Apr  1.26M  522 XX17 2414```
```14Mar  1.17M  542 XX13 2159```
*Latest primary transactions*
```------------2025-----------```
```13Oct  1.15M  514 XX08 2237```
```10Oct  1.15M  533 XX07 2158```
```18Aug  1.15M  542 XX13 2122```
```18Aug  1.15M  542 XX13 2122```
```12Aug  1.15M  533 XX07 2158```
```07Aug   1.2M  514 XX08 2335```
```24Jul 1.145M  521 XX11 2198```
```04Jul   1.1M  533 XX07 2064```
```04Jul   1.1M  542 XX13 2030```
```26Jun  1.15M  542 XX13 2122```
```04Jun 1.175M  514 XX08 2286```
```10Apr  1.25M  536 XX06 2332```
```28Jan 1.183M  521 XX11 2270```
```28Jan 1.183M  534 XX12 2215```
```------------2024-----------```
_Source: DLD, Databot_
_BUA - built-up area, sq.ft._
_P/sf - price per sq.ft._
_B - bedrooms; O - office_
_M - million, K- thousand_
_S - studio, R - shop_
www.trydatabot.com</t>
  </si>
  <si>
    <t>1010472, *SALES*</t>
  </si>
  <si>
    <t>*SALES*
*TRANSACTIONS (RESALE)**
*ELITE DOWNTOWN RESIDENCE*
_Area: Downtown_
_Type: 1 bedroom apartment_
_Gross ROI=5.61%_
_Median annual rent=115K_
```Date   Price  BUA Type P/sf```
```------------2025-----------```
```09Dec  2.19M  806 XX02 2717```
```04Dec 2.065M  809 XX02 2553```
```10Sep  2.05M  810 XXXX 2531```
```27Jun   1.9M  810 XXXX 2346```
```19Jun  2.25M  809 XX02 2781```
```03Mar  1.65M 1007 XX10 1639```
```21Feb  1.65M  824 XX01 2002```
```10Feb   2.1M  809 XX02 2596```
```10Feb     2M  810 XXXX 2469```
```10Jan  1.85M  806 XX02 2295```
```------------2024-----------```
```27Dec  1.66M 1003 XX10 1655```
```17Dec 2.107M 1007 XX10 2092```
```17Dec 2.107M 1006 XX09 2094```
```12Dec  1.65M 1002 XX09 1647```
```20Nov  2.15M  824 XX01 2609```
```30Sep  1.55M  810 XXXX 1914```
```13Jun 1.259M  810 XXXX 1554```
```07Jun 1.259M  810 XXXX 1554```
```07Jun 1.259M  810 XXXX 1554```
```21Mar 2.273M  821 XX01 2769```
```11Jan 1.619M  821 XX01 1972```
```------------2023-----------```
```06Sep 2.002M  810 XXXX 2472```
```07Jun   1.6M 1007 XX10 1589```
```14Feb  1.65M 1007 XX10 1639```
```------------2022-----------```
```30Sep   1.7M 1006 XX09 1690```
```30Sep   1.7M 1007 XX10 1688```
```18Aug  1.95M 1006 XX09 1938```
```18Aug  1.95M 1007 XX10 1936```
_Source: DLD, Databot_
_BUA - built-up area, sq.ft._
_P/sf - price per sq.ft._
_B - bedrooms; O - office_
_M - million, K- thousand_
_S - studio, R - shop_
_*Max 30 latest transactions_
www.trydatabot.com</t>
  </si>
  <si>
    <t>1010473, *MARKET</t>
  </si>
  <si>
    <t>*MARKET*
*SNAPSHOT*
*ELITE DOWNTOWN RESIDENCE*
_Area: Downtown_
_Type: 1 bedroom apartment_
*Price dynamics, Dirham/sq.ft.*
_(M - median value)_
```2781|  *              *    ```
```    |       *             *```
```    |              *    ** ```
```    |*            *        ```
```    |            *     *   ```
```2195|---------------------M```
```    |                      ```
```    |         **    *      ```
```    | *    *               ```
```    |                      ```
```1554|   ***  *  *    *     ```
```____|______________________```
```    |Sep2023        Dec2025```
_Source: see table below_
*Latest sales transactions*
```Date   Price  BUA Type P/sf```
```------------2025-----------```
```09Dec  2.19M  806 XX02 2717```
```04Dec 2.065M  809 XX02 2553```
```10Sep  2.05M  810 XXXX 2531```
```27Jun   1.9M  810 XXXX 2346```
```19Jun  2.25M  809 XX02 2781```
```03Mar  1.65M 1007 XX10 1639```
```21Feb  1.65M  824 XX01 2002```
```10Feb   2.1M  809 XX02 2596```
```10Feb     2M  810 XXXX 2469```
```10Jan  1.85M  806 XX02 2295```
```------------2024-----------```
```27Dec  1.66M 1003 XX10 1655```
```17Dec 2.107M 1007 XX10 2092```
```17Dec 2.107M 1006 XX09 2094```
```12Dec  1.65M 1002 XX09 1647```
```20Nov  2.15M  824 XX01 2609```
```30Sep  1.55M  810 XXXX 1914```
```13Jun 1.259M  810 XXXX 1554```
```07Jun 1.259M  810 XXXX 1554```
```07Jun 1.259M  810 XXXX 1554```
```21Mar 2.273M  821 XX01 2769```
```11Jan 1.619M  821 XX01 1972```
```------------2023-----------```
```06Sep 2.002M  810 XXXX 2472```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</si>
  <si>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1010474, *NEW RE</t>
  </si>
  <si>
    <t>*NEW RENT*
*CONTRACTS**
_(renewals are not included)_
*ELITE DOWNTOWN RESIDENCE*
_Area: Downtown_
_Type: 1 bedroom apartment_
```Date  Price   BUA  Type D/s```
```------------2026-----------```
```11Jan  110K   807  XXXX 136```
```10Jan  120K   807  XXXX 148```
```------------2025-----------```
```25Dec  120K   807  XXXX 149```
```08Dec  110K  1001  XXXX 110```
```06Dec  115K  1012  XXXX 114```
```28Nov  100K   807  XXXX 124```
```24Nov  120K   807  XXXX 149```
```20Nov  115K  1001  XXXX 115```
```20Nov  105K   807  XXXX 130```
```17Nov  105K   807  XXXX 130```
```15Nov  120K  1001  XXXX 120```
```10Nov  125K   807  XXXX 155```
```01Nov  100K   807  XXXX 124```
```01Nov  120K   829  XXXX 145```
```01Nov  120K  1012  XXXX 119```
```26Oct  105K   807  XXXX 130```
```25Oct  115K   807  XXXX 143```
```18Oct  120K   807  XXXX 149```
```16Oct  104K   818  XXXX 127```
```07Oct  100K   818  XXXX 122```
_Source: DLD, Databot_
_BUA - built-up area, sq.ft._
_P/sf - price per sq.ft._
_B - bedrooms; O - office_
_M - million, K- thousand_
_S - studio, R - shop_
_*20 latest contracts_
www.trydatabot.com</t>
  </si>
  <si>
    <t>1010475, *RESELL</t>
  </si>
  <si>
    <t>*RESELL*
*VS PRIMARY*
*ELITE DOWNTOWN RESIDENCE*
_Area: Downtown_
_Type: 1 bedroom apartment_
*Price dynamics, Dirham/sq.ft.*
_(x - primary; * - resell)_
```3897|x                     ```
```    |                      ```
```    |      x               ```
```    |       xx             ```
```2993|    x     x           ```
```    |   x     x       *   *```
```    |             **    ** ```
```    | xx         *     *   ```
```    |               *      ```
```1639|           *    *     ```
```____|______________________```
```    |Nov2022        Dec2025```
_Source: see a table below_
*Latest resell transactions*
```Date   Price  BUA Type P/sf```
```------------2025-----------```
```09Dec  2.19M  806 XX02 2717```
```04Dec 2.065M  809 XX02 2553```
```10Sep  2.05M  810 XXXX 2531```
```27Jun   1.9M  810 XXXX 2346```
```19Jun  2.25M  809 XX02 2781```
```03Mar  1.65M 1007 XX10 1639```
```21Feb  1.65M  824 XX01 2002```
```10Feb   2.1M  809 XX02 2596```
```10Feb     2M  810 XXXX 2469```
```10Jan  1.85M  806 XX02 2295```
```------------2024-----------```
```27Dec  1.66M 1003 XX10 1655```
```17Dec 2.107M 1007 XX10 2092```
```17Dec 2.107M 1006 XX09 2094```
```12Dec  1.65M 1002 XX09 1647```
```20Nov  2.15M  824 XX01 2609```
```30Sep  1.55M  810 XXXX 1914```
```13Jun 1.259M  810 XXXX 1554```
*Latest primary transactions*
```------------2023-----------```
```13Sep 2.488M  809 XX02 3076```
```12Sep 2.275M  806 XX02 2822```
```24Jul 2.636M  809 XX02 3258```
```26May 2.616M  810 XXXX 3229```
```08May 2.712M  810 XXXX 3348```
```03Mar 1.875M 1006 XX09 1864```
```09Feb 2.464M  810 XXXX 3042```
```30Jan  2.26M  810 XXXX 2790```
```------------2022-----------```
```20Dec 2.265M 1007 XX10 2249```
```04Nov 2.282M 1006 XXXX 2268```
```03Nov 3.211M  824 XXXX 3897```
```03Nov 2.387M  810 XX19 2947```
```24Oct   1.8M 1006 XX09 1789```
```19Oct 1.738M  807 XX18 2154```
_Source: DLD, Databot_
_BUA - built-up area, sq.ft._
_P/sf - price per sq.ft._
_B - bedrooms; O - office_
_M - million, K- thousand_
_S - studio, R - shop_
www.trydatabot.com</t>
  </si>
  <si>
    <t>1010476, *SALES*</t>
  </si>
  <si>
    <t>*SALES*
*TRANSACTIONS (RESALE)**
*ELITE DOWNTOWN RESIDENCE*
_Area: Downtown_
_Type: 2 bedroom apartment_
_Gross ROI=7.27% (confidence: low)_
_Median annual rent=165K_
```Date   Price  BUA Type P/sf```
```------------2025-----------```
```11Dec  1.25M 1366 XX05  915```
```17Oct  2.51M 1366 XX05 1837```
```17Feb 2.924M 1760 XX14 1661```
```30Jan   2.4M 1760 XX14 1364```
```------------2023-----------```
```25Oct  2.35M 1363 XX05 1724```
```13Sep 2.456M 1760 XX14 1396```
```12Sep  2.72M 1366 XX05 1991```
_Source: DLD, Databot_
_BUA - built-up area, sq.ft._
_P/sf - price per sq.ft._
_B - bedrooms; O - office_
_M - million, K- thousand_
_S - studio, R - shop_
_*Max 30 latest transactions_
www.trydatabot.com</t>
  </si>
  <si>
    <t>1010477, *MARKET</t>
  </si>
  <si>
    <t>*MARKET*
*SNAPSHOT*
*ELITE DOWNTOWN RESIDENCE*
_Area: Downtown_
_Type: 2 bedroom apartment_
*Price dynamics, Dirham/sq.ft.*
_(M - median value)_
```1991|               *      ```
```    |                    * ```
```    |                 *    ```
```1661|---------------------M```
```    |                   *  ```
```    |                      ```
```    |                      ```
```    |                * *   ```
```    |                      ```
```    |                      ```
```915 |                     *```
```____|______________________```
```    |Sep2023        Dec2025```
_Source: see table below_
*Latest sales transactions*
```Date   Price  BUA Type P/sf```
```------------2025-----------```
```11Dec  1.25M 1366 XX05  915```
```17Oct  2.51M 1366 XX05 1837```
```17Feb 2.924M 1760 XX14 1661```
```30Jan   2.4M 1760 XX14 1364```
```------------2023-----------```
```25Oct  2.35M 1363 XX05 1724```
```13Sep 2.456M 1760 XX14 1396```
```12Sep  2.72M 1366 XX05 1991```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</si>
  <si>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1010478, *NEW RE</t>
  </si>
  <si>
    <t>*NEW RENT*
*CONTRACTS**
_(renewals are not included)_
*ELITE DOWNTOWN RESIDENCE*
_Area: Downtown_
_Type: 2 bedroom apartment_
```Date  Price   BUA  Type D/s```
```------------2026-----------```
```01Jan  220K  1367  XXXX 161```
```------------2025-----------```
```25Dec  195K  1625  XXXX 120```
```18Nov  165K  1367  XXXX 121```
```10Nov  165K  1625  XXXX 102```
```01Nov  170K  1367  XXXX 124```
```04Oct  160K  1625  XXXX  98```
```09Sep  220K  1625  XXXX 135```
```01Aug  155K  1755  XXXX  88```
```01Jul  155K  1765  XXXX  88```
```01Jul  170K  1765  XXXX  96```
```11Apr  200K  1625  XXXX 123```
```24Mar  165K  1765  XXXX  93```
```24Mar  165K  1765  XXXX  93```
```24Mar  185K  1367  XXXX 135```
```24Mar  165K  1625  XXXX 102```
```24Mar  165K  1765  XXXX  93```
```24Mar  165K  1765  XXXX  93```
```24Mar  165K  1625  XXXX 102```
```24Mar  165K  1765  XXXX  93```
```01Feb  155K  1755  XXXX  88```
_Source: DLD, Databot_
_BUA - built-up area, sq.ft._
_P/sf - price per sq.ft._
_B - bedrooms; O - office_
_M - million, K- thousand_
_S - studio, R - shop_
_*20 latest contracts_
www.trydatabot.com</t>
  </si>
  <si>
    <t>1010479, *RESELL</t>
  </si>
  <si>
    <t>*RESELL*
*VS PRIMARY*
*ELITE DOWNTOWN RESIDENCE*
_Area: Downtown_
_Type: 2 bedroom apartment_
*Price dynamics, Dirham/sq.ft.*
_(x - primary; * - resell)_
```2196|       xxx            ```
```    |x  x                  ```
```    | x             *      ```
```    |    x x             * ```
```1684|     x    x      * *  ```
```    |  x                   ```
```    |                *     ```
```    |                      ```
```    |                      ```
```915 |                     *```
```____|______________________```
```    |Dec1899        Dec2025```
_Source: see a table below_
*Latest resell transactions*
```Date   Price  BUA Type P/sf```
```------------2025-----------```
```11Dec  1.25M 1366 XX05  915```
```17Oct  2.51M 1366 XX05 1837```
```17Feb 2.924M 1760 XX14 1661```
```30Jan   2.4M 1760 XX14 1364```
```------------2023-----------```
```25Oct  2.35M 1363 XX05 1724```
```13Sep 2.456M 1760 XX14 1396```
```12Sep  2.72M 1366 XX05 1991```
*Latest primary transactions*
```------------2024-----------```
```11Nov   2.9M 1760 XX14 1648```
```22Aug   3.5M 1630 XX16 2147```
```23May 3.579M 1630 XX16 2196```
```14Mar   3.5M 1630 XX16 2147```
```------------2023-----------```
```13Dec   3.1M 1760 XX14 1761```
```15Sep 3.051M 1760 XX14 1733```
```13Sep 3.019M 1630 XX16 1852```
```13Sep  3.41M 1630 XX16 2092```
```13Sep 2.841M 1760 XX14 1614```
```13Sep  3.09M 1630 XX16 1896```
```12Sep 3.414M 1630 XX16 2095```
```12Sep 2.385M 1760 XX14 1355```
```12Sep 2.894M 1760 XX14 1644```
```12Sep 2.912M 1628 XX16 1789```
_Source: DLD, Databot_
_BUA - built-up area, sq.ft._
_P/sf - price per sq.ft._
_B - bedrooms; O - office_
_M - million, K- thousand_
_S - studio, R - shop_
www.trydatabot.com</t>
  </si>
  <si>
    <t>1010480, *SALES*</t>
  </si>
  <si>
    <t>*SALES*
*TRANSACTIONS (RESALE)**
*ELITE DOWNTOWN RESIDENCE*
_Area: Downtown_
_Type: 3 bedroom apartment_
```Date   Price  BUA Type P/sf```
```------------2025-----------```
```09Jan 4.185M 1616 XX04 2590```
```------------2023-----------```
```13Sep 3.336M 1616 XX04 2064```
```13Sep 4.453M 1616 XX04 2756```
```02May   3.5M 1616 XX04 2166```
_Source: DLD, Databot_
_BUA - built-up area, sq.ft._
_P/sf - price per sq.ft._
_B - bedrooms; O - office_
_M - million, K- thousand_
_S - studio, R - shop_
_*Max 30 latest transactions_
www.trydatabot.com</t>
  </si>
  <si>
    <t>1010481, *MARKET</t>
  </si>
  <si>
    <t>*MARKET*
*SNAPSHOT*
*ELITE DOWNTOWN RESIDENCE*
_Area: Downtown_
_Type: 3 bedroom apartment_
*Price dynamics, Dirham/sq.ft.*
_(M - median value)_
```2756|                   *  ```
```    |                      ```
```    |                     *```
```    |                      ```
```    |                      ```
```2378|---------------------M```
```    |                      ```
```    |                      ```
```    |                      ```
```    |                  *   ```
```2064|                    * ```
```____|______________________```
```    |May2023        Jan2025```
_Source: see table below_
*Latest sales transactions*
```Date   Price  BUA Type P/sf```
```------------2025-----------```
```09Jan 4.185M 1616 XX04 2590```
```------------2023-----------```
```13Sep 3.336M 1616 XX04 2064```
```13Sep 4.453M 1616 XX04 2756```
```02May   3.5M 1616 XX04 2166```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</si>
  <si>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1010482, *NEW RE</t>
  </si>
  <si>
    <t>*NEW RENT*
*CONTRACTS**
_(renewals are not included)_
*ELITE DOWNTOWN RESIDENCE*
_Area: Downtown_
_Type: 3 bedroom apartment_
```Date  Price   BUA  Type D/s```
```------------2025-----------```
```15Dec  220K  1615  XXXX 136```
```10Nov  230K  1615  XXXX 142```
```01Nov  239K  1615  XXXX 148```
```21Jun  300K  1615  XXXX 186```
```24Mar  215K  1615  XXXX 133```
```------------2024-----------```
```15Dec  220K  1615  XXXX 136```
```13Nov  230K  1615  XXXX 142```
```15Oct  220K  1615  XXXX 136```
```16Sep  220K  1615  XXXX 136```
```05Jan  245K  1615  XXXX 152```
```------------2023-----------```
```20Aug  220K  1615  XXXX 136```
```05Aug  240K  1615  XXXX 149```
```01Apr  235K  1615  XXXX 146```
```05Jan  240K  1615  XXXX 149```
```05Jan  650K  1615  XXXX 402```
```------------2022-----------```
```05Sep  220K  1615  XXXX 136```
```05Aug  240K  1615  XXXX 149```
_Source: DLD, Databot_
_BUA - built-up area, sq.ft._
_P/sf - price per sq.ft._
_B - bedrooms; O - office_
_M - million, K- thousand_
_S - studio, R - shop_
_*20 latest contracts_
www.trydatabot.com</t>
  </si>
  <si>
    <t>1010483, *RESELL</t>
  </si>
  <si>
    <t>*RESELL*
*VS PRIMARY*
*ELITE DOWNTOWN RESIDENCE*
_Area: Downtown_
_Type: 3 bedroom apartment_
*Price dynamics, Dirham/sq.ft.*
_(x - primary; * - resell)_
```3032|         x            ```
```    |x      x              ```
```    |          x           ```
```    | x                 *  ```
```2644|        x             ```
```    |                     *```
```    |     x                ```
```    |                      ```
```    |  xx              *   ```
```2064|    x x             * ```
```____|______________________```
```    |Dec1899        Mar2025```
_Source: see a table below_
*Latest resell transactions*
```Date   Price  BUA Type P/sf```
```------------2025-----------```
```09Jan 4.185M 1616 XX04 2590```
```------------2023-----------```
```13Sep 3.336M 1616 XX04 2064```
```13Sep 4.453M 1616 XX04 2756```
```02May   3.5M 1616 XX04 2166```
*Latest primary transactions*
```------------2025-----------```
```05Mar   4.6M 1616 XX04 2847```
```------------2024-----------```
```24Apr   4.9M 1616 XX04 3032```
```11Mar   4.3M 1616 XX04 2661```
```------------2023-----------```
```06Dec 4.744M 1616 XX04 2935```
```25Oct 3.436M 1616 XX04 2126```
```13Sep 3.898M 1616 XX04 2412```
```12Sep 3.485M 1616 XX04 2157```
```12Sep 3.685M 1616 XX04 2280```
```24Jul   3.6M 1616 XX04 2228```
```11Jul   4.4M 1616 XX04 2723```
```------------2022-----------```
```15Dec 4.756M 1616 XX04 2943```
```08Dec   3.7M 1616 XX04 2290```
_Source: DLD, Databot_
_BUA - built-up area, sq.ft._
_P/sf - price per sq.ft._
_B - bedrooms; O - office_
_M - million, K- thousand_
_S - studio, R - shop_
www.trydatabot.com</t>
  </si>
  <si>
    <t>1010502, *NEW RE</t>
  </si>
  <si>
    <t>*NEW RENT*
*CONTRACTS**
_(renewals are not included)_
*ELITE DOWNTOWN RESIDENCE*
_Area: Downtown_
_Type: _
```Date  Price   BUA  Type D/s```
```------------2025-----------```
```18Feb  181K   700  XXXX 258```
```18Feb  196K   700  XXXX 279```
```------------2024-----------```
```23Jul  190K   700  XXXX 271```
```01Jan  261K  1453  XXXX 179```
```01Jan  261K  1453  XXXX 179```
```------------2023-----------```
```01Dec  128K   710  XXXX 180```
_Source: DLD, Databot_
_BUA - built-up area, sq.ft._
_P/sf - price per sq.ft._
_B - bedrooms; O - office_
_M - million, K- thousand_
_S - studio, R - shop_
_*20 latest contracts_
www.trydatabot.com</t>
  </si>
  <si>
    <t>1010516, *NEW RE</t>
  </si>
  <si>
    <t>*NEW RENT*
*CONTRACTS**
_(renewals are not included)_
*ELITE DOWNTOWN RESIDENCE*
_Area: Downtown_
_All types/bedrooms_
```Date    Price   BUA Type  B```
```------------2026-----------```
```13Jan     90K   538 XXXX  S```
```11Jan    110K   807 XXXX  1```
```10Jan  119.7K   807 XXXX  1```
```04Jan     88K   527 XXXX  S```
```01Jan    220K  1367 XXXX  2```
```------------2025-----------```
```25Dec    120K   807 XXXX  1```
```25Dec    195K  1625 XXXX  2```
```23Dec     83K   527 XXXX  S```
```22Dec     75K   538 XXXX  S```
```21Dec     75K   517 XXXX  S```
```15Dec    220K  1615 XXXX  3```
```08Dec    110K  1001 XXXX  1```
```06Dec    115K  1012 XXXX  1```
```01Dec     88K   538 XXXX  S```
```01Dec     88K   538 XXXX  S```
```28Nov    100K   807 XXXX  1```
```25Nov     85K   431 XXXX  S```
```24Nov    120K   807 XXXX  1```
```20Nov    115K  1001 XXXX  1```
```20Nov    105K   807 XXXX  1```
_Source: DLD, Databot_
_BUA - built-up area, sq.ft._
_P/sf - price per sq.ft._
_B - bedrooms; O - office_
_M - million, K- thousand_
_S - studio, R - shop_
_*20 latest contracts_
www.trydatabot.com</t>
  </si>
  <si>
    <t>1010517, *SALES*</t>
  </si>
  <si>
    <t>*SALES*
*TRANSACTIONS (RESALE)**
*ELITE DOWNTOWN RESIDENCE*
_Area: Downtown_
_All types/bedrooms_
```Date    Price   BUA  Type B```
```------------2026-----------```
```21Jan      1M   522  XX17 S```
```19Jan  1.188M   514  XX08 S```
```------------2025-----------```
```17Dec      1M   522  XX17 S```
```11Dec   1.25M  1366  XX05 2```
```11Dec   1.25M   526  XX20 S```
```09Dec   2.19M   806  XX02 1```
```04Dec  2.065M   809  XX02 1```
```13Nov   1.02M   521  XX11 S```
```12Nov    1.2M   514  XX08 S```
```17Oct   2.51M  1366  XX05 2```
```13Oct   1.16M   433  XX15 S```
```15Sep   1.15M   514  XX08 S```
```11Sep   1.15M   514  XX08 S```
```10Sep   2.05M   810  XXXX 1```
```26Aug    1.2M   431  XX15 S```
```19Aug  1.175M   431  XX15 S```
```11Aug   1.05M   524  XX17 S```
```27Jun    1.9M   810  XXXX 1```
```24Jun   1.05M   536  XX06 S```
```19Jun   2.25M   809  XX02 1```
```02Jun   1.05M   536  XX06 S```
```24Apr   1.35M   497  XX03 S```
```18Apr   1.26M   522  XX17 S```
```14Mar   1.17M   542  XX13 S```
```03Mar   1.65M  1007  XX10 1```
```03Mar   1.17M   536  XX06 S```
```25Feb    1.1M   433  XX15 S```
```21Feb   1.65M   824  XX01 1```
```17Feb  2.924M  1760  XX14 2```
```10Feb    2.1M   809  XX02 1```
_Source: DLD, Databot_
_BUA - built-up area, sq.ft._
_P/sf - price per sq.ft._
_B - bedrooms; O - office_
_M - million, K- thousand_
_S - studio, R - shop_
_*Max 30 latest transactions_
www.trydatabot.com</t>
  </si>
  <si>
    <t>1010518, by code - other areas, *BUILDI</t>
  </si>
  <si>
    <t xml:space="preserve">*BUILDING*
*PROFILE*
*ELITE DOWNTOWN RESIDENCE*
_Area: Downtown_
_Tap&amp;hold to copy a reply_
```-------------------------```
```Report              Reply```
```-------------------------```
*Studio*
```Resell, ROI       1010468```
```Primary sales     1010519```
```Price chart       1010469```
```Rentals           1010470```
```Appreciation      1010471```
*1 B/R*
```Resell, ROI       1010472```
```Primary sales     1010520```
```Price chart       1010473```
```Rentals           1010474```
```Appreciation      1010475```
*2 B/R*
```Resell, ROI       1010476```
```Primary sales     1010521```
```Price chart       1010477```
```Rentals           1010478```
```Appreciation      1010479```
*3 B/R*
```Resell, ROI       1010480```
```Primary sales     1010522```
```Price chart       1010481```
```Rentals           1010482```
```Appreciation      1010483```
*All types/bedrooms*
```Resell, ROI       1010517```
```Primary sales     1010531```
```Rentals           1010516```
</t>
  </si>
  <si>
    <t>1010519, *SALES*</t>
  </si>
  <si>
    <t>*SALES*
*TRANSACTIONS (PRIMARY)**
*ELITE DOWNTOWN RESIDENCE*
_Area: Downtown_
_Type: studio apartment_
```Date   Price  BUA Type P/sf```
```------------2025-----------```
```13Oct  1.15M  514 XX08 2237```
```10Oct  1.15M  533 XX07 2158```
```18Aug  1.15M  542 XX13 2122```
```18Aug  1.15M  542 XX13 2122```
```12Aug  1.15M  533 XX07 2158```
```07Aug   1.2M  514 XX08 2335```
```24Jul 1.145M  521 XX11 2198```
```04Jul   1.1M  533 XX07 2064```
```04Jul   1.1M  542 XX13 2030```
```26Jun  1.15M  542 XX13 2122```
```04Jun 1.175M  514 XX08 2286```
```10Apr  1.25M  536 XX06 2332```
```28Jan 1.183M  521 XX11 2270```
```28Jan 1.183M  534 XX12 2215```
```------------2024-----------```
```04Dec 1.275M  534 XX12 2388```
```04Dec 1.275M  533 XX07 2392```
```------------2023-----------```
```13Sep 1.314M  431 XX15 3048```
```13Sep 1.207M  431 XX15 2800```
```13Sep 1.584M  431 XX15 3676```
```12Sep 1.442M  431 XX15 3345```
_Source: DLD, Databot_
_BUA - built-up area, sq.ft._
_P/sf - price per sq.ft._
_B - bedrooms; O - office_
_M - million, K- thousand_
_S - studio, R - shop_
_*Max 20 latest transactions_
www.trydatabot.com</t>
  </si>
  <si>
    <t>1010520, *SALES*</t>
  </si>
  <si>
    <t>*SALES*
*TRANSACTIONS (PRIMARY)**
*ELITE DOWNTOWN RESIDENCE*
_Area: Downtown_
_Type: 1 bedroom apartment_
```Date   Price  BUA Type P/sf```
```------------2023-----------```
```13Sep 2.488M  809 XX02 3076```
```12Sep 2.275M  806 XX02 2822```
```24Jul 2.636M  809 XX02 3258```
```26May 2.616M  810 XXXX 3229```
```08May 2.712M  810 XXXX 3348```
```03Mar 1.875M 1006 XX09 1864```
```09Feb 2.464M  810 XXXX 3042```
```30Jan  2.26M  810 XXXX 2790```
```------------2022-----------```
```20Dec 2.265M 1007 XX10 2249```
```04Nov 2.282M 1006 XXXX 2268```
```03Nov 3.211M  824 XXXX 3897```
```03Nov 2.387M  810 XX19 2947```
```24Oct   1.8M 1006 XX09 1789```
```19Oct 1.738M  807 XX18 2154```
```29Sep 2.572M  824 XX01 3121```
```27Sep  1.83M 1007 XX10 1818```
```27Sep 2.455M  810 XX19 3031```
```26Sep 2.581M  824 XX01 3132```
```30Aug 2.295M  824 XX01 2785```
```25Aug 3.046M  809 XX02 3766```
_Source: DLD, Databot_
_BUA - built-up area, sq.ft._
_P/sf - price per sq.ft._
_B - bedrooms; O - office_
_M - million, K- thousand_
_S - studio, R - shop_
_*Max 20 latest transactions_
www.trydatabot.com</t>
  </si>
  <si>
    <t>1010521, *SALES*</t>
  </si>
  <si>
    <t>*SALES*
*TRANSACTIONS (PRIMARY)**
*ELITE DOWNTOWN RESIDENCE*
_Area: Downtown_
_Type: 2 bedroom apartment_
```Date   Price  BUA Type P/sf```
```------------2024-----------```
```11Nov   2.9M 1760 XX14 1648```
```22Aug   3.5M 1630 XX16 2147```
```23May 3.579M 1630 XX16 2196```
```14Mar   3.5M 1630 XX16 2147```
```------------2023-----------```
```13Dec   3.1M 1760 XX14 1761```
```15Sep 3.051M 1760 XX14 1733```
```13Sep 3.019M 1630 XX16 1852```
```13Sep  3.41M 1630 XX16 2092```
```13Sep 2.841M 1760 XX14 1614```
```13Sep  3.09M 1630 XX16 1896```
```12Sep 3.414M 1630 XX16 2095```
```12Sep 2.385M 1760 XX14 1355```
```12Sep 2.894M 1760 XX14 1644```
```12Sep 2.912M 1628 XX16 1789```
```12Sep  2.93M 1760 XX14 1665```
```12Sep 2.933M 1366 XX05 2147```
```12Sep 3.122M 1760 XX14 1774```
```12Sep 2.948M 1628 XX16 1811```
```21Jun  2.84M 1760 XX14 1614```
```21Jun 3.088M 1760 XX14 1755```
_Source: DLD, Databot_
_BUA - built-up area, sq.ft._
_P/sf - price per sq.ft._
_B - bedrooms; O - office_
_M - million, K- thousand_
_S - studio, R - shop_
_*Max 20 latest transactions_
www.trydatabot.com</t>
  </si>
  <si>
    <t>1010522, *SALES*</t>
  </si>
  <si>
    <t>*SALES*
*TRANSACTIONS (PRIMARY)**
*ELITE DOWNTOWN RESIDENCE*
_Area: Downtown_
_Type: 3 bedroom apartment_
```Date   Price  BUA Type P/sf```
```------------2025-----------```
```05Mar   4.6M 1616 XX04 2847```
```------------2024-----------```
```24Apr   4.9M 1616 XX04 3032```
```11Mar   4.3M 1616 XX04 2661```
```------------2023-----------```
```06Dec 4.744M 1616 XX04 2935```
```25Oct 3.436M 1616 XX04 2126```
```13Sep 3.898M 1616 XX04 2412```
```12Sep 3.485M 1616 XX04 2157```
```12Sep 3.685M 1616 XX04 2280```
```24Jul   3.6M 1616 XX04 2228```
```11Jul   4.4M 1616 XX04 2723```
```------------2022-----------```
```15Dec 4.756M 1616 XX04 2943```
```08Dec   3.7M 1616 XX04 2290```
```26Oct     4M 1616 XX04 2475```
```10Oct 5.369M 1616 XX04 3322```
```27Apr 5.292M 1616 XX04 3275```
```11Mar 2.981M 1616 XX04 1845```
```22Feb 2.993M 1616 XX04 1852```
_Source: DLD, Databot_
_BUA - built-up area, sq.ft._
_P/sf - price per sq.ft._
_B - bedrooms; O - office_
_M - million, K- thousand_
_S - studio, R - shop_
_*Max 20 latest transactions_
www.trydatabot.com</t>
  </si>
  <si>
    <t>1010531, *SALES*</t>
  </si>
  <si>
    <t>*SALES*
*TRANSACTIONS (PRIMARY)**
*ELITE DOWNTOWN RESIDENCE*
_Area: Downtown_
_All types/bedrooms_
```Date    Price   BUA  Type B```
```------------2025-----------```
```13Oct   1.15M   514  XX08 S```
```10Oct   1.15M   533  XX07 S```
```18Aug   1.15M   542  XX13 S```
```18Aug   1.15M   542  XX13 S```
```12Aug   1.15M   533  XX07 S```
```07Aug    1.2M   514  XX08 S```
```24Jul  1.145M   521  XX11 S```
```04Jul    1.1M   533  XX07 S```
```04Jul    1.1M   542  XX13 S```
```26Jun   1.15M   542  XX13 S```
```04Jun  1.175M   514  XX08 S```
```10Apr   1.25M   536  XX06 S```
```05Mar    4.6M  1616  XX04 3```
```28Jan  1.183M   521  XX11 S```
```28Jan  1.183M   534  XX12 S```
```------------2024-----------```
```04Dec  1.275M   534  XX12 S```
```04Dec  1.275M   533  XX07 S```
```11Nov    2.9M  1760  XX14 2```
```22Aug    3.5M  1630  XX16 2```
```23May  3.579M  1630  XX16 2```
_Source: DLD, Databot_
_BUA - built-up area, sq.ft._
_P/sf - price per sq.ft._
_B - bedrooms; O - office_
_M - million, K- thousand_
_S - studio, R - shop_
_*Max 20 latest transactions_
www.trydatabot.com</t>
  </si>
  <si>
    <t>1010560, *SALES*</t>
  </si>
  <si>
    <t>*SALES*
*TRANSACTIONS**
*EMAAR SQUARE B1*
_Area: Downtown_
_Type: office_
```Date   Price  BUA Type P/sf```
```------------2025-----------```
```01Sep    95M  28K XXXX 3360```
```14Feb  82.5M  26K XXXX 3119```
```------------2024-----------```
```30Oct    12M 5581 XXXX 2150```
```------------2022-----------```
```30Aug    18M 5581 XXXX 3225```
```------------2021-----------```
```27Jun    10M 5581 XXXX 1792```
```------------2015-----------```
```16Nov 9.135M 3162 XXXX 2889```
```16Nov 9.555M 3207 XXXX 2979```
```16Nov 11.53M 3802 XXXX 3032```
```16Nov   9.6M 3418 XXXX 2809```
```16Nov   9.6M 3385 XXXX 2836```
```16Nov 13.71M 4546 XXXX 3016```
```16Nov 13.89M 4420 XXXX 3143```
```16Nov 11.61M 3714 XXXX 3127```
```16Nov  9.37M 3170 XXXX 2956```
```16Nov 9.368M 3385 XXXX 2768```
```16Nov 8.018M 2607 XXXX 3076```
```16Nov 9.368M 3182 XXXX 2944```
```16Nov 8.018M 2783 XXXX 2881```
_Source: DLD, Databot_
_BUA - built-up area, sq.ft._
_P/sf - price per sq.ft._
_B - bedrooms; O - office_
_M - million, K- thousand_
_S - studio, R - shop_
_*Max 30 latest transactions_
www.trydatabot.com</t>
  </si>
  <si>
    <t>Emaar Square B1</t>
  </si>
  <si>
    <t>1010561, *MARKET</t>
  </si>
  <si>
    <t>*MARKET*
*SNAPSHOT*
*EMAAR SQUARE B1*
_Area: Downtown_
_Type: office_
*Price dynamics, Dirham/sq.ft.*
_(M - median value)_
```3360|                     *```
```    |         **       *   ```
```2968|---------------------M```
```    |      *    *  **    * ```
```    |    **  *   *   *     ```
```    |       *     *        ```
```    |                      ```
```    |                      ```
```    |                      ```
```    |                   *  ```
```1792|                 *    ```
```____|______________________```
```    |Nov2015        Sep2025```
_Source: see table below_
*Latest sales transactions*
```Date   Price  BUA Type P/sf```
```------------2025-----------```
```01Sep    95M  28K XXXX 3360```
```14Feb  82.5M  26K XXXX 3119```
```------------2024-----------```
```30Oct    12M 5581 XXXX 2150```
```------------2022-----------```
```30Aug    18M 5581 XXXX 3225```
```------------2021-----------```
```27Jun    10M 5581 XXXX 1792```
```------------2015-----------```
```16Nov 9.135M 3162 XXXX 2889```
```16Nov 9.555M 3207 XXXX 2979```
```16Nov 11.53M 3802 XXXX 3032```
```16Nov   9.6M 3418 XXXX 2809```
```16Nov   9.6M 3385 XXXX 2836```
```16Nov 13.71M 4546 XXXX 3016```
```16Nov 13.89M 4420 XXXX 3143```
```16Nov 11.61M 3714 XXXX 3127```
```16Nov  9.37M 3170 XXXX 2956```
```16Nov 9.368M 3385 XXXX 2768```
```16Nov 8.018M 2607 XXXX 3076```
```16Nov 9.368M 3182 XXXX 2944```
```16Nov 8.018M 2783 XXXX 2881```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</si>
  <si>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1010582, by code, *BUILDI</t>
  </si>
  <si>
    <t xml:space="preserve">*BUILDING*
*PROFILE*
*EMAAR SQUARE B1*
_Area: Downtown_
_Tap&amp;hold to copy a reply_
```-------------------------```
```Report              Reply```
```-------------------------```
*Office*
```Sales, ROI        1010560```
```Price chart       1010561```
```Rentals               n/a```
*All types/bedrooms*
```Sales, ROI        1010581```
```Rentals               n/a```
</t>
  </si>
  <si>
    <t>1010624, *SALES*</t>
  </si>
  <si>
    <t>*SALES*
*TRANSACTIONS**
*EMAAR SQUARE B2*
_Area: Downtown_
_Type: office_
```Date   Price  BUA Type P/sf```
```------------2025-----------```
```11Nov  10.8M 3802 XXXX 2841```
```------------2023-----------```
```12Dec 9.592M 3802 XXXX 2523```
```------------2017-----------```
```29Mar 6.164M 1982 XXXX 3110```
_Source: DLD, Databot_
_BUA - built-up area, sq.ft._
_P/sf - price per sq.ft._
_B - bedrooms; O - office_
_M - million, K- thousand_
_S - studio, R - shop_
_*Max 30 latest transactions_
www.trydatabot.com</t>
  </si>
  <si>
    <t>Emaar Square B2</t>
  </si>
  <si>
    <t>1010625, *MARKET</t>
  </si>
  <si>
    <t>*MARKET*
*SNAPSHOT*
*EMAAR SQUARE B2*
_Area: Downtown_
_Type: office_
*Price dynamics, Dirham/sq.ft.*
_(M - median value)_
```3110|                   *  ```
```    |                      ```
```    |                      ```
```    |                      ```
```    |                      ```
```2841|---------------------M```
```    |                     *```
```    |                      ```
```    |                      ```
```    |                      ```
```2523|                    * ```
```____|______________________```
```    |Mar2017        Nov2025```
_Source: see table below_
*Latest sales transactions*
```Date   Price  BUA Type P/sf```
```------------2025-----------```
```11Nov  10.8M 3802 XXXX 2841```
```------------2023-----------```
```12Dec 9.592M 3802 XXXX 2523```
```------------2017-----------```
```29Mar 6.164M 1982 XXXX 3110```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</si>
  <si>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1010646, by code, *BUILDI</t>
  </si>
  <si>
    <t xml:space="preserve">*BUILDING*
*PROFILE*
*EMAAR SQUARE B2*
_Area: Downtown_
_Tap&amp;hold to copy a reply_
```-------------------------```
```Report              Reply```
```-------------------------```
*Office*
```Sales, ROI        1010624```
```Price chart       1010625```
```Rentals               n/a```
*All types/bedrooms*
```Sales, ROI        1010645```
```Rentals               n/a```
</t>
  </si>
  <si>
    <t>1010688, *SALES*</t>
  </si>
  <si>
    <t>*SALES*
*TRANSACTIONS**
*EMAAR SQUARE B4*
_Area: Downtown_
_Type: office_
```Date   Price  BUA Type P/sf```
```------------2025-----------```
```30Sep  10.7M 2874 XXXX 3723```
```08Jan  13.7M 3299 XXXX 4153```
```------------2024-----------```
```29Oct    10M 2874 XXXX 3479```
```25Sep 3.907M 3299 XXXX 1184```
```23Jul    11M 3813 XXXX 2885```
```23Jul    13M 4582 XXXX 2837```
```15Jul   9.3M 3239 XXXX 2871```
```------------2023-----------```
```18Sep   8.5M 3197 XXXX 2659```
```03Apr    10M 3239 XXXX 3087```
```------------2022-----------```
```02Aug 5.531M 3197 XXXX 1730```
```21Jun  10.4M 3197 XXXX 3253```
```09Jun  8.41M 4632 XXXX 1816```
```24May 7.005M 4582 XXXX 1529```
```29Apr  4.34M 3283 XXXX 1322```
```21Apr 5.225M 3813 XXXX 1370```
```20Feb 5.145M 3895 XXXX 1321```
```20Feb 4.162M 3151 XXXX 1321```
```------------2021-----------```
```23May  5.73M 3197 XXXX 1792```
```------------2020-----------```
```10Sep 5.831M 3239 XXXX 1800```
```------------2019-----------```
```19Dec 4.505M 3299 XXXX 1366```
```05Aug 4.565M 3197 XXXX 1428```
```------------2018-----------```
```16May 74.35M  29K XXXX 2565```
```16May 38.01M  15K XXXX 2494```
```28Apr   8.5M 2874 XXXX 2958```
```------------2017-----------```
```15Nov   7.7M 2874 XXXX 2679```
```30Jul   6.8M 3239 XXXX 2099```
```------------2015-----------```
```19Oct 9.655M 3239 XXXX 2981```
```13Jul 9.455M 3197 XXXX 2957```
```13Jul 9.778M 3299 XXXX 2964```
_Source: DLD, Databot_
_BUA - built-up area, sq.ft._
_P/sf - price per sq.ft._
_B - bedrooms; O - office_
_M - million, K- thousand_
_S - studio, R - shop_
_*Max 30 latest transactions_
www.trydatabot.com</t>
  </si>
  <si>
    <t>Emaar Square B4</t>
  </si>
  <si>
    <t>1010689, *MARKET</t>
  </si>
  <si>
    <t>*MARKET*
*SNAPSHOT*
*EMAAR SQUARE B4*
_Area: Downtown_
_Type: office_
*Price dynamics, Dirham/sq.ft.*
_(M - median value)_
```4153|                    * ```
```    |                     *```
```    |                   *  ```
```    |           *          ```
```    |             * ***    ```
```    |*             *       ```
```    |                      ```
```    |                      ```
```1808|---------------------M```
```    |   **    ** *         ```
```1184| **  ****         *   ```
```____|______________________```
```    |May2018        Sep2025```
_Source: see table below_
*Latest sales transactions*
```Date   Price  BUA Type P/sf```
```------------2025-----------```
```30Sep  10.7M 2874 XXXX 3723```
```08Jan  13.7M 3299 XXXX 4153```
```------------2024-----------```
```29Oct    10M 2874 XXXX 3479```
```25Sep 3.907M 3299 XXXX 1184```
```23Jul    11M 3813 XXXX 2885```
```23Jul    13M 4582 XXXX 2837```
```15Jul   9.3M 3239 XXXX 2871```
```------------2023-----------```
```18Sep   8.5M 3197 XXXX 2659```
```03Apr    10M 3239 XXXX 3087```
```------------2022-----------```
```02Aug 5.531M 3197 XXXX 1730```
```21Jun  10.4M 3197 XXXX 3253```
```09Jun  8.41M 4632 XXXX 1816```
```24May 7.005M 4582 XXXX 1529```
```29Apr  4.34M 3283 XXXX 1322```
```21Apr 5.225M 3813 XXXX 1370```
```20Feb 5.145M 3895 XXXX 1321```
```20Feb 4.162M 3151 XXXX 1321```
```------------2021-----------```
```23May  5.73M 3197 XXXX 1792```
```------------2020-----------```
```10Sep 5.831M 3239 XXXX 1800```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</si>
  <si>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1010710, by code, *BUILDI</t>
  </si>
  <si>
    <t xml:space="preserve">*BUILDING*
*PROFILE*
*EMAAR SQUARE B4*
_Area: Downtown_
_Tap&amp;hold to copy a reply_
```-------------------------```
```Report              Reply```
```-------------------------```
*Office*
```Sales, ROI        1010688```
```Price chart       1010689```
```Rentals               n/a```
*All types/bedrooms*
```Sales, ROI        1010709```
```Rentals               n/a```
</t>
  </si>
  <si>
    <t>1010724, *SALES*</t>
  </si>
  <si>
    <t>*SALES*
*TRANSACTIONS (RESALE)**
*EXQUISITE LIVING RESIDENCE*
_Area: Downtown_
_Type: studio apartment_
```Date   Price  BUA Type P/sf```
```------------2025-----------```
```04Apr 801.9K  553 XX03 1450```
_Source: DLD, Databot_
_BUA - built-up area, sq.ft._
_P/sf - price per sq.ft._
_B - bedrooms; O - office_
_M - million, K- thousand_
_S - studio, R - shop_
_*Max 30 latest transactions_
www.trydatabot.com</t>
  </si>
  <si>
    <t>Exquisite Living Residence</t>
  </si>
  <si>
    <t>1010725, *MARKET</t>
  </si>
  <si>
    <t>*MARKET*
*SNAPSHOT*
*EXQUISITE LIVING RESIDENCE*
_Area: Downtown_
_Type: studio apartment_
*Price dynamics, Dirham/sq.ft.*
_(M - median value)_
```1450|                     *```
```1450|----------------------```
```    |                     *```
```1450|---------------------M```
```    |                     *```
```1450|---------------------M```
```    |                     *```
```1450|---------------------M```
```    |                     *```
```1450|---------------------M```
```    |                     *```
```____|______________________```
```    |Apr2025        Apr2025```
_Source: see table below_
*Latest sales transactions*
```Date   Price  BUA Type P/sf```
```------------2025-----------```
```04Apr 801.9K  553 XX03 1450```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</si>
  <si>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1010727, *RESELL</t>
  </si>
  <si>
    <t>*RESELL*
*VS PRIMARY*
*EXQUISITE LIVING RESIDENCE*
_Area: Downtown_
_Type: studio apartment_
*Price dynamics, Dirham/sq.ft.*
_(x - primary; * - resell)_
```1450|          x          *```
```    |          x          *```
```    |          x          *```
```    |          x          *```
```1450|          x          *```
```    |          x          *```
```    |          x          *```
```    |          x          *```
```    |          x          *```
```1450|          x          *```
```____|______________________```
```    |Dec1899        Apr2025```
_Source: see a table below_
*Latest resell transactions*
```Date   Price  BUA Type P/sf```
```------------2025-----------```
```04Apr 801.9K  553 XX03 1450```
*Latest primary transactions*
```------------2025-----------```
```04Apr 867.1K  598 XX03 1450```</t>
  </si>
  <si>
    <t>1010728, *SALES*</t>
  </si>
  <si>
    <t>*SALES*
*TRANSACTIONS (RESALE)**
*EXQUISITE LIVING RESIDENCE*
_Area: Downtown_
_Type: 1 bedroom apartment_
```Date   Price  BUA Type P/sf```
```------------2026-----------```
```20Jan  2.45M  970 XX01 2526```
```------------2025-----------```
```24Dec   3.3M 1446 XX04 2282```
```16Dec 3.218M 1379 XX01 2333```
```28Jul  3.64M 1163 XX02 3130```
```13Mar   2.5M 1441 XX04 1735```
```07Feb 3.218M 1379 XX01 2333```
```------------2024-----------```
```19Aug 3.025M 1156 XX02 2617```
```31Jul  2.45M  977 XX01 2508```
```26Jun  2.36M 1154 XX02 2045```
```12Jun  2.75M 1156 XX02 2379```
```25Mar 2.553M 1379 XX01 1851```
```07Feb   2.8M 1379 XX01 2030```
```------------2023-----------```
```01Nov  2.79M 1446 XX04 1929```
```04Aug   2.8M 1446 XX04 1936```
```19Jun  3.25M 1446 XX04 2248```
```15Jun   2.3M 1156 XX02 1990```
_Source: DLD, Databot_
_BUA - built-up area, sq.ft._
_P/sf - price per sq.ft._
_B - bedrooms; O - office_
_M - million, K- thousand_
_S - studio, R - shop_
_*Max 30 latest transactions_
www.trydatabot.com</t>
  </si>
  <si>
    <t>1010729, *MARKET</t>
  </si>
  <si>
    <t>*MARKET*
*SNAPSHOT*
*EXQUISITE LIVING RESIDENCE*
_Area: Downtown_
_Type: 1 bedroom apartment_
*Price dynamics, Dirham/sq.ft.*
_(M - median value)_
```3130|                  *   ```
```    |                      ```
```    |                      ```
```    |                      ```
```    |              **     *```
```    |            *         ```
```2265|---------------------M```
```    |       *        *  ** ```
```    |                      ```
```    |      * ***  *        ```
```1735|           *     *    ```
```____|______________________```
```    |Jun2023        Jan2026```
_Source: see table below_
*Latest sales transactions*
```Date   Price  BUA Type P/sf```
```------------2026-----------```
```20Jan  2.45M  970 XX01 2526```
```------------2025-----------```
```24Dec   3.3M 1446 XX04 2282```
```16Dec 3.218M 1379 XX01 2333```
```28Jul  3.64M 1163 XX02 3130```
```13Mar   2.5M 1441 XX04 1735```
```07Feb 3.218M 1379 XX01 2333```
```------------2024-----------```
```19Aug 3.025M 1156 XX02 2617```
```31Jul  2.45M  977 XX01 2508```
```26Jun  2.36M 1154 XX02 2045```
```12Jun  2.75M 1156 XX02 2379```
```25Mar 2.553M 1379 XX01 1851```
```07Feb   2.8M 1379 XX01 2030```
```------------2023-----------```
```01Nov  2.79M 1446 XX04 1929```
```04Aug   2.8M 1446 XX04 1936```
```19Jun  3.25M 1446 XX04 2248```
```15Jun   2.3M 1156 XX02 1990```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</si>
  <si>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1010731, *RESELL</t>
  </si>
  <si>
    <t>*RESELL*
*VS PRIMARY*
*EXQUISITE LIVING RESIDENCE*
_Area: Downtown_
_Type: 1 bedroom apartment_
*Price dynamics, Dirham/sq.ft.*
_(x - primary; * - resell)_
```3157|    xx            *   ```
```    |                      ```
```    |                      ```
```    |                      ```
```2589|x xx      x    *     *```
```    |      xxx   * *       ```
```    |                *  ** ```
```    | x                    ```
```    |         x   *        ```
```1735|           *     *    ```
```____|______________________```
```    |Mar2024        Jan2026```
_Source: see a table below_
*Latest resell transactions*
```Date   Price  BUA Type P/sf```
```------------2026-----------```
```20Jan  2.45M  970 XX01 2526```
```------------2025-----------```
```24Dec   3.3M 1446 XX04 2282```
```16Dec 3.218M 1379 XX01 2333```
```28Jul  3.64M 1163 XX02 3130```
```13Mar   2.5M 1441 XX04 1735```
```07Feb 3.218M 1379 XX01 2333```
```------------2024-----------```
```19Aug 3.025M 1156 XX02 2617```
```31Jul  2.45M  977 XX01 2508```
```26Jun  2.36M 1154 XX02 2045```
```12Jun  2.75M 1156 XX02 2379```
```25Mar 2.553M 1379 XX01 1851```
```07Feb   2.8M 1379 XX01 2030```
```------------2023-----------```
```01Nov  2.79M 1446 XX04 1929```
```04Aug   2.8M 1446 XX04 1936```
```19Jun  3.25M 1446 XX04 2248```
*Latest primary transactions*
```------------2025-----------```
```08Dec 2.475M  970 XX01 2552```
```------------2024-----------```
```08Nov 2.874M 1446 XX04 1988```
```07Oct  3.41M 1379 XX01 2473```
```03Oct 3.395M 1379 XX01 2462```
```25Sep 3.304M 1373 XX01 2406```
```02Sep 3.671M 1163 XX02 3157```
```02Sep 3.629M 1160 XX02 3128```
```13Jun 2.973M 1154 XX02 2576```
```03Jun 3.689M 1441 XX04 2560```
```28May 3.035M 1373 XX01 2210```
```27May  2.93M 1154 XX02 2539```
```20May  3.38M 1156 XX02 2924```
```06May 3.274M 1154 XX02 2837```
```08Mar 3.159M 1373 XX01 2300```
_Source: DLD, Databot_
_BUA - built-up area, sq.ft._
_P/sf - price per sq.ft._
_B - bedrooms; O - office_
_M - million, K- thousand_
_S - studio, R - shop_
www.trydatabot.com</t>
  </si>
  <si>
    <t>1010732, *SALES*</t>
  </si>
  <si>
    <t>*SALES*
*TRANSACTIONS (RESALE)**
*EXQUISITE LIVING RESIDENCE*
_Area: Downtown_
_Type: 2 bedroom apartment_
```Date   Price  BUA Type P/sf```
```------------2025-----------```
```04Dec   4.3M 1682 XX03 2556```
```15Sep   4.7M 1572 XXXX 2990```
```11Sep 4.134M 1658 XX03 2493```
```15Jul   5.3M 1965 XX05 2697```
```11Jul   4.5M 1572 XX06 2863```
```25Apr   4.3M 1570 XX06 2739```
```22Apr  5.85M 1829 XX05 3198```
```13Mar   2.9M 1570 XX06 1847```
```09Jan   4.3M 1572 XX06 2735```
```06Jan   5.6M 1829 XX05 3062```
```------------2024-----------```
```16Dec   4.7M 1825 XX05 2575```
```07Nov 5.558M 1970 XX02 2821```
```10Oct   6.5M 2325 XX01 2796```
```12Sep   3.6M 1825 XX05 1973```
```16Aug   4.9M 1829 XX05 2679```
```18Apr  6.35M 1972 XX05 3220```
```18Apr  6.35M 1972 XX05 3220```
```28Mar 4.528M 1972 XX05 2296```
```26Feb 3.615M 1660 XX03 2178```
```------------2023-----------```
```01Nov   4.9M 1829 XX05 2679```
```16Jun   3.7M 1660 XX03 2229```
_Source: DLD, Databot_
_BUA - built-up area, sq.ft._
_P/sf - price per sq.ft._
_B - bedrooms; O - office_
_M - million, K- thousand_
_S - studio, R - shop_
_*Max 30 latest transactions_
www.trydatabot.com</t>
  </si>
  <si>
    <t>1010733, *MARKET</t>
  </si>
  <si>
    <t>*MARKET*
*SNAPSHOT*
*EXQUISITE LIVING RESIDENCE*
_Area: Downtown_
_Type: 2 bedroom apartment_
*Price dynamics, Dirham/sq.ft.*
_(M - median value)_
```3220|     **        *      ```
```    |            *         ```
```    |                    * ```
```    |         **      *    ```
```2697|---------------------M```
```    |  *    *     *  * *   ```
```    |           *       * *```
```    |                      ```
```    | *  *                 ```
```    |   *                  ```
```1847|        *     *       ```
```____|______________________```
```    |Jun2023        Dec2025```
_Source: see table below_
*Latest sales transactions*
```Date   Price  BUA Type P/sf```
```------------2025-----------```
```04Dec   4.3M 1682 XX03 2556```
```15Sep   4.7M 1572 XXXX 2990```
```11Sep 4.134M 1658 XX03 2493```
```15Jul   5.3M 1965 XX05 2697```
```11Jul   4.5M 1572 XX06 2863```
```25Apr   4.3M 1570 XX06 2739```
```22Apr  5.85M 1829 XX05 3198```
```13Mar   2.9M 1570 XX06 1847```
```09Jan   4.3M 1572 XX06 2735```
```06Jan   5.6M 1829 XX05 3062```
```------------2024-----------```
```16Dec   4.7M 1825 XX05 2575```
```07Nov 5.558M 1970 XX02 2821```
```10Oct   6.5M 2325 XX01 2796```
```12Sep   3.6M 1825 XX05 1973```
```16Aug   4.9M 1829 XX05 2679```
```18Apr  6.35M 1972 XX05 3220```
```18Apr  6.35M 1972 XX05 3220```
```28Mar 4.528M 1972 XX05 2296```
```26Feb 3.615M 1660 XX03 2178```
```------------2023-----------```
```01Nov   4.9M 1829 XX05 2679```
```16Jun   3.7M 1660 XX03 2229```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</si>
  <si>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1010735, *RESELL</t>
  </si>
  <si>
    <t>*RESELL*
*VS PRIMARY*
*EXQUISITE LIVING RESIDENCE*
_Area: Downtown_
_Type: 2 bedroom apartment_
*Price dynamics, Dirham/sq.ft.*
_(x - primary; * - resell)_
```3766|x xx                  ```
```    |                      ```
```    |               *      ```
```    |    x       *       * ```
```2778|     x       *  ***   ```
```    |           *       * *```
```    | x                    ```
```    |                      ```
```    |              *       ```
```1294|      xxxxx           ```
```____|______________________```
```    |Jun2024        Dec2025```
_Source: see a table below_
*Latest resell transactions*
```Date   Price  BUA Type P/sf```
```------------2025-----------```
```04Dec   4.3M 1682 XX03 2556```
```15Sep   4.7M 1572 XXXX 2990```
```11Sep 4.134M 1658 XX03 2493```
```15Jul   5.3M 1965 XX05 2697```
```11Jul   4.5M 1572 XX06 2863```
```25Apr   4.3M 1570 XX06 2739```
```22Apr  5.85M 1829 XX05 3198```
```13Mar   2.9M 1570 XX06 1847```
```09Jan   4.3M 1572 XX06 2735```
```06Jan   5.6M 1829 XX05 3062```
```------------2024-----------```
```16Dec   4.7M 1825 XX05 2575```
```07Nov 5.558M 1970 XX02 2821```
```10Oct   6.5M 2325 XX01 2796```
```12Sep   3.6M 1825 XX05 1973```
```16Aug   4.9M 1829 XX05 2679```
```18Apr  6.35M 1972 XX05 3220```
```18Apr  6.35M 1972 XX05 3220```
*Latest primary transactions*
```------------2025-----------```
```22Jul 2.443M 1685 XX03 1450```
```03Feb 2.849M 1965 XX05 1450```
```09Jan 2.859M 1972 XX05 1450```
```06Jan 2.859M 1972 XX05 1450```
```------------2024-----------```
```07Nov 2.859M 2210 XX05 1294```
```14Oct 5.288M 1847 XX01 2863```
```26Sep 5.424M 1842 XX02 2945```
```02Sep 7.321M 1972 XX05 3713```
```22Aug 7.355M 1972 XX05 3730```
```16Jul 6.627M 2812 XX02 2357```
```26Jun   7.4M 1965 XX05 3766```
```13Jun 4.134M 1658 XX03 2493```
```13Jun 5.425M 2273 XX01 2387```
```03Jun 4.249M 1658 XX03 2563```
_Source: DLD, Databot_
_BUA - built-up area, sq.ft._
_P/sf - price per sq.ft._
_B - bedrooms; O - office_
_M - million, K- thousand_
_S - studio, R - shop_
www.trydatabot.com</t>
  </si>
  <si>
    <t>1010740, *SALES*</t>
  </si>
  <si>
    <t>*SALES*
*TRANSACTIONS (RESALE)**
*EXQUISITE LIVING RESIDENCE*
_Area: Downtown_
_Type: 4 bedroom apartment_
```Date   Price  BUA Type P/sf```
```------------2025-----------```
```20Oct  10.5M 3281 XX04 3200```
```01Sep    22M 4892 XX02 4497```
```02Jul  10.4M 3281 XX04 3170```
```20Jun 22.06M 4397 XX01 5017```
```19Feb    15M 4393 XX01 3415```
```------------2024-----------```
```18Oct 8.082M 4397 XX01 1838```
```26Aug  10.8M 3298 XX04 3275```
```13Jun 10.45M 3298 XX04 3169```
```31May  15.3M 4892 XX02 3128```
```05Mar    15M 4397 XX01 3411```
```------------2023-----------```
```18Oct    16M 4897 XX02 3267```
```09May  10.5M 3281 XX04 3200```
_Source: DLD, Databot_
_BUA - built-up area, sq.ft._
_P/sf - price per sq.ft._
_B - bedrooms; O - office_
_M - million, K- thousand_
_S - studio, R - shop_
_*Max 30 latest transactions_
www.trydatabot.com</t>
  </si>
  <si>
    <t>1010741, *MARKET</t>
  </si>
  <si>
    <t>*MARKET*
*SNAPSHOT*
*EXQUISITE LIVING RESIDENCE*
_Area: Downtown_
_Type: 4 bedroom apartment_
*Price dynamics, Dirham/sq.ft.*
_(M - median value)_
```5017|                  *   ```
```    |                      ```
```    |                    * ```
```    |                      ```
```    |                      ```
```    |            *  * *    ```
```3234|---------------------M```
```    |          ** **    * *```
```    |                      ```
```    |                      ```
```1838|                *     ```
```____|______________________```
```    |May2023        Oct2025```
_Source: see table below_
*Latest sales transactions*
```Date   Price  BUA Type P/sf```
```------------2025-----------```
```20Oct  10.5M 3281 XX04 3200```
```01Sep    22M 4892 XX02 4497```
```02Jul  10.4M 3281 XX04 3170```
```20Jun 22.06M 4397 XX01 5017```
```19Feb    15M 4393 XX01 3415```
```------------2024-----------```
```18Oct 8.082M 4397 XX01 1838```
```26Aug  10.8M 3298 XX04 3275```
```13Jun 10.45M 3298 XX04 3169```
```31May  15.3M 4892 XX02 3128```
```05Mar    15M 4397 XX01 3411```
```------------2023-----------```
```18Oct    16M 4897 XX02 3267```
```09May  10.5M 3281 XX04 3200```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</si>
  <si>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1010743, *RESELL</t>
  </si>
  <si>
    <t>*RESELL*
*VS PRIMARY*
*EXQUISITE LIVING RESIDENCE*
_Area: Downtown_
_Type: 4 bedroom apartment_
*Price dynamics, Dirham/sq.ft.*
_(x - primary; * - resell)_
```5017|                  *   ```
```    |    xxxx  x         * ```
```    |                      ```
```    |                      ```
```3589|            *    *    ```
```    |x       x  * ***   * *```
```    |                      ```
```    |  xx                  ```
```    | x              *     ```
```1451|         x            ```
```____|______________________```
```    |Jul2023        Oct2025```
_Source: see a table below_
*Latest resell transactions*
```Date   Price  BUA Type P/sf```
```------------2025-----------```
```20Oct  10.5M 3281 XX04 3200```
```01Sep    22M 4892 XX02 4497```
```02Jul  10.4M 3281 XX04 3170```
```20Jun 22.06M 4397 XX01 5017```
```19Feb    15M 4393 XX01 3415```
```------------2024-----------```
```18Oct 8.082M 4397 XX01 1838```
```26Aug  10.8M 3298 XX04 3275```
```13Jun 10.45M 3298 XX04 3169```
```31May  15.3M 4892 XX02 3128```
```05Mar    15M 4397 XX01 3411```
```------------2023-----------```
```18Oct    16M 4897 XX02 3267```
```09May  10.5M 3281 XX04 3200```
*Latest primary transactions*
```------------2025-----------```
```28May 20.45M 4393 XX01 4656```
```15May 7.104M 4897 XX02 1451```
```01May 16.25M 4892 XX02 3323```
```27Mar 20.23M 4393 XX01 4606```
```------------2024-----------```
```21Nov 20.47M 4397 XX01 4655```
```30Oct 22.75M 4892 XX02 4650```
```31Jul 22.78M 4892 XX02 4656```
```06Feb 9.596M 3581 XX04 2680```
```03Jan 8.274M 3298 XX04 2509```
```------------2023-----------```
```01Aug 6.472M 3281 XX04 1972```
```20Jul 10.57M 3281 XX04 3223```
```19Jul 7.104M 4897 XX02 1451```
```06Jul 20.21M 4897 XX02 4126```
_Source: DLD, Databot_
_BUA - built-up area, sq.ft._
_P/sf - price per sq.ft._
_B - bedrooms; O - office_
_M - million, K- thousand_
_S - studio, R - shop_
www.trydatabot.com</t>
  </si>
  <si>
    <t>1010773, *SALES*</t>
  </si>
  <si>
    <t>*SALES*
*TRANSACTIONS (RESALE)**
*EXQUISITE LIVING RESIDENCE*
_Area: Downtown_
_All types/bedrooms_
```Date    Price   BUA  Type B```
```------------2026-----------```
```20Jan   2.45M   970  XX01 1```
```------------2025-----------```
```24Dec    3.3M  1446  XX04 1```
```16Dec  3.218M  1379  XX01 1```
```04Dec    4.3M  1682  XX03 2```
```20Oct   10.5M  3281  XX04 4```
```15Sep    4.7M  1572  XXXX 2```
```11Sep  4.134M  1658  XX03 2```
```01Sep     22M  4892  XX02 4```
```28Jul   3.64M  1163  XX02 1```
```15Jul    5.3M  1965  XX05 2```
```11Jul    4.5M  1572  XX06 2```
```02Jul   10.4M  3281  XX04 4```
```20Jun  22.06M  4397  XX01 4```
```25Apr    4.3M  1570  XX06 2```
```22Apr   5.85M  1829  XX05 2```
```04Apr  801.9K   553  XX03 S```
```13Mar    2.5M  1441  XX04 1```
```13Mar    2.9M  1570  XX06 2```
```19Feb     15M  4393  XX01 4```
```07Feb  3.218M  1379  XX01 1```
```09Jan    4.3M  1572  XX06 2```
```06Jan    5.6M  1829  XX05 2```
```------------2024-----------```
```16Dec    4.7M  1825  XX05 2```
```07Nov  5.558M  1970  XX02 2```
```18Oct  8.082M  4397  XX01 4```
```10Oct    6.5M  2325  XX01 2```
```12Sep    3.6M  1825  XX05 2```
```26Aug   10.8M  3298  XX04 4```
```19Aug  3.025M  1156  XX02 1```
```16Aug    4.9M  1829  XX05 2```
_Source: DLD, Databot_
_BUA - built-up area, sq.ft._
_P/sf - price per sq.ft._
_B - bedrooms; O - office_
_M - million, K- thousand_
_S - studio, R - shop_
_*Max 30 latest transactions_
www.trydatabot.com</t>
  </si>
  <si>
    <t>1010774, Exquisite, *BUILDI</t>
  </si>
  <si>
    <t xml:space="preserve">*BUILDING*
*PROFILE*
*EXQUISITE LIVING RESIDENCE*
_Area: Downtown_
_Tap&amp;hold to copy a reply_
```-------------------------```
```Report              Reply```
```-------------------------```
*Studio*
```Resell, ROI       1010724```
```Primary sales     1010775```
```Price chart       1010725```
```Rentals               n/a```
```Appreciation      1010727```
*1 B/R*
```Resell, ROI       1010728```
```Primary sales     1010776```
```Price chart       1010729```
```Rentals               n/a```
```Appreciation      1010731```
*2 B/R*
```Resell, ROI       1010732```
```Primary sales     1010777```
```Price chart       1010733```
```Rentals               n/a```
```Appreciation      1010735```
*4 B/R*
```Resell, ROI       1010740```
```Primary sales     1010779```
```Price chart       1010741```
```Rentals               n/a```
```Appreciation      1010743```
*5 B/R*
```Primary sales     1010780```
*All types/bedrooms*
```Resell, ROI       1010773```
```Primary sales     1010787```
```Rentals               n/a```
</t>
  </si>
  <si>
    <t>1010775, *SALES*</t>
  </si>
  <si>
    <t>*SALES*
*TRANSACTIONS (PRIMARY)**
*EXQUISITE LIVING RESIDENCE*
_Area: Downtown_
_Type: studio apartment_
```Date   Price  BUA Type P/sf```
```------------2025-----------```
```04Apr 867.1K  598 XX03 1450```
_Source: DLD, Databot_
_BUA - built-up area, sq.ft._
_P/sf - price per sq.ft._
_B - bedrooms; O - office_
_M - million, K- thousand_
_S - studio, R - shop_
_*Max 20 latest transactions_
www.trydatabot.com</t>
  </si>
  <si>
    <t>1010776, *SALES*</t>
  </si>
  <si>
    <t>*SALES*
*TRANSACTIONS (PRIMARY)**
*EXQUISITE LIVING RESIDENCE*
_Area: Downtown_
_Type: 1 bedroom apartment_
```Date   Price  BUA Type P/sf```
```------------2025-----------```
```08Dec 2.475M  970 XX01 2552```
```------------2024-----------```
```08Nov 2.874M 1446 XX04 1988```
```07Oct  3.41M 1379 XX01 2473```
```03Oct 3.395M 1379 XX01 2462```
```25Sep 3.304M 1373 XX01 2406```
```02Sep 3.671M 1163 XX02 3157```
```02Sep 3.629M 1160 XX02 3128```
```13Jun 2.973M 1154 XX02 2576```
```03Jun 3.689M 1441 XX04 2560```
```28May 3.035M 1373 XX01 2210```
```27May  2.93M 1154 XX02 2539```
```20May  3.38M 1156 XX02 2924```
```06May 3.274M 1154 XX02 2837```
```08Mar 3.159M 1373 XX01 2300```
```07Mar 2.888M 1154 XX02 2503```
```------------2023-----------```
```15Nov 3.103M 1156 XX02 2684```
```15Nov 3.444M 1160 XX02 2969```
```20Jul 3.225M 1160 XX02 2780```
```20Jul 3.551M 1441 XX04 2464```
```20Jul 2.652M  970 XX01 2734```
_Source: DLD, Databot_
_BUA - built-up area, sq.ft._
_P/sf - price per sq.ft._
_B - bedrooms; O - office_
_M - million, K- thousand_
_S - studio, R - shop_
_*Max 20 latest transactions_
www.trydatabot.com</t>
  </si>
  <si>
    <t>1010777, *SALES*</t>
  </si>
  <si>
    <t>*SALES*
*TRANSACTIONS (PRIMARY)**
*EXQUISITE LIVING RESIDENCE*
_Area: Downtown_
_Type: 2 bedroom apartment_
```Date   Price  BUA Type P/sf```
```------------2025-----------```
```22Jul 2.443M 1685 XX03 1450```
```03Feb 2.849M 1965 XX05 1450```
```09Jan 2.859M 1972 XX05 1450```
```06Jan 2.859M 1972 XX05 1450```
```------------2024-----------```
```07Nov 2.859M 2210 XX05 1294```
```14Oct 5.288M 1847 XX01 2863```
```26Sep 5.424M 1842 XX02 2945```
```02Sep 7.321M 1972 XX05 3713```
```22Aug 7.355M 1972 XX05 3730```
```16Jul 6.627M 2812 XX02 2357```
```26Jun   7.4M 1965 XX05 3766```
```13Jun 4.134M 1658 XX03 2493```
```13Jun 5.425M 2273 XX01 2387```
```03Jun 4.249M 1658 XX03 2563```
```28May 4.995M 1682 XX03 2970```
```28May 6.642M 1900 XX02 3496```
```14May 4.181M 1658 XX03 2522```
```14May 6.252M 1965 XX05 3181```
```08May 4.118M 1660 XX03 2481```
```06May 4.647M 1570 XX06 2960```
_Source: DLD, Databot_
_BUA - built-up area, sq.ft._
_P/sf - price per sq.ft._
_B - bedrooms; O - office_
_M - million, K- thousand_
_S - studio, R - shop_
_*Max 20 latest transactions_
www.trydatabot.com</t>
  </si>
  <si>
    <t>1010779, *SALES*</t>
  </si>
  <si>
    <t>*SALES*
*TRANSACTIONS (PRIMARY)**
*EXQUISITE LIVING RESIDENCE*
_Area: Downtown_
_Type: 4 bedroom apartment_
```Date   Price  BUA Type P/sf```
```------------2025-----------```
```28May 20.45M 4393 XX01 4656```
```15May 7.104M 4897 XX02 1451```
```01May 16.25M 4892 XX02 3323```
```27Mar 20.23M 4393 XX01 4606```
```------------2024-----------```
```21Nov 20.47M 4397 XX01 4655```
```30Oct 22.75M 4892 XX02 4650```
```31Jul 22.78M 4892 XX02 4656```
```06Feb 9.596M 3581 XX04 2680```
```03Jan 8.274M 3298 XX04 2509```
```------------2023-----------```
```01Aug 6.472M 3281 XX04 1972```
```20Jul 10.57M 3281 XX04 3223```
```19Jul 7.104M 4897 XX02 1451```
```06Jul 20.21M 4897 XX02 4126```
```22Jun 15.63M 4892 XX02 3195```
```20Jun 6.444M 3281 XX04 1964```
```16Jun 13.94M 4397 XX01 3169```
```14Jun 8.098M 3298 XX04 2456```
```30May  13.8M 4393 XX01 3142```
```29May 7.638M 3281 XX04 2328```
```29May 8.047M 3298 XX04 2440```
_Source: DLD, Databot_
_BUA - built-up area, sq.ft._
_P/sf - price per sq.ft._
_B - bedrooms; O - office_
_M - million, K- thousand_
_S - studio, R - shop_
_*Max 20 latest transactions_
www.trydatabot.com</t>
  </si>
  <si>
    <t>1010780, *SALES*</t>
  </si>
  <si>
    <t>*SALES*
*TRANSACTIONS (PRIMARY)**
*EXQUISITE LIVING RESIDENCE*
_Area: Downtown_
_Type: 5 bedroom apartment_
```Date   Price  BUA Type P/sf```
```------------2025-----------```
```04Apr 13.52M 9326 XX01 1450```
```------------2023-----------```
```09May    37M 9326 XX01 3967```
_Source: DLD, Databot_
_BUA - built-up area, sq.ft._
_P/sf - price per sq.ft._
_B - bedrooms; O - office_
_M - million, K- thousand_
_S - studio, R - shop_
_*Max 20 latest transactions_
www.trydatabot.com</t>
  </si>
  <si>
    <t>1010787, *SALES*</t>
  </si>
  <si>
    <t>*SALES*
*TRANSACTIONS (PRIMARY)**
*EXQUISITE LIVING RESIDENCE*
_Area: Downtown_
_All types/bedrooms_
```Date    Price   BUA  Type B```
```------------2025-----------```
```08Dec  2.475M   970  XX01 1```
```22Jul  2.443M  1685  XX03 2```
```28May  20.45M  4393  XX01 4```
```15May  7.104M  4897  XX02 4```
```01May  16.25M  4892  XX02 4```
```04Apr  867.1K   598  XX03 S```
```04Apr  13.52M  9326  XX01 5```
```27Mar  20.23M  4393  XX01 4```
```03Feb  2.849M  1965  XX05 2```
```09Jan  2.859M  1972  XX05 2```
```06Jan  2.859M  1972  XX05 2```
```------------2024-----------```
```21Nov  20.47M  4397  XX01 4```
```08Nov  2.874M  1446  XX04 1```
```07Nov  2.859M  2210  XX05 2```
```30Oct  22.75M  4892  XX02 4```
```14Oct  5.288M  1847  XX01 2```
```07Oct   3.41M  1379  XX01 1```
```03Oct  3.395M  1379  XX01 1```
```26Sep  5.424M  1842  XX02 2```
```25Sep  3.304M  1373  XX01 1```
_Source: DLD, Databot_
_BUA - built-up area, sq.ft._
_P/sf - price per sq.ft._
_B - bedrooms; O - office_
_M - million, K- thousand_
_S - studio, R - shop_
_*Max 20 latest transactions_
www.trydatabot.com</t>
  </si>
  <si>
    <t>1010790, *NEW RE</t>
  </si>
  <si>
    <t>*NEW RENT*
*CONTRACTS**
_(renewals are not included)_
*FORTE T1+T2*
_Area: Downtown_
_Type: _
```Date  Price   BUA  Type D/s```
```------------2026-----------```
```13Jan   90K   538  XXXX 167```
```04Jan   88K   527  XXXX 167```
```------------2025-----------```
```23Dec   83K   527  XXXX 157```
```22Dec   75K   538  XXXX 139```
```21Dec   75K   517  XXXX 145```
```01Dec   88K   538  XXXX 164```
```01Dec   88K   538  XXXX 164```
```25Nov   85K   431  XXXX 197```
```17Nov   95K   431  XXXX 220```
```15Nov   82K   431  XXXX 190```
```02Nov   82K   538  XXXX 152```
```01Nov   80K   538  XXXX 149```
```01Nov   80K   538  XXXX 149```
```01Nov   80K   431  XXXX 186```
```01Nov   80K   538  XXXX 149```
```25Oct  100K   431  XXXX 232```
```20Oct   85K   527  XXXX 161```
```15Oct   84K   538  XXXX 156```
```15Oct   75K   527  XXXX 142```
```14Oct 89.8K   495  XXXX 181```
_Source: DLD, Databot_
_BUA - built-up area, sq.ft._
_P/sf - price per sq.ft._
_B - bedrooms; O - office_
_M - million, K- thousand_
_S - studio, R - shop_
_*20 latest contracts_
www.trydatabot.com</t>
  </si>
  <si>
    <t>Forte T1</t>
  </si>
  <si>
    <t>1010792, *SALES*</t>
  </si>
  <si>
    <r>
      <rPr/>
      <t xml:space="preserve">*SALES*
*TRANSACTIONS (RESALE)**
*FORTE T1*
_Area: Downtown_
_Type: 1 bedroom apartment_
_Gross ROI=4.28% (confidence: low)_
_Median annual rent=115K_
```Date   Price  BUA Type P/sf```
```------------2025-----------```
```31Oct 2.685M 1106 XX02 2428```
```02Sep   2.6M 1106 XX02 2351```
```17Feb   2.1M  678 XX04 3097```
```------------2024-----------```
```30Dec  2.57M 1029 XXXX 2498```
```20Nov  2.67M 1106 XX02 2414```
```04Sep   1.8M 1029 XXXX 1749```
```18Jul  2.55M 1029 XXXX 2478```
```03Jun   2.2M  848 XXXX 2594```
```------------2023-----------```
```06Dec   2.3M  848 XXXX 2712```
```30Nov   2.3M  848 XXXX 2712```
```30Nov   2.3M  848 XXXX 2712```
```08Feb  1.95M  848 XXXX 2300```
```------------2021-----------```
```26Apr 2.113M  846 XX08 2498```
```------------2020-----------```
```30Nov 1.231M  686 XX05 1795```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</si>
  <si>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1010793, *MARKET</t>
  </si>
  <si>
    <r>
      <rPr/>
      <t xml:space="preserve">*MARKET*
*SNAPSHOT*
*FORTE T1*
_Area: Downtown_
_Type: 1 bedroom apartment_
*Price dynamics, Dirham/sq.ft.*
_(M - median value)_
```3097|                   *  ```
```    |                      ```
```    |                      ```
```    |           ***        ```
```    |         *    *   *   ```
```2488|---------------------M```
```    |               * *   *```
```    |          *         * ```
```    |                      ```
```    |                      ```
```1749|        *       *     ```
```____|______________________```
```    |Nov2020        Oct2025```
_Source: see table below_
*Latest sales transactions*
```Date   Price  BUA Type P/sf```
```------------2025-----------```
```31Oct 2.685M 1106 XX02 2428```
```02Sep   2.6M 1106 XX02 2351```
```17Feb   2.1M  678 XX04 3097```
```------------2024-----------```
```30Dec  2.57M 1029 XXXX 2498```
```20Nov  2.67M 1106 XX02 2414```
```04Sep   1.8M 1029 XXXX 1749```
```18Jul  2.55M 1029 XXXX 2478```
```03Jun   2.2M  848 XXXX 2594```
```------------2023-----------```
```06Dec   2.3M  848 XXXX 2712```
```30Nov   2.3M  848 XXXX 2712```
```30Nov   2.3M  848 XXXX 2712```
```08Feb  1.95M  848 XXXX 2300```
```------------2021-----------```
```26Apr 2.113M  846 XX08 2498```
```------------2020-----------```
```30Nov 1.231M  686 XX05 1795```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</t>
    </r>
    <r>
      <rPr>
        <color rgb="FF1155CC"/>
        <u/>
      </rPr>
      <t>www.trydatabot.com</t>
    </r>
  </si>
  <si>
    <t>1010794, *NEW RE</t>
  </si>
  <si>
    <r>
      <rPr/>
      <t xml:space="preserve">*NEW RENT*
*CONTRACTS**
_(renewals are not included)_
*FORTE T1+T2*
_Area: Downtown_
_Type: 1 bedroom apartment_
```Date  Price   BUA  Type D/s```
```------------2026-----------```
```11Jan  110K   807  XXXX 136```
```10Jan  120K   807  XXXX 148```
```------------2025-----------```
```25Dec  120K   807  XXXX 149```
```08Dec  110K  1001  XXXX 110```
```06Dec  115K  1012  XXXX 114```
```28Nov  100K   807  XXXX 124```
```24Nov  120K   807  XXXX 149```
```20Nov  115K  1001  XXXX 115```
```20Nov  105K   807  XXXX 130```
```17Nov  105K   807  XXXX 130```
```15Nov  120K  1001  XXXX 120```
```10Nov  125K   807  XXXX 155```
```01Nov  100K   807  XXXX 124```
```01Nov  120K   829  XXXX 145```
```01Nov  120K  1012  XXXX 119```
```26Oct  105K   807  XXXX 130```
```25Oct  115K   807  XXXX 143```
```18Oct  120K   807  XXXX 149```
```16Oct  104K   818  XXXX 127```
```07Oct  100K   818  XXXX 122```
_Source: DLD, Databot_
_BUA - built-up area, sq.ft._
_P/sf - price per sq.ft._
_B - bedrooms; O - office_
_M - million, K- thousand_
_S - studio, R - shop_
_*20 latest contracts_
</t>
    </r>
    <r>
      <rPr>
        <color rgb="FF1155CC"/>
        <u/>
      </rPr>
      <t>www.trydatabot.com</t>
    </r>
  </si>
  <si>
    <t>1010795, *RESELL</t>
  </si>
  <si>
    <r>
      <rPr/>
      <t xml:space="preserve">*RESELL*
*VS PRIMARY*
*FORTE T1*
_Area: Downtown_
_Type: 1 bedroom apartment_
*Price dynamics, Dirham/sq.ft.*
_(x - primary; * - resell)_
```3097|                   *  ```
```    |                      ```
```    |                      ```
```    |           ***        ```
```2557|              *   *   ```
```    |   x x         * *   *```
```    |                    * ```
```    | xx   xxx             ```
```    |x   x    xx           ```
```1749|                *     ```
```____|______________________```
```    |Apr2020        Oct2025```
_Source: see a table below_
*Latest resell transactions*
```Date   Price  BUA Type P/sf```
```------------2025-----------```
```31Oct 2.685M 1106 XX02 2428```
```02Sep   2.6M 1106 XX02 2351```
```17Feb   2.1M  678 XX04 3097```
```------------2024-----------```
```30Dec  2.57M 1029 XXXX 2498```
```20Nov  2.67M 1106 XX02 2414```
```04Sep   1.8M 1029 XXXX 1749```
```18Jul  2.55M 1029 XXXX 2478```
```03Jun   2.2M  848 XXXX 2594```
```------------2023-----------```
```06Dec   2.3M  848 XXXX 2712```
```30Nov   2.3M  848 XXXX 2712```
```30Nov   2.3M  848 XXXX 2712```
```08Feb  1.95M  848 XXXX 2300```
```------------2021-----------```
```26Apr 2.113M  846 XX08 2498```
```------------2020-----------```
```30Nov 1.231M  686 XX05 1795```
*Latest primary transactions*
```------------2022-----------```
```29Sep 2.136M 1041 XX07 2052```
```22Aug 2.141M 1041 XX06 2057```
```20Jun 2.368M 1114 XX02 2125```
```20Jun 2.373M 1114 XX02 2131```
```20Jun 2.371M 1117 XX02 2122```
```22May 2.091M  846 XX09 2471```
```19May  2.08M 1041 XX06 1998```
```19May 2.029M  846 XX11 2399```
```11Mar 2.157M  986 XX05 2188```
```------------2020-----------```
```14Sep 1.845M  846 XX11 2181```
```20Apr 1.662M  846 XX08 1965```
```09Apr 1.374M  772 XX01 1780```
```10Feb 1.662M  846 XX07 1965```
```------------2019-----------```
_Source: DLD, Databot_
_BUA - built-up area, sq.ft._
_P/sf - price per sq.ft._
_B - bedrooms; O - office_
_M - million, K- thousand_
_S - studio, R - shop_
</t>
    </r>
    <r>
      <rPr>
        <color rgb="FF1155CC"/>
        <u/>
      </rPr>
      <t>www.trydatabot.com</t>
    </r>
  </si>
  <si>
    <t>1010796, *SALES*</t>
  </si>
  <si>
    <t>*SALES*
*TRANSACTIONS (RESALE)**
*FORTE T1*
_Area: Downtown_
_Type: 2 bedroom apartment_
_Gross ROI=5.31%_
_Median annual rent=165K_
```Date   Price  BUA Type P/sf```
```------------2026-----------```
```16Jan  2.95M 1089 XX01 2709```
```09Jan  3.35M 1110 XX03 3018```
```06Jan   3.1M 1108 XXXX 2798```
```------------2025-----------```
```15Dec   3.2M 1096 XX02 2920```
```11Dec  2.85M 1108 XX03 2572```
```03Dec   2.7M 1089 XX01 2479```
```25Nov  3.15M 1111 XX04 2835```
```14Nov  2.95M 1096 XX02 2692```
```10Nov  2.85M 1004 XX05 2839```
```03Nov  3.15M 1111 XX04 2835```
```31Oct 3.275M 1111 XX04 2948```
```06Oct   2.6M  980 XX16 2653```
```03Oct  2.85M 1004 XX05 2839```
```03Oct   3.2M 1096 XX02 2920```
```30Sep   3.1M 1551 XX14 1999```
```29Sep  2.95M 1096 XX02 2692```
```04Sep  3.15M 1004 XX05 3137```
```03Sep  3.24M 1089 XX01 2975```
```22Aug   3.1M 1004 XX05 3088```
```18Aug   3.5M 1097 XX02 3191```
```05Aug   2.7M 1395 XX04 1935```
```30Jun  3.03M 1004 XX05 3018```
```23Jun  2.77M 1004 XX05 2759```
```18Jun   2.6M  981 XXXX 2650```
```03Jun  3.73M 1111 XX04 3357```
```29May  3.04M 1096 XX02 2774```
```28May 3.325M 1108 XX03 3001```
```27May   3.3M 1110 XX03 2973```
```12May  3.12M 1108 XX03 2816```
```05May     3M 1111 XX04 2700```
_Source: DLD, Databot_
_BUA - built-up area, sq.ft._
_P/sf - price per sq.ft._
_B - bedrooms; O - office_
_M - million, K- thousand_
_S - studio, R - shop_
_*Max 30 latest transactions_
www.trydatabot.com</t>
  </si>
  <si>
    <t>1010797, *MARKET</t>
  </si>
  <si>
    <t>*MARKET*
*SNAPSHOT*
*FORTE T1*
_Area: Downtown_
_Type: 2 bedroom apartment_
*Price dynamics, Dirham/sq.ft.*
_(M - median value)_
```3191|  *  *                ```
```    |*  *                * ```
```    |    *   *  *      *   ```
```2837|---------------------M```
```    |         *  ** *   *  ```
```    |      *   *   *      *```
```    |                 *    ```
```    |                *     ```
```    |                      ```
```    |                      ```
```1935| *     *              ```
```____|______________________```
```    |Jun2025        Jan2026```
_Source: see table below_
*Latest sales transactions*
```Date   Price  BUA Type P/sf```
```------------2026-----------```
```16Jan  2.95M 1089 XX01 2709```
```09Jan  3.35M 1110 XX03 3018```
```06Jan   3.1M 1108 XXXX 2798```
```------------2025-----------```
```15Dec   3.2M 1096 XX02 2920```
```11Dec  2.85M 1108 XX03 2572```
```03Dec   2.7M 1089 XX01 2479```
```25Nov  3.15M 1111 XX04 2835```
```14Nov  2.95M 1096 XX02 2692```
```10Nov  2.85M 1004 XX05 2839```
```03Nov  3.15M 1111 XX04 2835```
```31Oct 3.275M 1111 XX04 2948```
```06Oct   2.6M  980 XX16 2653```
```03Oct  2.85M 1004 XX05 2839```
```03Oct   3.2M 1096 XX02 2920```
```30Sep   3.1M 1551 XX14 1999```
```29Sep  2.95M 1096 XX02 2692```
```04Sep  3.15M 1004 XX05 3137```
```03Sep  3.24M 1089 XX01 2975```
```22Aug   3.1M 1004 XX05 3088```
```18Aug   3.5M 1097 XX02 3191```
```05Aug   2.7M 1395 XX04 1935```
```30Jun  3.03M 1004 XX05 3018```
```23Jun  2.77M 1004 XX05 2759```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</si>
  <si>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1010798, *NEW RE</t>
  </si>
  <si>
    <t>*NEW RENT*
*CONTRACTS**
_(renewals are not included)_
*FORTE T1+T2*
_Area: Downtown_
_Type: 2 bedroom apartment_
```Date  Price   BUA  Type D/s```
```------------2026-----------```
```01Jan  220K  1367  XXXX 161```
```------------2025-----------```
```25Dec  195K  1625  XXXX 120```
```18Nov  165K  1367  XXXX 121```
```10Nov  165K  1625  XXXX 102```
```01Nov  170K  1367  XXXX 124```
```04Oct  160K  1625  XXXX  98```
```09Sep  220K  1625  XXXX 135```
```01Aug  155K  1755  XXXX  88```
```01Jul  155K  1765  XXXX  88```
```01Jul  170K  1765  XXXX  96```
```11Apr  200K  1625  XXXX 123```
```24Mar  165K  1765  XXXX  93```
```24Mar  165K  1765  XXXX  93```
```24Mar  185K  1367  XXXX 135```
```24Mar  165K  1625  XXXX 102```
```24Mar  165K  1765  XXXX  93```
```24Mar  165K  1765  XXXX  93```
```24Mar  165K  1625  XXXX 102```
```24Mar  165K  1765  XXXX  93```
```01Feb  155K  1755  XXXX  88```
_Source: DLD, Databot_
_BUA - built-up area, sq.ft._
_P/sf - price per sq.ft._
_B - bedrooms; O - office_
_M - million, K- thousand_
_S - studio, R - shop_
_*20 latest contracts_
www.trydatabot.com</t>
  </si>
  <si>
    <t>1010799, *RESELL</t>
  </si>
  <si>
    <t>*RESELL*
*VS PRIMARY*
*FORTE T1*
_Area: Downtown_
_Type: 2 bedroom apartment_
*Price dynamics, Dirham/sq.ft.*
_(x - primary; * - resell)_
```3189|         x            ```
```    |                    * ```
```    |          x*      *   ```
```    |            ** *   *  ```
```2649|       x      *      *```
```    |                **    ```
```    | x  xx  x             ```
```    |  x   x               ```
```    |x                     ```
```1842|   x                  ```
```____|______________________```
```    |Jun2022        Jan2026```
_Source: see a table below_
*Latest resell transactions*
```Date   Price  BUA Type P/sf```
```------------2026-----------```
```16Jan  2.95M 1089 XX01 2709```
```09Jan  3.35M 1110 XX03 3018```
```06Jan   3.1M 1108 XXXX 2798```
```------------2025-----------```
```15Dec   3.2M 1096 XX02 2920```
```11Dec  2.85M 1108 XX03 2572```
```03Dec   2.7M 1089 XX01 2479```
```25Nov  3.15M 1111 XX04 2835```
```14Nov  2.95M 1096 XX02 2692```
```10Nov  2.85M 1004 XX05 2839```
```03Nov  3.15M 1111 XX04 2835```
```31Oct 3.275M 1111 XX04 2948```
```06Oct   2.6M  980 XX16 2653```
```03Oct  2.85M 1004 XX05 2839```
```03Oct   3.2M 1096 XX02 2920```
```30Sep   3.1M 1551 XX14 1999```
```29Sep  2.95M 1096 XX02 2692```
```04Sep  3.15M 1004 XX05 3137```
*Latest primary transactions*
```------------2025-----------```
```14Mar 3.312M 1110 XX03 2983```
```------------2024-----------```
```28Aug 3.543M 1111 XX04 3189```
```------------2023-----------```
```05Jul 2.399M  981 XX16 2445```
```05Jun 2.861M 1104 XX01 2591```
```02Jan 2.516M 1104 XX01 2279```
```------------2022-----------```
```09Nov 2.623M 1124 XX04 2334```
```11Oct 2.562M 1104 XX01 2321```
```05Oct 2.861M 1553 XX14 1842```
```10Aug 2.475M 1104 XX01 2242```
```28Jun 2.618M 1109 XX03 2361```
```23Jun  2.36M 1097 XX02 2151```
```30May 2.647M 1103 XX01 2400```
_Source: DLD, Databot_
_BUA - built-up area, sq.ft._
_P/sf - price per sq.ft._
_B - bedrooms; O - office_
_M - million, K- thousand_
_S - studio, R - shop_
www.trydatabot.com</t>
  </si>
  <si>
    <t>1010800, *SALES*</t>
  </si>
  <si>
    <t>*SALES*
*TRANSACTIONS (RESALE)**
*FORTE T1*
_Area: Downtown_
_Type: 3 bedroom apartment_
_Gross ROI=4.48%_
_Median annual rent=230K_
```Date   Price  BUA Type P/sf```
```------------2025-----------```
```29Dec   5.5M 1723 XXXX 3192```
```15Dec     5M 1568 XX06 3189```
```14Nov  5.35M 1588 XX09 3369```
```06Nov   5.1M 1646 XXXX 3098```
```29Oct     5M 1646 XXXX 3038```
```13Oct  4.32M 1723 XXXX 2507```
```09Oct  5.65M 1723 XXXX 3279```
```02Oct   5.2M 1646 XXXX 3159```
```24Sep   5.2M 1723 XXXX 3018```
```26Aug   5.7M 1723 XXXX 3308```
```22Aug  5.55M 1646 XXXX 3372```
```05Aug   4.9M 1646 XXXX 2977```
```04Aug   4.8M 1568 XX06 3061```
```28Jul   4.6M 1646 XXXX 2795```
```23Jul   5.3M 1568 XX06 3380```
```15Jul     5M 1723 XXXX 2902```
```15Jul   4.9M 1588 XX08 3086```
```27May   5.5M 1588 XX08 3463```
```22May     5M 1588 XX09 3149```
```21Apr  5.85M 1592 XX05 3675```
```15Apr   4.8M 1588 XX08 3023```
```15Apr   5.1M 1646 XXXX 3098```
```11Apr   5.2M 1723 XXXX 3018```
```07Apr   5.3M 1646 XXXX 3220```
```18Mar     5M 1723 XXXX 2902```
```18Mar     5M 1646 XXXX 3038```
```13Mar     5M 1592 XX05 3141```
```13Mar   5.1M 1723 XXXX 2960```
```27Feb   5.3M 1568 XX06 3380```
```27Feb   5.5M 1723 XXXX 3192```
_Source: DLD, Databot_
_BUA - built-up area, sq.ft._
_P/sf - price per sq.ft._
_B - bedrooms; O - office_
_M - million, K- thousand_
_S - studio, R - shop_
_*Max 30 latest transactions_
www.trydatabot.com</t>
  </si>
  <si>
    <t>1010801, *MARKET</t>
  </si>
  <si>
    <t>*MARKET*
*SNAPSHOT*
*FORTE T1*
_Area: Downtown_
_Type: 3 bedroom apartment_
*Price dynamics, Dirham/sq.ft.*
_(M - median value)_
```3675|  *                   ```
```    |                      ```
```    |    *                 ```
```    |       *   **  *   *  ```
```    |   *          *     **```
```3124|---------------------M```
```    |*    *   *       **   ```
```    | *        *  *        ```
```    |      *               ```
```    |        *             ```
```2507|                *     ```
```____|______________________```
```    |Apr2025        Dec2025```
_Source: see table below_
*Latest sales transactions*
```Date   Price  BUA Type P/sf```
```------------2025-----------```
```29Dec   5.5M 1723 XXXX 3192```
```15Dec     5M 1568 XX06 3189```
```14Nov  5.35M 1588 XX09 3369```
```06Nov   5.1M 1646 XXXX 3098```
```29Oct     5M 1646 XXXX 3038```
```13Oct  4.32M 1723 XXXX 2507```
```09Oct  5.65M 1723 XXXX 3279```
```02Oct   5.2M 1646 XXXX 3159```
```24Sep   5.2M 1723 XXXX 3018```
```26Aug   5.7M 1723 XXXX 3308```
```22Aug  5.55M 1646 XXXX 3372```
```05Aug   4.9M 1646 XXXX 2977```
```04Aug   4.8M 1568 XX06 3061```
```28Jul   4.6M 1646 XXXX 2795```
```23Jul   5.3M 1568 XX06 3380```
```15Jul     5M 1723 XXXX 2902```
```15Jul   4.9M 1588 XX08 3086```
```27May   5.5M 1588 XX08 3463```
```22May     5M 1588 XX09 3149```
```21Apr  5.85M 1592 XX05 3675```
```15Apr   4.8M 1588 XX08 3023```
```15Apr   5.1M 1646 XXXX 3098```
```11Apr   5.2M 1723 XXXX 3018```
```07Apr   5.3M 1646 XXXX 3220```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</si>
  <si>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1010802, *NEW RE</t>
  </si>
  <si>
    <t>*NEW RENT*
*CONTRACTS**
_(renewals are not included)_
*FORTE T1+T2*
_Area: Downtown_
_Type: 3 bedroom apartment_
```Date  Price   BUA  Type D/s```
```------------2025-----------```
```15Dec  220K  1615  XXXX 136```
```10Nov  230K  1615  XXXX 142```
```01Nov  239K  1615  XXXX 148```
```21Jun  300K  1615  XXXX 186```
```24Mar  215K  1615  XXXX 133```
```------------2024-----------```
```15Dec  220K  1615  XXXX 136```
```13Nov  230K  1615  XXXX 142```
```15Oct  220K  1615  XXXX 136```
```16Sep  220K  1615  XXXX 136```
```05Jan  245K  1615  XXXX 152```
```------------2023-----------```
```20Aug  220K  1615  XXXX 136```
```05Aug  240K  1615  XXXX 149```
```01Apr  235K  1615  XXXX 146```
```05Jan  240K  1615  XXXX 149```
```05Jan  650K  1615  XXXX 402```
```------------2022-----------```
```05Sep  220K  1615  XXXX 136```
```05Aug  240K  1615  XXXX 149```
_Source: DLD, Databot_
_BUA - built-up area, sq.ft._
_P/sf - price per sq.ft._
_B - bedrooms; O - office_
_M - million, K- thousand_
_S - studio, R - shop_
_*20 latest contracts_
www.trydatabot.com</t>
  </si>
  <si>
    <t>1010803, *RESELL</t>
  </si>
  <si>
    <t>*RESELL*
*VS PRIMARY*
*FORTE T1*
_Area: Downtown_
_Type: 3 bedroom apartment_
*Price dynamics, Dirham/sq.ft.*
_(x - primary; * - resell)_
```3372|           *       *  ```
```    |            *  *      ```
```    |              *     **```
```    |         x       **   ```
```2976|             *        ```
```    |          x           ```
```    | xx                   ```
```    |   x xx               ```
```    |    x  xx       *     ```
```2382|x                     ```
```____|______________________```
```    |Jan2022        Dec2025```
_Source: see a table below_
*Latest resell transactions*
```Date   Price  BUA Type P/sf```
```------------2025-----------```
```29Dec   5.5M 1723 XXXX 3192```
```15Dec     5M 1568 XX06 3189```
```14Nov  5.35M 1588 XX09 3369```
```06Nov   5.1M 1646 XXXX 3098```
```29Oct     5M 1646 XXXX 3038```
```13Oct  4.32M 1723 XXXX 2507```
```09Oct  5.65M 1723 XXXX 3279```
```02Oct   5.2M 1646 XXXX 3159```
```24Sep   5.2M 1723 XXXX 3018```
```26Aug   5.7M 1723 XXXX 3308```
```22Aug  5.55M 1646 XXXX 3372```
```05Aug   4.9M 1646 XXXX 2977```
```04Aug   4.8M 1568 XX06 3061```
```28Jul   4.6M 1646 XXXX 2795```
```23Jul   5.3M 1568 XX06 3380```
```15Jul     5M 1723 XXXX 2902```
```15Jul   4.9M 1588 XX08 3086```
```27May   5.5M 1588 XX08 3463```
*Latest primary transactions*
```------------2022-----------```
```15Jun 4.677M 1604 XX05 2916```
```27May 5.219M 1721 XX07 3032```
```18May 4.147M 1598 XX09 2595```
```12Apr 4.108M 1645 XX07 2498```
```04Apr 4.348M 1598 XX09 2721```
```04Apr 4.253M 1598 XX09 2662```
```08Mar 4.516M 1721 XX07 2624```
```21Jan 4.551M 1721 XX07 2644```
```19Jan 4.798M 1722 XX06 2786```
```19Jan 4.336M 1581 XX06 2743```
```04Jan 3.918M 1645 XX08 2382```
```03Jan 4.261M 1598 XX09 2667```
```03Jan  5.09M 1722 XX06 2956```
```------------2021-----------```
```22Dec 4.427M 1599 XX08 2769```
_Source: DLD, Databot_
_BUA - built-up area, sq.ft._
_P/sf - price per sq.ft._
_B - bedrooms; O - office_
_M - million, K- thousand_
_S - studio, R - shop_
www.trydatabot.com</t>
  </si>
  <si>
    <t>1010804, *SALES*</t>
  </si>
  <si>
    <t>*SALES*
*TRANSACTIONS (RESALE)**
*FORTE T1*
_Area: Downtown_
_Type: 4 bedroom apartment_
```Date   Price  BUA Type P/sf```
```------------2025-----------```
```27Jan   8.5M 2427 XXXX 3502```
```------------2022-----------```
```07Jul   5.8M 2666 XX01 2176```
_Source: DLD, Databot_
_BUA - built-up area, sq.ft._
_P/sf - price per sq.ft._
_B - bedrooms; O - office_
_M - million, K- thousand_
_S - studio, R - shop_
_*Max 30 latest transactions_
www.trydatabot.com</t>
  </si>
  <si>
    <t>1010805, *MARKET</t>
  </si>
  <si>
    <t>*MARKET*
*SNAPSHOT*
*FORTE T1*
_Area: Downtown_
_Type: 4 bedroom apartment_
*Price dynamics, Dirham/sq.ft.*
_(M - median value)_
```3502|                     *```
```    |                      ```
```    |                      ```
```    |                      ```
```    |                      ```
```2839|---------------------M```
```    |                      ```
```    |                      ```
```    |                      ```
```    |                      ```
```2176|                    * ```
```____|______________________```
```    |Jul2022        Jan2025```
_Source: see table below_
*Latest sales transactions*
```Date   Price  BUA Type P/sf```
```------------2025-----------```
```27Jan   8.5M 2427 XXXX 3502```
```------------2022-----------```
```07Jul   5.8M 2666 XX01 2176```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</si>
  <si>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1010807, *RESELL</t>
  </si>
  <si>
    <t>*RESELL*
*VS PRIMARY*
*FORTE T1*
_Area: Downtown_
_Type: 4 bedroom apartment_
*Price dynamics, Dirham/sq.ft.*
_(x - primary; * - resell)_
```3502|                     *```
```    |                      ```
```    |                      ```
```    |                      ```
```2970|                      ```
```    |                      ```
```    |       x xx           ```
```    |                      ```
```    |        x             ```
```2176|                    * ```
```____|______________________```
```    |Dec1899        Jan2025```
_Source: see a table below_
*Latest resell transactions*
```Date   Price  BUA Type P/sf```
```------------2025-----------```
```27Jan   8.5M 2427 XXXX 3502```
```------------2022-----------```
```07Jul   5.8M 2666 XX01 2176```
*Latest primary transactions*
```------------2021-----------```
```20Oct 6.633M 2440 XX02 2718```
```06Oct 6.622M 2440 XX02 2714```
```------------2019-----------```
```02Apr 6.648M 2666 XX02 2494```
```------------2018-----------```
```10Dec 6.683M 2440 XX02 2739```
_Source: DLD, Databot_
_BUA - built-up area, sq.ft._
_P/sf - price per sq.ft._
_B - bedrooms; O - office_
_M - million, K- thousand_
_S - studio, R - shop_
www.trydatabot.com</t>
  </si>
  <si>
    <t>1010822, *NEW RE</t>
  </si>
  <si>
    <t>*NEW RENT*
*CONTRACTS**
_(renewals are not included)_
*FORTE T1+T2*
_Area: Downtown_
_Type: _
```Date  Price   BUA  Type D/s```
```------------2025-----------```
```18Feb  181K   700  XXXX 258```
```18Feb  196K   700  XXXX 279```
```------------2024-----------```
```23Jul  190K   700  XXXX 271```
```01Jan  261K  1453  XXXX 179```
```01Jan  261K  1453  XXXX 179```
```------------2023-----------```
```01Dec  128K   710  XXXX 180```
_Source: DLD, Databot_
_BUA - built-up area, sq.ft._
_P/sf - price per sq.ft._
_B - bedrooms; O - office_
_M - million, K- thousand_
_S - studio, R - shop_
_*20 latest contracts_
www.trydatabot.com</t>
  </si>
  <si>
    <t>1010836, *NEW RE</t>
  </si>
  <si>
    <t>*NEW RENT*
*CONTRACTS**
_(renewals are not included)_
*FORTE T1+T2*
_Area: Downtown_
_All types/bedrooms_
```Date    Price   BUA Type  B```
```------------2026-----------```
```13Jan     90K   538 XXXX  S```
```11Jan    110K   807 XXXX  1```
```10Jan  119.7K   807 XXXX  1```
```04Jan     88K   527 XXXX  S```
```01Jan    220K  1367 XXXX  2```
```------------2025-----------```
```25Dec    120K   807 XXXX  1```
```25Dec    195K  1625 XXXX  2```
```23Dec     83K   527 XXXX  S```
```22Dec     75K   538 XXXX  S```
```21Dec     75K   517 XXXX  S```
```15Dec    220K  1615 XXXX  3```
```08Dec    110K  1001 XXXX  1```
```06Dec    115K  1012 XXXX  1```
```01Dec     88K   538 XXXX  S```
```01Dec     88K   538 XXXX  S```
```28Nov    100K   807 XXXX  1```
```25Nov     85K   431 XXXX  S```
```24Nov    120K   807 XXXX  1```
```20Nov    115K  1001 XXXX  1```
```20Nov    105K   807 XXXX  1```
_Source: DLD, Databot_
_BUA - built-up area, sq.ft._
_P/sf - price per sq.ft._
_B - bedrooms; O - office_
_M - million, K- thousand_
_S - studio, R - shop_
_*20 latest contracts_
www.trydatabot.com</t>
  </si>
  <si>
    <t>1010837, *SALES*</t>
  </si>
  <si>
    <t>*SALES*
*TRANSACTIONS (RESALE)**
*FORTE T1*
_Area: Downtown_
_All types/bedrooms_
```Date    Price   BUA  Type B```
```------------2026-----------```
```16Jan   2.95M  1089  XX01 2```
```09Jan   3.35M  1110  XX03 2```
```06Jan    3.1M  1108  XXXX 2```
```------------2025-----------```
```29Dec    5.5M  1723  XXXX 3```
```15Dec    3.2M  1096  XX02 2```
```15Dec      5M  1568  XX06 3```
```11Dec   2.85M  1108  XX03 2```
```03Dec    2.7M  1089  XX01 2```
```25Nov   3.15M  1111  XX04 2```
```14Nov   2.95M  1096  XX02 2```
```14Nov   5.35M  1588  XX09 3```
```10Nov   2.85M  1004  XX05 2```
```06Nov    5.1M  1646  XXXX 3```
```03Nov   3.15M  1111  XX04 2```
```31Oct  2.685M  1106  XX02 1```
```31Oct  3.275M  1111  XX04 2```
```29Oct      5M  1646  XXXX 3```
```13Oct   4.32M  1723  XXXX 3```
```09Oct   5.65M  1723  XXXX 3```
```06Oct    2.6M   980  XX16 2```
```03Oct   2.85M  1004  XX05 2```
```03Oct    3.2M  1096  XX02 2```
```02Oct    5.2M  1646  XXXX 3```
```30Sep    3.1M  1551  XX14 2```
```29Sep   2.95M  1096  XX02 2```
```24Sep    5.2M  1723  XXXX 3```
```04Sep   3.15M  1004  XX05 2```
```03Sep   3.24M  1089  XX01 2```
```02Sep    2.6M  1106  XX02 1```
```26Aug    5.7M  1723  XXXX 3```
_Source: DLD, Databot_
_BUA - built-up area, sq.ft._
_P/sf - price per sq.ft._
_B - bedrooms; O - office_
_M - million, K- thousand_
_S - studio, R - shop_
_*Max 30 latest transactions_
www.trydatabot.com</t>
  </si>
  <si>
    <t>1010838, by code, *BUILDI</t>
  </si>
  <si>
    <t xml:space="preserve">*BUILDING*
*PROFILE*
*FORTE T1*
_Area: Downtown_
_Tap&amp;hold to copy a reply_
```-------------------------```
```Report              Reply```
```-------------------------```
*1 B/R*
```Resell, ROI       1010792```
```Primary sales     1010840```
```Price chart       1010793```
```Rentals           1010794```
```Appreciation      1010795```
*2 B/R*
```Resell, ROI       1010796```
```Primary sales     1010841```
```Price chart       1010797```
```Rentals           1010798```
```Appreciation      1010799```
*3 B/R*
```Resell, ROI       1010800```
```Primary sales     1010842```
```Price chart       1010801```
```Rentals           1010802```
```Appreciation      1010803```
*4 B/R*
```Resell, ROI       1010804```
```Primary sales     1010843```
```Price chart       1010805```
```Rentals               n/a```
```Appreciation      1010807```
*All types/bedrooms*
```Resell, ROI       1010837```
```Primary sales     1010851```
```Rentals           1010836```
</t>
  </si>
  <si>
    <t>1010840, *SALES*</t>
  </si>
  <si>
    <t>*SALES*
*TRANSACTIONS (PRIMARY)**
*FORTE T1*
_Area: Downtown_
_Type: 1 bedroom apartment_
```Date   Price  BUA Type P/sf```
```------------2022-----------```
```29Sep 2.136M 1041 XX07 2052```
```22Aug 2.141M 1041 XX06 2057```
```20Jun 2.368M 1114 XX02 2125```
```20Jun 2.373M 1114 XX02 2131```
```20Jun 2.371M 1117 XX02 2122```
```22May 2.091M  846 XX09 2471```
```19May  2.08M 1041 XX06 1998```
```19May 2.029M  846 XX11 2399```
```11Mar 2.157M  986 XX05 2188```
```------------2020-----------```
```14Sep 1.845M  846 XX11 2181```
```20Apr 1.662M  846 XX08 1965```
```09Apr 1.374M  772 XX01 1780```
```10Feb 1.662M  846 XX07 1965```
```------------2019-----------```
```26Dec 1.228M  686 XX15 1791```
```25Dec 1.663M  848 XX09 1961```
```30Oct 1.663M  848 XX07 1961```
```30Oct 1.663M  848 XX08 1961```
```30Oct 1.662M  846 XX10 1965```
```13Oct 1.664M  850 XX06 1958```
```29Sep 1.663M  848 XX06 1961```
_Source: DLD, Databot_
_BUA - built-up area, sq.ft._
_P/sf - price per sq.ft._
_B - bedrooms; O - office_
_M - million, K- thousand_
_S - studio, R - shop_
_*Max 20 latest transactions_
www.trydatabot.com</t>
  </si>
  <si>
    <t>1010841, *SALES*</t>
  </si>
  <si>
    <t>*SALES*
*TRANSACTIONS (PRIMARY)**
*FORTE T1*
_Area: Downtown_
_Type: 2 bedroom apartment_
```Date   Price  BUA Type P/sf```
```------------2025-----------```
```14Mar 3.312M 1110 XX03 2983```
```------------2024-----------```
```28Aug 3.543M 1111 XX04 3189```
```------------2023-----------```
```05Jul 2.399M  981 XX16 2445```
```05Jun 2.861M 1104 XX01 2591```
```02Jan 2.516M 1104 XX01 2279```
```------------2022-----------```
```09Nov 2.623M 1124 XX04 2334```
```11Oct 2.562M 1104 XX01 2321```
```05Oct 2.861M 1553 XX14 1842```
```10Aug 2.475M 1104 XX01 2242```
```28Jun 2.618M 1109 XX03 2361```
```23Jun  2.36M 1097 XX02 2151```
```30May 2.647M 1103 XX01 2400```
```04Apr 2.491M 1096 XX02 2273```
```04Apr 2.432M 1096 XX02 2219```
```25Mar 2.678M 1124 XX04 2382```
```16Mar 2.319M 1097 XX02 2114```
```14Mar 2.135M 1008 XX05 2118```
```------------2021-----------```
```22Dec 2.452M 1104 XX01 2221```
```20Dec 2.296M 1008 XX05 2278```
```16Dec 2.548M 1109 XX03 2297```
_Source: DLD, Databot_
_BUA - built-up area, sq.ft._
_P/sf - price per sq.ft._
_B - bedrooms; O - office_
_M - million, K- thousand_
_S - studio, R - shop_
_*Max 20 latest transactions_
www.trydatabot.com</t>
  </si>
  <si>
    <t>1010842, *SALES*</t>
  </si>
  <si>
    <t>*SALES*
*TRANSACTIONS (PRIMARY)**
*FORTE T1*
_Area: Downtown_
_Type: 3 bedroom apartment_
```Date   Price  BUA Type P/sf```
```------------2022-----------```
```15Jun 4.677M 1604 XX05 2916```
```27May 5.219M 1721 XX07 3032```
```18May 4.147M 1598 XX09 2595```
```12Apr 4.108M 1645 XX07 2498```
```04Apr 4.348M 1598 XX09 2721```
```04Apr 4.253M 1598 XX09 2662```
```08Mar 4.516M 1721 XX07 2624```
```21Jan 4.551M 1721 XX07 2644```
```19Jan 4.798M 1722 XX06 2786```
```19Jan 4.336M 1581 XX06 2743```
```04Jan 3.918M 1645 XX08 2382```
```03Jan 4.261M 1598 XX09 2667```
```03Jan  5.09M 1722 XX06 2956```
```------------2021-----------```
```22Dec 4.427M 1599 XX08 2769```
```21Dec  4.55M 1599 XX08 2846```
```20Dec 4.217M 1581 XX06 2667```
```16Dec 4.763M 1599 XX08 2979```
```09Dec     4M 1581 XX06 2530```
```08Dec 4.782M 1722 XX06 2777```
```08Dec 4.677M 1604 XX05 2916```
_Source: DLD, Databot_
_BUA - built-up area, sq.ft._
_P/sf - price per sq.ft._
_B - bedrooms; O - office_
_M - million, K- thousand_
_S - studio, R - shop_
_*Max 20 latest transactions_
www.trydatabot.com</t>
  </si>
  <si>
    <t>1010843, *SALES*</t>
  </si>
  <si>
    <t>*SALES*
*TRANSACTIONS (PRIMARY)**
*FORTE T1*
_Area: Downtown_
_Type: 4 bedroom apartment_
```Date   Price  BUA Type P/sf```
```------------2021-----------```
```20Oct 6.633M 2440 XX02 2718```
```06Oct 6.622M 2440 XX02 2714```
```------------2019-----------```
```02Apr 6.648M 2666 XX02 2494```
```------------2018-----------```
```10Dec 6.683M 2440 XX02 2739```
_Source: DLD, Databot_
_BUA - built-up area, sq.ft._
_P/sf - price per sq.ft._
_B - bedrooms; O - office_
_M - million, K- thousand_
_S - studio, R - shop_
_*Max 20 latest transactions_
www.trydatabot.com</t>
  </si>
  <si>
    <t>1010851, *SALES*</t>
  </si>
  <si>
    <t>*SALES*
*TRANSACTIONS (PRIMARY)**
*FORTE T1*
_Area: Downtown_
_All types/bedrooms_
```Date    Price   BUA  Type B```
```------------2025-----------```
```14Mar  3.312M  1110  XX03 2```
```------------2024-----------```
```28Aug  3.543M  1111  XX04 2```
```------------2023-----------```
```05Jul  2.399M   981  XX16 2```
```05Jun  2.861M  1104  XX01 2```
```02Jan  2.516M  1104  XX01 2```
```------------2022-----------```
```09Nov  2.623M  1124  XX04 2```
```11Oct  2.562M  1104  XX01 2```
```05Oct  2.861M  1553  XX14 2```
```29Sep  2.136M  1041  XX07 1```
```22Aug  2.141M  1041  XX06 1```
```10Aug  2.475M  1104  XX01 2```
```28Jun  2.618M  1109  XX03 2```
```23Jun   2.36M  1097  XX02 2```
```20Jun  2.368M  1114  XX02 1```
```20Jun  2.373M  1114  XX02 1```
```20Jun  2.371M  1117  XX02 1```
```15Jun  4.677M  1604  XX05 3```
```30May  2.647M  1103  XX01 2```
```27May  5.219M  1721  XX07 3```
```22May  2.091M   846  XX09 1```
_Source: DLD, Databot_
_BUA - built-up area, sq.ft._
_P/sf - price per sq.ft._
_B - bedrooms; O - office_
_M - million, K- thousand_
_S - studio, R - shop_
_*Max 20 latest transactions_
www.trydatabot.com</t>
  </si>
  <si>
    <t>1010854, *NEW RE</t>
  </si>
  <si>
    <t>Forte T2</t>
  </si>
  <si>
    <t>1010856, *SALES*</t>
  </si>
  <si>
    <r>
      <rPr/>
      <t xml:space="preserve">*SALES*
*TRANSACTIONS (RESALE)**
*FORTE T2*
_Area: Downtown_
_Type: 1 bedroom apartment_
_Gross ROI=5.71%_
_Median annual rent=115K_
```Date   Price  BUA Type P/sf```
```------------2025-----------```
```18Dec  2.05M  668 XX09 3069```
```10Dec   2.2M  651 XX10 3379```
```29Aug   2.1M  697 XX04 3013```
```11Aug  1.66M  651 XX10 2550```
```11Feb   2.1M  697 XX04 3013```
```------------2024-----------```
```16Jul  2.07M  691 XXXX 2996```
```01Jul     2M  691 XXXX 2894```
```13Jun   1.7M  676 XXXX 2515```
```04Jun   1.8M  651 XXXX 2765```
```17May   1.8M  615 XX02 2927```
```14May     2M  697 XX04 2869```
```26Apr  1.86M  615 XX02 3024```
```26Apr 1.775M  615 XX02 2886```
```18Apr  1.95M  676 XXXX 2885```
```01Apr  1.73M  615 XX02 2813```
```27Mar  1.85M  676 XXXX 2737```
```08Mar   1.8M  697 XX04 2582```
```07Mar  1.76M  615 XX02 2862```
```07Mar  1.76M  676 XXXX 2604```
```29Feb   1.7M  697 XX04 2439```
```16Feb 1.755M  651 XXXX 2696```
```09Jan  1.72M  697 XX04 2468```
```------------2023-----------```
```21Dec   1.8M  651 XXXX 2765```
```13Dec   1.7M  713 XXXX 2384```
```22Nov   1.7M  676 XXXX 2515```
```15Nov   1.7M  691 XXXX 2460```
```08Nov  1.95M  615 XX02 3171```
```13Oct  1.56M  615 XX02 2537```
```05Oct     2M  697 XX04 2869```
```13Sep  1.74M  615 XX02 2829```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</si>
  <si>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1010857, *MARKET</t>
  </si>
  <si>
    <t>*MARKET*
*SNAPSHOT*
*FORTE T2*
_Area: Downtown_
_Type: 1 bedroom apartment_
*Price dynamics, Dirham/sq.ft.*
_(M - median value)_
```3379|                    * ```
```    |                      ```
```    |                      ```
```    |                     *```
```    |          *     ** *  ```
```2866|---------------------M```
```    |        ** **  *      ```
```    |       *              ```
```    | *    *      *        ```
```    |   * *            *   ```
```2439|* *           *       ```
```____|______________________```
```    |Jan2024        Dec2025```
_Source: see table below_
*Latest sales transactions*
```Date   Price  BUA Type P/sf```
```------------2025-----------```
```18Dec  2.05M  668 XX09 3069```
```10Dec   2.2M  651 XX10 3379```
```29Aug   2.1M  697 XX04 3013```
```11Aug  1.66M  651 XX10 2550```
```11Feb   2.1M  697 XX04 3013```
```------------2024-----------```
```16Jul  2.07M  691 XXXX 2996```
```01Jul     2M  691 XXXX 2894```
```13Jun   1.7M  676 XXXX 2515```
```04Jun   1.8M  651 XXXX 2765```
```17May   1.8M  615 XX02 2927```
```14May     2M  697 XX04 2869```
```26Apr  1.86M  615 XX02 3024```
```26Apr 1.775M  615 XX02 2886```
```18Apr  1.95M  676 XXXX 2885```
```01Apr  1.73M  615 XX02 2813```
```27Mar  1.85M  676 XXXX 2737```
```08Mar   1.8M  697 XX04 2582```
```07Mar  1.76M  615 XX02 2862```
```07Mar  1.76M  676 XXXX 2604```
```29Feb   1.7M  697 XX04 2439```
```16Feb 1.755M  651 XXXX 2696```
```09Jan  1.72M  697 XX04 2468```
```------------2023-----------```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</si>
  <si>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1010858, *NEW RE</t>
  </si>
  <si>
    <t>*NEW RENT*
*CONTRACTS**
_(renewals are not included)_
*FORTE T1+T2*
_Area: Downtown_
_Type: 1 bedroom apartment_
```Date  Price   BUA  Type D/s```
```------------2026-----------```
```11Jan  110K   807  XXXX 136```
```10Jan  120K   807  XXXX 148```
```------------2025-----------```
```25Dec  120K   807  XXXX 149```
```08Dec  110K  1001  XXXX 110```
```06Dec  115K  1012  XXXX 114```
```28Nov  100K   807  XXXX 124```
```24Nov  120K   807  XXXX 149```
```20Nov  115K  1001  XXXX 115```
```20Nov  105K   807  XXXX 130```
```17Nov  105K   807  XXXX 130```
```15Nov  120K  1001  XXXX 120```
```10Nov  125K   807  XXXX 155```
```01Nov  100K   807  XXXX 124```
```01Nov  120K   829  XXXX 145```
```01Nov  120K  1012  XXXX 119```
```26Oct  105K   807  XXXX 130```
```25Oct  115K   807  XXXX 143```
```18Oct  120K   807  XXXX 149```
```16Oct  104K   818  XXXX 127```
```07Oct  100K   818  XXXX 122```
_Source: DLD, Databot_
_BUA - built-up area, sq.ft._
_P/sf - price per sq.ft._
_B - bedrooms; O - office_
_M - million, K- thousand_
_S - studio, R - shop_
_*20 latest contracts_
www.trydatabot.com</t>
  </si>
  <si>
    <t>1010859, *RESELL</t>
  </si>
  <si>
    <t>*RESELL*
*VS PRIMARY*
*FORTE T2*
_Area: Downtown_
_Type: 1 bedroom apartment_
*Price dynamics, Dirham/sq.ft.*
_(x - primary; * - resell)_
```3379|                    * ```
```    |                      ```
```    |                     *```
```    |            *  *** *  ```
```2807|           * *        ```
```    |                      ```
```    |              *   *   ```
```    |                      ```
```    | xxxxxxxx x           ```
```1952|x        x            ```
```____|______________________```
```    |Dec2020        Dec2025```
_Source: see a table below_
*Latest resell transactions*
```Date   Price  BUA Type P/sf```
```------------2025-----------```
```18Dec  2.05M  668 XX09 3069```
```10Dec   2.2M  651 XX10 3379```
```29Aug   2.1M  697 XX04 3013```
```11Aug  1.66M  651 XX10 2550```
```11Feb   2.1M  697 XX04 3013```
```------------2024-----------```
```16Jul  2.07M  691 XXXX 2996```
```01Jul     2M  691 XXXX 2894```
```13Jun   1.7M  676 XXXX 2515```
```04Jun   1.8M  651 XXXX 2765```
```17May   1.8M  615 XX02 2927```
```14May     2M  697 XX04 2869```
```26Apr  1.86M  615 XX02 3024```
```26Apr 1.775M  615 XX02 2886```
```18Apr  1.95M  676 XXXX 2885```
```01Apr  1.73M  615 XX02 2813```
```27Mar  1.85M  676 XXXX 2737```
```08Mar   1.8M  697 XX04 2582```
*Latest primary transactions*
```------------2022-----------```
```02Nov 1.631M  710 XX03 2297```
```08Feb 1.275M  653 XX10 1952```
```------------2021-----------```
```25Nov 1.617M  710 XX03 2277```
```06Sep 1.487M  677 XX03 2196```
```29Aug 1.467M  697 XX04 2105```
```09Aug  1.48M  677 XX03 2186```
```13Jun 1.626M  710 XX03 2290```
```04May 1.472M  697 XX04 2112```
```03Mar 1.495M  697 XX04 2145```
```02Mar 1.382M  653 XX10 2116```
```------------2020-----------```
```06Dec 1.252M  615 XX02 2036```
```22Oct   1.4M  653 XX10 2144```
```07Jul 1.216M  628 XX04 1936```
_Source: DLD, Databot_
_BUA - built-up area, sq.ft._
_P/sf - price per sq.ft._
_B - bedrooms; O - office_
_M - million, K- thousand_
_S - studio, R - shop_
www.trydatabot.com</t>
  </si>
  <si>
    <t>1010860, *SALES*</t>
  </si>
  <si>
    <r>
      <rPr/>
      <t xml:space="preserve">*SALES*
*TRANSACTIONS (RESALE)**
*FORTE T2*
_Area: Downtown_
_Type: 2 bedroom apartment_
_Gross ROI=5.27%_
_Median annual rent=165K_
```Date   Price  BUA Type P/sf```
```------------2026-----------```
```15Jan  3.27M 1133 XX05 2886```
```------------2025-----------```
```16Dec  3.21M 1085 XX03 2959```
```15Dec   3.5M 1179 XX06 2969```
```04Dec  2.95M 1160 XX01 2543```
```20Nov   3.3M 1249 XX07 2642```
```13Oct     3M 1165 XX05 2575```
```19Sep     3M 1133 XX05 2648```
```09Sep 3.315M 1249 XX07 2654```
```08Aug  3.42M 1179 XX06 2901```
```16Jul 2.476M 1249 XX01 1982```
```14May   3.1M 1179 XX06 2629```
```07May   3.3M 1179 XX06 2799```
```21Apr   3.5M 1249 XX07 2802```
```08Apr     3M  992 XX01 3024```
```19Feb  3.05M 1237 XXXX 2466```
```------------2024-----------```
```09Dec   2.2M  992 XX01 2218```
```04Dec  2.95M 1133 XX05 2604```
```21Nov  3.15M 1179 XX06 2672```
```18Nov  3.05M 1133 XX05 2692```
```14Nov   3.2M 1249 XX07 2562```
```14Oct   3.1M 1249 XX01 2482```
```09Oct   2.7M 1160 XX01 2328```
```26Sep 3.325M 1179 XX06 2820```
```11Sep  2.85M 1133 XX05 2515```
```19Aug  3.37M 1248 XX06 2700```
```05Aug  3.25M 1249 XX07 2602```
```01Aug  2.83M 1160 XX01 2440```
```22Jul  3.65M 1249 XX07 2922```
```04Jul  3.05M 1133 XX05 2692```
```21Jun     3M 1133 XX05 2648```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</si>
  <si>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1010861, *MARKET</t>
  </si>
  <si>
    <t>*MARKET*
*SNAPSHOT*
*FORTE T2*
_Area: Downtown_
_Type: 2 bedroom apartment_
*Price dynamics, Dirham/sq.ft.*
_(M - median value)_
```3024|        *             ```
```    |             *     ***```
```    |         **           ```
```    |   **                 ```
```2645|---------------------M```
```    |  *  *     *  ****    ```
```    | *     *          *   ```
```    |                      ```
```    |*                     ```
```    |      *               ```
```1982|            *         ```
```____|______________________```
```    |Oct2024        Jan2026```
_Source: see table below_
*Latest sales transactions*
```Date   Price  BUA Type P/sf```
```------------2026-----------```
```15Jan  3.27M 1133 XX05 2886```
```------------2025-----------```
```16Dec  3.21M 1085 XX03 2959```
```15Dec   3.5M 1179 XX06 2969```
```04Dec  2.95M 1160 XX01 2543```
```20Nov   3.3M 1249 XX07 2642```
```13Oct     3M 1165 XX05 2575```
```19Sep     3M 1133 XX05 2648```
```09Sep 3.315M 1249 XX07 2654```
```08Aug  3.42M 1179 XX06 2901```
```16Jul 2.476M 1249 XX01 1982```
```14May   3.1M 1179 XX06 2629```
```07May   3.3M 1179 XX06 2799```
```21Apr   3.5M 1249 XX07 2802```
```08Apr     3M  992 XX01 3024```
```19Feb  3.05M 1237 XXXX 2466```
```------------2024-----------```
```09Dec   2.2M  992 XX01 2218```
```04Dec  2.95M 1133 XX05 2604```
```21Nov  3.15M 1179 XX06 2672```
```18Nov  3.05M 1133 XX05 2692```
```14Nov   3.2M 1249 XX07 2562```
```14Oct   3.1M 1249 XX01 2482```
```09Oct   2.7M 1160 XX01 2328```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</si>
  <si>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1010862, *NEW RE</t>
  </si>
  <si>
    <t>1010863, *RESELL</t>
  </si>
  <si>
    <t>*RESELL*
*VS PRIMARY*
*FORTE T2*
_Area: Downtown_
_Type: 2 bedroom apartment_
*Price dynamics, Dirham/sq.ft.*
_(x - primary; * - resell)_
```2969|                   ** ```
```    |             *       *```
```    |                      ```
```    |  x xxxx   *  *****   ```
```2481|         x            ```
```    |          x           ```
```    |        x             ```
```    | x                    ```
```    |   x        *         ```
```1745|x                     ```
```____|______________________```
```    |Oct2020        Jan2026```
_Source: see a table below_
*Latest resell transactions*
```Date   Price  BUA Type P/sf```
```------------2026-----------```
```15Jan  3.27M 1133 XX05 2886```
```------------2025-----------```
```16Dec  3.21M 1085 XX03 2959```
```15Dec   3.5M 1179 XX06 2969```
```04Dec  2.95M 1160 XX01 2543```
```20Nov   3.3M 1249 XX07 2642```
```13Oct     3M 1165 XX05 2575```
```19Sep     3M 1133 XX05 2648```
```09Sep 3.315M 1249 XX07 2654```
```08Aug  3.42M 1179 XX06 2901```
```16Jul 2.476M 1249 XX01 1982```
```14May   3.1M 1179 XX06 2629```
```07May   3.3M 1179 XX06 2799```
```21Apr   3.5M 1249 XX07 2802```
```08Apr     3M  992 XX01 3024```
```19Feb  3.05M 1237 XXXX 2466```
```------------2024-----------```
```09Dec   2.2M  992 XX01 2218```
*Latest primary transactions*
```------------2024-----------```
```04Apr 2.764M 1179 XXXX 2344```
```------------2022-----------```
```31May 3.105M 1251 XX07 2482```
```30Mar 2.728M 1190 XX06 2292```
```14Jan 3.083M 1190 XX06 2591```
```04Jan 3.242M 1251 XX07 2591```
```------------2021-----------```
```29Dec 3.043M 1190 XX06 2557```
```22Dec 3.094M 1190 XX06 2600```
```23Nov 2.317M 1146 XX05 2022```
```13Sep 3.273M 1252 XX06 2614```
```08Jul 2.569M 1223 XX05 2100```
```------------2020-----------```
```04Oct 1.731M  992 XX01 1745```
```11Mar 2.583M 1263 XX01 2045```
_Source: DLD, Databot_
_BUA - built-up area, sq.ft._
_P/sf - price per sq.ft._
_B - bedrooms; O - office_
_M - million, K- thousand_
_S - studio, R - shop_
www.trydatabot.com</t>
  </si>
  <si>
    <t>1010864, *SALES*</t>
  </si>
  <si>
    <t>*SALES*
*TRANSACTIONS (RESALE)**
*FORTE T2*
_Area: Downtown_
_Type: 3 bedroom apartment_
_Gross ROI=4.49%_
_Median annual rent=230K_
```Date   Price  BUA Type P/sf```
```------------2025-----------```
```11Dec   4.8M 1671 XX07 2873```
```24Nov   5.6M 1673 XX08 3347```
```24Nov   5.6M 1673 XX08 3347```
```20Nov     4M 1533 XX09 2609```
```13Nov   5.4M 1673 XX08 3228```
```13Nov   5.5M 1671 XX07 3291```
```11Nov   5.9M 2256 XXXX 2615```
```11Nov     4M 1671 XX07 2394```
```14Oct   4.7M 1671 XX07 2813```
```25Aug  4.89M 1533 XX09 3190```
```23Jul     4M 1673 XX08 2391```
```05May   5.4M 1533 XX09 3523```
```18Apr   5.2M 1673 XX08 3108```
```14Mar  4.75M 1562 XXXX 3041```
```05Mar   4.7M 1533 XX09 3066```
```------------2024-----------```
```18Dec  4.85M 1673 XX08 2899```
```28Nov  4.35M 1532 XXXX 2839```
```04Nov     4M 1533 XX09 2609```
```22Oct   4.8M 1532 XXXX 3133```
```07Oct   4.7M 1533 XX09 3066```
```22Aug   4.6M 1533 XX09 3001```
```26Jul 4.625M 1533 XX09 3017```
```16Jul  4.05M 1532 XXXX 2644```
```02Jul   4.4M 1643 XX02 2678```
```10Jun   4.5M 1533 XXXX 2935```
```30May   5.1M 1562 XXXX 3265```
```08May     4M 1673 XXXX 2391```
```08May     4M 1673 XXXX 2391```
```04Apr   4.2M 1673 XXXX 2510```
```04Apr   4.2M 1673 XXXX 2510```
_Source: DLD, Databot_
_BUA - built-up area, sq.ft._
_P/sf - price per sq.ft._
_B - bedrooms; O - office_
_M - million, K- thousand_
_S - studio, R - shop_
_*Max 30 latest transactions_
www.trydatabot.com</t>
  </si>
  <si>
    <t>1010865, *MARKET</t>
  </si>
  <si>
    <t>*MARKET*
*SNAPSHOT*
*FORTE T2*
_Area: Downtown_
_Type: 3 bedroom apartment_
*Price dynamics, Dirham/sq.ft.*
_(M - median value)_
```3523|          *           ```
```    |                      ```
```    |                *  ** ```
```    |   *        *    *    ```
```3029|---------------------M```
```    |* *    ***            ```
```    | *                    ```
```    |     **      *       *```
```    |                      ```
```    |    *          *  *   ```
```2391|           *  *       ```
```____|______________________```
```    |Jul2024        Dec2025```
_Source: see table below_
*Latest sales transactions*
```Date   Price  BUA Type P/sf```
```------------2025-----------```
```11Dec   4.8M 1671 XX07 2873```
```24Nov   5.6M 1673 XX08 3347```
```24Nov   5.6M 1673 XX08 3347```
```20Nov     4M 1533 XX09 2609```
```13Nov   5.4M 1673 XX08 3228```
```13Nov   5.5M 1671 XX07 3291```
```11Nov   5.9M 2256 XXXX 2615```
```11Nov     4M 1671 XX07 2394```
```14Oct   4.7M 1671 XX07 2813```
```25Aug  4.89M 1533 XX09 3190```
```23Jul     4M 1673 XX08 2391```
```05May   5.4M 1533 XX09 3523```
```18Apr   5.2M 1673 XX08 3108```
```14Mar  4.75M 1562 XXXX 3041```
```05Mar   4.7M 1533 XX09 3066```
```------------2024-----------```
```18Dec  4.85M 1673 XX08 2899```
```28Nov  4.35M 1532 XXXX 2839```
```04Nov     4M 1533 XX09 2609```
```22Oct   4.8M 1532 XXXX 3133```
```07Oct   4.7M 1533 XX09 3066```
```22Aug   4.6M 1533 XX09 3001```
```26Jul 4.625M 1533 XX09 3017```
```16Jul  4.05M 1532 XXXX 2644```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</si>
  <si>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1010866, *NEW RE</t>
  </si>
  <si>
    <t>1010867, *RESELL</t>
  </si>
  <si>
    <t>*RESELL*
*VS PRIMARY*
*FORTE T2*
_Area: Downtown_
_Type: 3 bedroom apartment_
*Price dynamics, Dirham/sq.ft.*
_(x - primary; * - resell)_
```3347|                   ** ```
```    |                **    ```
```    |            *         ```
```    |                      ```
```2939|                      ```
```    |             *       *```
```    |x                     ```
```    | x     xx      *  *   ```
```    |  xxx    xx           ```
```2329|     xx    *  *       ```
```____|______________________```
```    |Mar2022        Dec2025```
_Source: see a table below_
*Latest resell transactions*
```Date   Price  BUA Type P/sf```
```------------2025-----------```
```11Dec   4.8M 1671 XX07 2873```
```24Nov   5.6M 1673 XX08 3347```
```24Nov   5.6M 1673 XX08 3347```
```20Nov     4M 1533 XX09 2609```
```13Nov   5.4M 1673 XX08 3228```
```13Nov   5.5M 1671 XX07 3291```
```11Nov   5.9M 2256 XXXX 2615```
```11Nov     4M 1671 XX07 2394```
```14Oct   4.7M 1671 XX07 2813```
```25Aug  4.89M 1533 XX09 3190```
```23Jul     4M 1673 XX08 2391```
```05May   5.4M 1533 XX09 3523```
```18Apr   5.2M 1673 XX08 3108```
```14Mar  4.75M 1562 XXXX 3041```
```05Mar   4.7M 1533 XX09 3066```
```------------2024-----------```
```18Dec  4.85M 1673 XX08 2899```
```28Nov  4.35M 1532 XXXX 2839```
*Latest primary transactions*
```------------2023-----------```
```07Jul   3.9M 1533 XXXX 2544```
```------------2022-----------```
```06Jun 4.062M 1669 XX07 2434```
```29May 5.966M 2269 XX01 2629```
```11May 4.124M 1563 XX09 2638```
```10May  3.64M 1563 XX09 2329```
```19Apr 3.668M 1563 XX09 2347```
```23Mar 3.982M 1572 XX08 2533```
```22Mar  3.96M 1572 XX08 2519```
```22Mar 3.968M 1572 XX08 2524```
```18Mar 4.148M 1563 XX09 2654```
```10Mar 6.101M 2269 XX02 2689```
```09Mar 4.154M 1563 XX09 2658```
```09Mar 4.447M 1671 XX08 2661```
```08Mar 4.163M 1563 XX09 2663```
_Source: DLD, Databot_
_BUA - built-up area, sq.ft._
_P/sf - price per sq.ft._
_B - bedrooms; O - office_
_M - million, K- thousand_
_S - studio, R - shop_
www.trydatabot.com</t>
  </si>
  <si>
    <t>1010868, *SALES*</t>
  </si>
  <si>
    <t>*SALES*
*TRANSACTIONS (RESALE)**
*FORTE T2*
_Area: Downtown_
_Type: 4 bedroom apartment_
```Date   Price  BUA Type P/sf```
```------------2024-----------```
```20Nov   6.7M 2256 XXXX 2970```
_Source: DLD, Databot_
_BUA - built-up area, sq.ft._
_P/sf - price per sq.ft._
_B - bedrooms; O - office_
_M - million, K- thousand_
_S - studio, R - shop_
_*Max 30 latest transactions_
www.trydatabot.com</t>
  </si>
  <si>
    <t>1010869, *MARKET</t>
  </si>
  <si>
    <t>*MARKET*
*SNAPSHOT*
*FORTE T2*
_Area: Downtown_
_Type: 4 bedroom apartment_
*Price dynamics, Dirham/sq.ft.*
_(M - median value)_
```2970|                     *```
```2970|----------------------```
```    |                     *```
```2970|---------------------M```
```    |                     *```
```2970|---------------------M```
```    |                     *```
```2970|---------------------M```
```    |                     *```
```2970|---------------------M```
```    |                     *```
```____|______________________```
```    |Nov2024        Nov2024```
_Source: see table below_
*Latest sales transactions*
```Date   Price  BUA Type P/sf```
```------------2024-----------```
```20Nov   6.7M 2256 XXXX 2970```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</si>
  <si>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1010871, *RESELL</t>
  </si>
  <si>
    <t>*RESELL*
*VS PRIMARY*
*FORTE T2*
_Area: Downtown_
_Type: 4 bedroom apartment_
*Price dynamics, Dirham/sq.ft.*
_(x - primary; * - resell)_
```3324|          x           ```
```    |                      ```
```    |                      ```
```    |                      ```
```3184|                      ```
```    |                      ```
```    |                      ```
```    |                      ```
```    |                      ```
```2970|                     *```
```____|______________________```
```    |Dec1899        Jun2025```
_Source: see a table below_
*Latest resell transactions*
```Date   Price  BUA Type P/sf```
```------------2024-----------```
```20Nov   6.7M 2256 XXXX 2970```
*Latest primary transactions*
```------------2025-----------```
```30Jun 7.499M 2256 XXXX 3324```</t>
  </si>
  <si>
    <t>1010886, *NEW RE</t>
  </si>
  <si>
    <t>1010900, *NEW RE</t>
  </si>
  <si>
    <t>1010901, *SALES*</t>
  </si>
  <si>
    <t>*SALES*
*TRANSACTIONS (RESALE)**
*FORTE T2*
_Area: Downtown_
_All types/bedrooms_
```Date    Price   BUA  Type B```
```------------2026-----------```
```15Jan   3.27M  1133  XX05 2```
```------------2025-----------```
```18Dec   2.05M   668  XX09 1```
```16Dec   3.21M  1085  XX03 2```
```15Dec    3.5M  1179  XX06 2```
```11Dec    4.8M  1671  XX07 3```
```10Dec    2.2M   651  XX10 1```
```04Dec   2.95M  1160  XX01 2```
```24Nov    5.6M  1673  XX08 3```
```24Nov    5.6M  1673  XX08 3```
```20Nov    3.3M  1249  XX07 2```
```20Nov      4M  1533  XX09 3```
```13Nov    5.4M  1673  XX08 3```
```13Nov    5.5M  1671  XX07 3```
```11Nov    5.9M  2256  XXXX 3```
```11Nov      4M  1671  XX07 3```
```14Oct    4.7M  1671  XX07 3```
```13Oct      3M  1165  XX05 2```
```19Sep      3M  1133  XX05 2```
```09Sep  3.315M  1249  XX07 2```
```29Aug    2.1M   697  XX04 1```
```25Aug   4.89M  1533  XX09 3```
```11Aug   1.66M   651  XX10 1```
```08Aug   3.42M  1179  XX06 2```
```23Jul      4M  1673  XX08 3```
```16Jul  2.476M  1249  XX01 2```
```14May    3.1M  1179  XX06 2```
```07May    3.3M  1179  XX06 2```
```05May    5.4M  1533  XX09 3```
```21Apr    3.5M  1249  XX07 2```
```18Apr    5.2M  1673  XX08 3```
_Source: DLD, Databot_
_BUA - built-up area, sq.ft._
_P/sf - price per sq.ft._
_B - bedrooms; O - office_
_M - million, K- thousand_
_S - studio, R - shop_
_*Max 30 latest transactions_
www.trydatabot.com</t>
  </si>
  <si>
    <t>1010902, by code, *BUILDI</t>
  </si>
  <si>
    <t xml:space="preserve">*BUILDING*
*PROFILE*
*FORTE T2*
_Area: Downtown_
_Tap&amp;hold to copy a reply_
```-------------------------```
```Report              Reply```
```-------------------------```
*1 B/R*
```Resell, ROI       1010856```
```Primary sales     1010904```
```Price chart       1010857```
```Rentals           1010858```
```Appreciation      1010859```
*2 B/R*
```Resell, ROI       1010860```
```Primary sales     1010905```
```Price chart       1010861```
```Rentals           1010862```
```Appreciation      1010863```
*3 B/R*
```Resell, ROI       1010864```
```Primary sales     1010906```
```Price chart       1010865```
```Rentals           1010866```
```Appreciation      1010867```
*4 B/R*
```Resell, ROI       1010868```
```Primary sales     1010907```
```Price chart       1010869```
```Rentals               n/a```
```Appreciation      1010871```
*All types/bedrooms*
```Resell, ROI       1010901```
```Primary sales     1010915```
```Rentals           1010900```
</t>
  </si>
  <si>
    <t>1010904, *SALES*</t>
  </si>
  <si>
    <t>*SALES*
*TRANSACTIONS (PRIMARY)**
*FORTE T2*
_Area: Downtown_
_Type: 1 bedroom apartment_
```Date   Price  BUA Type P/sf```
```------------2022-----------```
```02Nov 1.631M  710 XX03 2297```
```08Feb 1.275M  653 XX10 1952```
```------------2021-----------```
```25Nov 1.617M  710 XX03 2277```
```06Sep 1.487M  677 XX03 2196```
```29Aug 1.467M  697 XX04 2105```
```09Aug  1.48M  677 XX03 2186```
```13Jun 1.626M  710 XX03 2290```
```04May 1.472M  697 XX04 2112```
```03Mar 1.495M  697 XX04 2145```
```02Mar 1.382M  653 XX10 2116```
```------------2020-----------```
```06Dec 1.252M  615 XX02 2036```
```22Oct   1.4M  653 XX10 2144```
```07Jul 1.216M  628 XX04 1936```
```------------2019-----------```
```26Nov 1.102M  603 XX06 1827```
```15Oct 1.431M  697 XX04 2053```
```18Sep 990.8K  604 XX08 1640```
```30Jun 1.427M  692 XX02 2062```
```27Jun 1.226M  926 XX04 1324```
```17Jun 1.111M  663 XX07 1675```
```16Jun 1.321M  800 XX02 1651```
_Source: DLD, Databot_
_BUA - built-up area, sq.ft._
_P/sf - price per sq.ft._
_B - bedrooms; O - office_
_M - million, K- thousand_
_S - studio, R - shop_
_*Max 20 latest transactions_
www.trydatabot.com</t>
  </si>
  <si>
    <t>1010905, *SALES*</t>
  </si>
  <si>
    <t>*SALES*
*TRANSACTIONS (PRIMARY)**
*FORTE T2*
_Area: Downtown_
_Type: 2 bedroom apartment_
```Date   Price  BUA Type P/sf```
```------------2024-----------```
```04Apr 2.764M 1179 XXXX 2344```
```------------2022-----------```
```31May 3.105M 1251 XX07 2482```
```30Mar 2.728M 1190 XX06 2292```
```14Jan 3.083M 1190 XX06 2591```
```04Jan 3.242M 1251 XX07 2591```
```------------2021-----------```
```29Dec 3.043M 1190 XX06 2557```
```22Dec 3.094M 1190 XX06 2600```
```23Nov 2.317M 1146 XX05 2022```
```13Sep 3.273M 1252 XX06 2614```
```08Jul 2.569M 1223 XX05 2100```
```------------2020-----------```
```04Oct 1.731M  992 XX01 1745```
```11Mar 2.583M 1263 XX01 2045```
```20Feb  2.17M 1172 XX01 1851```
```06Feb 1.788M  992 XX01 1802```
```------------2019-----------```
```19Nov 2.103M 1170 XX05 1797```
```15Oct 1.785M  992 XX01 1799```
```15Oct 2.351M 1084 XX07 2169```
```08Aug 2.377M 1085 XX03 2191```
```10Jul 2.107M 1170 XX05 1801```
```02Jul  2.35M 1086 XX06 2164```
_Source: DLD, Databot_
_BUA - built-up area, sq.ft._
_P/sf - price per sq.ft._
_B - bedrooms; O - office_
_M - million, K- thousand_
_S - studio, R - shop_
_*Max 20 latest transactions_
www.trydatabot.com</t>
  </si>
  <si>
    <t>1010906, *SALES*</t>
  </si>
  <si>
    <t>*SALES*
*TRANSACTIONS (PRIMARY)**
*FORTE T2*
_Area: Downtown_
_Type: 3 bedroom apartment_
```Date   Price  BUA Type P/sf```
```------------2023-----------```
```07Jul   3.9M 1533 XXXX 2544```
```------------2022-----------```
```06Jun 4.062M 1669 XX07 2434```
```29May 5.966M 2269 XX01 2629```
```11May 4.124M 1563 XX09 2638```
```10May  3.64M 1563 XX09 2329```
```19Apr 3.668M 1563 XX09 2347```
```23Mar 3.982M 1572 XX08 2533```
```22Mar  3.96M 1572 XX08 2519```
```22Mar 3.968M 1572 XX08 2524```
```18Mar 4.148M 1563 XX09 2654```
```10Mar 6.101M 2269 XX02 2689```
```09Mar 4.154M 1563 XX09 2658```
```09Mar 4.447M 1671 XX08 2661```
```08Mar 4.163M 1563 XX09 2663```
```08Mar  4.54M 1669 XX07 2720```
```08Mar 4.487M 1671 XX08 2685```
```07Mar 4.532M 1669 XX07 2715```
```11Feb 4.384M 1572 XX05 2789```
```11Feb  6.09M 2269 XX02 2684```
```11Feb 4.386M 1671 XX08 2625```
_Source: DLD, Databot_
_BUA - built-up area, sq.ft._
_P/sf - price per sq.ft._
_B - bedrooms; O - office_
_M - million, K- thousand_
_S - studio, R - shop_
_*Max 20 latest transactions_
www.trydatabot.com</t>
  </si>
  <si>
    <t>1010907, *SALES*</t>
  </si>
  <si>
    <t>*SALES*
*TRANSACTIONS (PRIMARY)**
*FORTE T2*
_Area: Downtown_
_Type: 4 bedroom apartment_
```Date   Price  BUA Type P/sf```
```------------2025-----------```
```30Jun 7.499M 2256 XXXX 3324```
_Source: DLD, Databot_
_BUA - built-up area, sq.ft._
_P/sf - price per sq.ft._
_B - bedrooms; O - office_
_M - million, K- thousand_
_S - studio, R - shop_
_*Max 20 latest transactions_
www.trydatabot.com</t>
  </si>
  <si>
    <t>1010915, *SALES*</t>
  </si>
  <si>
    <t>*SALES*
*TRANSACTIONS (PRIMARY)**
*FORTE T2*
_Area: Downtown_
_All types/bedrooms_
```Date    Price   BUA  Type B```
```------------2025-----------```
```30Jun  7.499M  2256  XXXX 4```
```------------2024-----------```
```04Apr  2.764M  1179  XXXX 2```
```------------2023-----------```
```07Jul    3.9M  1533  XXXX 3```
```------------2022-----------```
```02Nov  1.631M   710  XX03 1```
```06Jun  4.062M  1669  XX07 3```
```31May  3.105M  1251  XX07 2```
```29May  5.966M  2269  XX01 3```
```11May  4.124M  1563  XX09 3```
```10May   3.64M  1563  XX09 3```
```19Apr  3.668M  1563  XX09 3```
```30Mar  2.728M  1190  XX06 2```
```23Mar  3.982M  1572  XX08 3```
```22Mar   3.96M  1572  XX08 3```
```22Mar  3.968M  1572  XX08 3```
```18Mar  4.148M  1563  XX09 3```
```10Mar  6.101M  2269  XX02 3```
```09Mar  4.154M  1563  XX09 3```
```09Mar  4.447M  1671  XX08 3```
```08Mar  4.163M  1563  XX09 3```
```08Mar   4.54M  1669  XX07 3```
_Source: DLD, Databot_
_BUA - built-up area, sq.ft._
_P/sf - price per sq.ft._
_B - bedrooms; O - office_
_M - million, K- thousand_
_S - studio, R - shop_
_*Max 20 latest transactions_
www.trydatabot.com</t>
  </si>
  <si>
    <t>1010918, *NEW RE</t>
  </si>
  <si>
    <t>Forte T1+T2</t>
  </si>
  <si>
    <t>1010920, *SALES*</t>
  </si>
  <si>
    <r>
      <rPr/>
      <t xml:space="preserve">*SALES*
*TRANSACTIONS (RESALE)**
*FORTE T1+T2*
_Area: Downtown_
_Type: 1 bedroom apartment_
_Gross ROI=5.55%_
_Median annual rent=115K_
```Date   Price  BUA Type P/sf```
```------------2025-----------```
```18Dec  2.05M  668 XX09 3069```
```10Dec   2.2M  651 XX10 3379```
```31Oct 2.685M 1106 XX02 2428```
```02Sep   2.6M 1106 XX02 2351```
```29Aug   2.1M  697 XX04 3013```
```11Aug  1.66M  651 XX10 2550```
```17Feb   2.1M  678 XX04 3097```
```11Feb   2.1M  697 XX04 3013```
```------------2024-----------```
```30Dec  2.57M 1029 XXXX 2498```
```20Nov  2.67M 1106 XX02 2414```
```04Sep   1.8M 1029 XXXX 1749```
```18Jul  2.55M 1029 XXXX 2478```
```16Jul  2.07M  691 XXXX 2996```
```01Jul     2M  691 XXXX 2894```
```13Jun   1.7M  676 XXXX 2515```
```04Jun   1.8M  651 XXXX 2765```
```03Jun   2.2M  848 XXXX 2594```
```17May   1.8M  615 XX02 2927```
```14May     2M  697 XX04 2869```
```26Apr  1.86M  615 XX02 3024```
```26Apr 1.775M  615 XX02 2886```
```18Apr  1.95M  676 XXXX 2885```
```01Apr  1.73M  615 XX02 2813```
```27Mar  1.85M  676 XXXX 2737```
```08Mar   1.8M  697 XX04 2582```
```07Mar  1.76M  615 XX02 2862```
```07Mar  1.76M  676 XXXX 2604```
```29Feb   1.7M  697 XX04 2439```
```16Feb 1.755M  651 XXXX 2696```
```09Jan  1.72M  697 XX04 2468```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</si>
  <si>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1010921, *MARKET</t>
  </si>
  <si>
    <t>*MARKET*
*SNAPSHOT*
*FORTE T1+T2*
_Area: Downtown_
_Type: 1 bedroom apartment_
*Price dynamics, Dirham/sq.ft.*
_(M - median value)_
```3379|                    * ```
```    |                      ```
```    |  *      *    ** *   *```
```2877|---------------------M```
```    |** **   *             ```
```    |      *               ```
```    |     * *     *  *     ```
```    |          * *     **  ```
```    |                      ```
```    |                      ```
```1749|           *          ```
```____|______________________```
```    |Apr2024        Dec2025```
_Source: see table below_
*Latest sales transactions*
```Date   Price  BUA Type P/sf```
```------------2025-----------```
```18Dec  2.05M  668 XX09 3069```
```10Dec   2.2M  651 XX10 3379```
```31Oct 2.685M 1106 XX02 2428```
```02Sep   2.6M 1106 XX02 2351```
```29Aug   2.1M  697 XX04 3013```
```11Aug  1.66M  651 XX10 2550```
```17Feb   2.1M  678 XX04 3097```
```11Feb   2.1M  697 XX04 3013```
```------------2024-----------```
```30Dec  2.57M 1029 XXXX 2498```
```20Nov  2.67M 1106 XX02 2414```
```04Sep   1.8M 1029 XXXX 1749```
```18Jul  2.55M 1029 XXXX 2478```
```16Jul  2.07M  691 XXXX 2996```
```01Jul     2M  691 XXXX 2894```
```13Jun   1.7M  676 XXXX 2515```
```04Jun   1.8M  651 XXXX 2765```
```03Jun   2.2M  848 XXXX 2594```
```17May   1.8M  615 XX02 2927```
```14May     2M  697 XX04 2869```
```26Apr  1.86M  615 XX02 3024```
```26Apr 1.775M  615 XX02 2886```
```18Apr  1.95M  676 XXXX 2885```
```01Apr  1.73M  615 XX02 2813```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</si>
  <si>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1010922, *NEW RE</t>
  </si>
  <si>
    <t>1010923, *RESELL</t>
  </si>
  <si>
    <t>*RESELL*
*VS PRIMARY*
*FORTE T1+T2*
_Area: Downtown_
_Type: 1 bedroom apartment_
*Price dynamics, Dirham/sq.ft.*
_(x - primary; * - resell)_
```3379|                    * ```
```    |                      ```
```    |              ** *   *```
```    |                      ```
```2727|                      ```
```    |             *  *     ```
```    |  x x       *     **  ```
```    | x        x           ```
```    |x  x xxxxx            ```
```1749|           *          ```
```____|______________________```
```    |Feb2022        Dec2025```
_Source: see a table below_
*Latest resell transactions*
```Date   Price  BUA Type P/sf```
```------------2025-----------```
```18Dec  2.05M  668 XX09 3069```
```10Dec   2.2M  651 XX10 3379```
```31Oct 2.685M 1106 XX02 2428```
```02Sep   2.6M 1106 XX02 2351```
```29Aug   2.1M  697 XX04 3013```
```11Aug  1.66M  651 XX10 2550```
```17Feb   2.1M  678 XX04 3097```
```11Feb   2.1M  697 XX04 3013```
```------------2024-----------```
```30Dec  2.57M 1029 XXXX 2498```
```20Nov  2.67M 1106 XX02 2414```
```04Sep   1.8M 1029 XXXX 1749```
```18Jul  2.55M 1029 XXXX 2478```
```16Jul  2.07M  691 XXXX 2996```
```01Jul     2M  691 XXXX 2894```
```13Jun   1.7M  676 XXXX 2515```
```04Jun   1.8M  651 XXXX 2765```
```03Jun   2.2M  848 XXXX 2594```
*Latest primary transactions*
```------------2022-----------```
```02Nov 1.631M  710 XX03 2297```
```29Sep 2.136M 1041 XX07 2052```
```22Aug 2.141M 1041 XX06 2057```
```20Jun 2.368M 1114 XX02 2125```
```20Jun 2.373M 1114 XX02 2131```
```20Jun 2.371M 1117 XX02 2122```
```22May 2.091M  846 XX09 2471```
```19May  2.08M 1041 XX06 1998```
```19May 2.029M  846 XX11 2399```
```11Mar 2.157M  986 XX05 2188```
```08Feb 1.275M  653 XX10 1952```
```------------2021-----------```
```25Nov 1.617M  710 XX03 2277```
```06Sep 1.487M  677 XX03 2196```
```29Aug 1.467M  697 XX04 2105```
_Source: DLD, Databot_
_BUA - built-up area, sq.ft._
_P/sf - price per sq.ft._
_B - bedrooms; O - office_
_M - million, K- thousand_
_S - studio, R - shop_
www.trydatabot.com</t>
  </si>
  <si>
    <t>1010924, *SALES*</t>
  </si>
  <si>
    <t>*SALES*
*TRANSACTIONS (RESALE)**
*FORTE T1+T2*
_Area: Downtown_
_Type: 2 bedroom apartment_
_Gross ROI=5.25%_
_Median annual rent=165K_
```Date   Price  BUA Type P/sf```
```------------2026-----------```
```16Jan  2.95M 1089 XX01 2709```
```15Jan  3.27M 1133 XX05 2886```
```09Jan  3.35M 1110 XX03 3018```
```06Jan   3.1M 1108 XXXX 2798```
```------------2025-----------```
```16Dec  3.21M 1085 XX03 2959```
```15Dec   3.5M 1179 XX06 2969```
```15Dec   3.2M 1096 XX02 2920```
```11Dec  2.85M 1108 XX03 2572```
```04Dec  2.95M 1160 XX01 2543```
```03Dec   2.7M 1089 XX01 2479```
```25Nov  3.15M 1111 XX04 2835```
```20Nov   3.3M 1249 XX07 2642```
```14Nov  2.95M 1096 XX02 2692```
```10Nov  2.85M 1004 XX05 2839```
```03Nov  3.15M 1111 XX04 2835```
```31Oct 3.275M 1111 XX04 2948```
```13Oct     3M 1165 XX05 2575```
```06Oct   2.6M  980 XX16 2653```
```03Oct  2.85M 1004 XX05 2839```
```03Oct   3.2M 1096 XX02 2920```
```30Sep   3.1M 1551 XX14 1999```
```29Sep  2.95M 1096 XX02 2692```
```19Sep     3M 1133 XX05 2648```
```09Sep 3.315M 1249 XX07 2654```
```04Sep  3.15M 1004 XX05 3137```
```03Sep  3.24M 1089 XX01 2975```
```22Aug   3.1M 1004 XX05 3088```
```18Aug   3.5M 1097 XX02 3191```
```08Aug  3.42M 1179 XX06 2901```
```05Aug   2.7M 1395 XX04 1935```
_Source: DLD, Databot_
_BUA - built-up area, sq.ft._
_P/sf - price per sq.ft._
_B - bedrooms; O - office_
_M - million, K- thousand_
_S - studio, R - shop_
_*Max 30 latest transactions_
www.trydatabot.com</t>
  </si>
  <si>
    <t>1010925, *MARKET</t>
  </si>
  <si>
    <t>*MARKET*
*SNAPSHOT*
*FORTE T1+T2*
_Area: Downtown_
_Type: 2 bedroom apartment_
*Price dynamics, Dirham/sq.ft.*
_(M - median value)_
```3018|                *  *  ```
```    |  *   *        * *  * ```
```2817|---------------------M```
```    |   *   **  *      *   ```
```    |*        *           *```
```    |    **    *   *       ```
```    |            **        ```
```    |                      ```
```    |                      ```
```    |                      ```
```1999| *                    ```
```____|______________________```
```    |Sep2025        Jan2026```
_Source: see table below_
*Latest sales transactions*
```Date   Price  BUA Type P/sf```
```------------2026-----------```
```16Jan  2.95M 1089 XX01 2709```
```15Jan  3.27M 1133 XX05 2886```
```09Jan  3.35M 1110 XX03 3018```
```06Jan   3.1M 1108 XXXX 2798```
```------------2025-----------```
```16Dec  3.21M 1085 XX03 2959```
```15Dec   3.5M 1179 XX06 2969```
```15Dec   3.2M 1096 XX02 2920```
```11Dec  2.85M 1108 XX03 2572```
```04Dec  2.95M 1160 XX01 2543```
```03Dec   2.7M 1089 XX01 2479```
```25Nov  3.15M 1111 XX04 2835```
```20Nov   3.3M 1249 XX07 2642```
```14Nov  2.95M 1096 XX02 2692```
```10Nov  2.85M 1004 XX05 2839```
```03Nov  3.15M 1111 XX04 2835```
```31Oct 3.275M 1111 XX04 2948```
```13Oct     3M 1165 XX05 2575```
```06Oct   2.6M  980 XX16 2653```
```03Oct  2.85M 1004 XX05 2839```
```03Oct   3.2M 1096 XX02 2920```
```30Sep   3.1M 1551 XX14 1999```
```29Sep  2.95M 1096 XX02 2692```
```19Sep     3M 1133 XX05 2648```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</si>
  <si>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1010926, *NEW RE</t>
  </si>
  <si>
    <t>1010927, *RESELL</t>
  </si>
  <si>
    <t>*RESELL*
*VS PRIMARY*
*FORTE T1+T2*
_Area: Downtown_
_Type: 2 bedroom apartment_
*Price dynamics, Dirham/sq.ft.*
_(x - primary; * - resell)_
```3189|         x            ```
```    |                   *  ```
```    |          x    ***  * ```
```    |           *      *   ```
```2649|      x              *```
```    |            ***       ```
```    |x  xx  xx             ```
```    | x   x                ```
```    |                      ```
```1842|  x                   ```
```____|______________________```
```    |Jun2022        Jan2026```
_Source: see a table below_
*Latest resell transactions*
```Date   Price  BUA Type P/sf```
```------------2026-----------```
```16Jan  2.95M 1089 XX01 2709```
```15Jan  3.27M 1133 XX05 2886```
```09Jan  3.35M 1110 XX03 3018```
```06Jan   3.1M 1108 XXXX 2798```
```------------2025-----------```
```16Dec  3.21M 1085 XX03 2959```
```15Dec   3.5M 1179 XX06 2969```
```15Dec   3.2M 1096 XX02 2920```
```11Dec  2.85M 1108 XX03 2572```
```04Dec  2.95M 1160 XX01 2543```
```03Dec   2.7M 1089 XX01 2479```
```25Nov  3.15M 1111 XX04 2835```
```20Nov   3.3M 1249 XX07 2642```
```14Nov  2.95M 1096 XX02 2692```
```10Nov  2.85M 1004 XX05 2839```
```03Nov  3.15M 1111 XX04 2835```
```31Oct 3.275M 1111 XX04 2948```
```13Oct     3M 1165 XX05 2575```
*Latest primary transactions*
```------------2025-----------```
```14Mar 3.312M 1110 XX03 2983```
```------------2024-----------```
```28Aug 3.543M 1111 XX04 3189```
```04Apr 2.764M 1179 XXXX 2344```
```------------2023-----------```
```05Jul 2.399M  981 XX16 2445```
```05Jun 2.861M 1104 XX01 2591```
```02Jan 2.516M 1104 XX01 2279```
```------------2022-----------```
```09Nov 2.623M 1124 XX04 2334```
```11Oct 2.562M 1104 XX01 2321```
```05Oct 2.861M 1553 XX14 1842```
```10Aug 2.475M 1104 XX01 2242```
```28Jun 2.618M 1109 XX03 2361```
```23Jun  2.36M 1097 XX02 2151```
_Source: DLD, Databot_
_BUA - built-up area, sq.ft._
_P/sf - price per sq.ft._
_B - bedrooms; O - office_
_M - million, K- thousand_
_S - studio, R - shop_
www.trydatabot.com</t>
  </si>
  <si>
    <t>1010928, *SALES*</t>
  </si>
  <si>
    <t>*SALES*
*TRANSACTIONS (RESALE)**
*FORTE T1+T2*
_Area: Downtown_
_Type: 3 bedroom apartment_
_Gross ROI=4.44%_
_Median annual rent=230K_
```Date   Price  BUA Type P/sf```
```------------2025-----------```
```29Dec   5.5M 1723 XXXX 3192```
```15Dec     5M 1568 XX06 3189```
```11Dec   4.8M 1671 XX07 2873```
```24Nov   5.6M 1673 XX08 3347```
```24Nov   5.6M 1673 XX08 3347```
```20Nov     4M 1533 XX09 2609```
```14Nov  5.35M 1588 XX09 3369```
```13Nov   5.4M 1673 XX08 3228```
```13Nov   5.5M 1671 XX07 3291```
```11Nov   5.9M 2256 XXXX 2615```
```11Nov     4M 1671 XX07 2394```
```06Nov   5.1M 1646 XXXX 3098```
```29Oct     5M 1646 XXXX 3038```
```14Oct   4.7M 1671 XX07 2813```
```13Oct  4.32M 1723 XXXX 2507```
```09Oct  5.65M 1723 XXXX 3279```
```02Oct   5.2M 1646 XXXX 3159```
```24Sep   5.2M 1723 XXXX 3018```
```26Aug   5.7M 1723 XXXX 3308```
```25Aug  4.89M 1533 XX09 3190```
```22Aug  5.55M 1646 XXXX 3372```
```05Aug   4.9M 1646 XXXX 2977```
```04Aug   4.8M 1568 XX06 3061```
```28Jul   4.6M 1646 XXXX 2795```
```23Jul   5.3M 1568 XX06 3380```
```23Jul     4M 1673 XX08 2391```
```15Jul     5M 1723 XXXX 2902```
```15Jul   4.9M 1588 XX08 3086```
```27May   5.5M 1588 XX08 3463```
```22May     5M 1588 XX09 3149```
_Source: DLD, Databot_
_BUA - built-up area, sq.ft._
_P/sf - price per sq.ft._
_B - bedrooms; O - office_
_M - million, K- thousand_
_S - studio, R - shop_
_*Max 30 latest transactions_
www.trydatabot.com</t>
  </si>
  <si>
    <t>1010929, *MARKET</t>
  </si>
  <si>
    <t>*MARKET*
*SNAPSHOT*
*FORTE T1+T2*
_Area: Downtown_
_Type: 3 bedroom apartment_
*Price dynamics, Dirham/sq.ft.*
_(M - median value)_
```3372| *             * **   ```
```    |   *  *      **       ```
```3174|---------------------M```
```    |  *  *              **```
```    |         **           ```
```    |*   *                 ```
```    |                   *  ```
```    |        *             ```
```    |                      ```
```    |       *    *   *     ```
```2394|           *          ```
```____|______________________```
```    |Aug2025        Dec2025```
_Source: see table below_
*Latest sales transactions*
```Date   Price  BUA Type P/sf```
```------------2025-----------```
```29Dec   5.5M 1723 XXXX 3192```
```15Dec     5M 1568 XX06 3189```
```11Dec   4.8M 1671 XX07 2873```
```24Nov   5.6M 1673 XX08 3347```
```24Nov   5.6M 1673 XX08 3347```
```20Nov     4M 1533 XX09 2609```
```14Nov  5.35M 1588 XX09 3369```
```13Nov   5.4M 1673 XX08 3228```
```13Nov   5.5M 1671 XX07 3291```
```11Nov   5.9M 2256 XXXX 2615```
```11Nov     4M 1671 XX07 2394```
```06Nov   5.1M 1646 XXXX 3098```
```29Oct     5M 1646 XXXX 3038```
```14Oct   4.7M 1671 XX07 2813```
```13Oct  4.32M 1723 XXXX 2507```
```09Oct  5.65M 1723 XXXX 3279```
```02Oct   5.2M 1646 XXXX 3159```
```24Sep   5.2M 1723 XXXX 3018```
```26Aug   5.7M 1723 XXXX 3308```
```25Aug  4.89M 1533 XX09 3190```
```22Aug  5.55M 1646 XXXX 3372```
```05Aug   4.9M 1646 XXXX 2977```
```04Aug   4.8M 1568 XX06 3061```
```28Jul   4.6M 1646 XXXX 2795```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</si>
  <si>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1010930, *NEW RE</t>
  </si>
  <si>
    <t>1010931, *RESELL</t>
  </si>
  <si>
    <t>*RESELL*
*VS PRIMARY*
*FORTE T1+T2*
_Area: Downtown_
_Type: 3 bedroom apartment_
*Price dynamics, Dirham/sq.ft.*
_(x - primary; * - resell)_
```3369|               * **   ```
```    |             **       ```
```    |                    **```
```    |      x               ```
```2953|         x            ```
```    |                   *  ```
```    |x                     ```
```    |    xx x    *   *     ```
```    | x      x x           ```
```2329|  xx       *          ```
```____|______________________```
```    |Apr2022        Dec2025```
_Source: see a table below_
*Latest resell transactions*
```Date   Price  BUA Type P/sf```
```------------2025-----------```
```29Dec   5.5M 1723 XXXX 3192```
```15Dec     5M 1568 XX06 3189```
```11Dec   4.8M 1671 XX07 2873```
```24Nov   5.6M 1673 XX08 3347```
```24Nov   5.6M 1673 XX08 3347```
```20Nov     4M 1533 XX09 2609```
```14Nov  5.35M 1588 XX09 3369```
```13Nov   5.4M 1673 XX08 3228```
```13Nov   5.5M 1671 XX07 3291```
```11Nov   5.9M 2256 XXXX 2615```
```11Nov     4M 1671 XX07 2394```
```06Nov   5.1M 1646 XXXX 3098```
```29Oct     5M 1646 XXXX 3038```
```14Oct   4.7M 1671 XX07 2813```
```13Oct  4.32M 1723 XXXX 2507```
```09Oct  5.65M 1723 XXXX 3279```
```02Oct   5.2M 1646 XXXX 3159```
```24Sep   5.2M 1723 XXXX 3018```
*Latest primary transactions*
```------------2023-----------```
```07Jul   3.9M 1533 XXXX 2544```
```------------2022-----------```
```15Jun 4.677M 1604 XX05 2916```
```06Jun 4.062M 1669 XX07 2434```
```29May 5.966M 2269 XX01 2629```
```27May 5.219M 1721 XX07 3032```
```18May 4.147M 1598 XX09 2595```
```11May 4.124M 1563 XX09 2638```
```10May  3.64M 1563 XX09 2329```
```19Apr 3.668M 1563 XX09 2347```
```12Apr 4.108M 1645 XX07 2498```
```04Apr 4.348M 1598 XX09 2721```
```04Apr 4.253M 1598 XX09 2662```
```23Mar 3.982M 1572 XX08 2533```
```22Mar  3.96M 1572 XX08 2519```
_Source: DLD, Databot_
_BUA - built-up area, sq.ft._
_P/sf - price per sq.ft._
_B - bedrooms; O - office_
_M - million, K- thousand_
_S - studio, R - shop_
www.trydatabot.com</t>
  </si>
  <si>
    <t>1010932, *SALES*</t>
  </si>
  <si>
    <t>*SALES*
*TRANSACTIONS (RESALE)**
*FORTE T1+T2*
_Area: Downtown_
_Type: 4 bedroom apartment_
```Date   Price  BUA Type P/sf```
```------------2025-----------```
```27Jan   8.5M 2427 XXXX 3502```
```------------2024-----------```
```20Nov   6.7M 2256 XXXX 2970```
```------------2022-----------```
```07Jul   5.8M 2666 XX01 2176```
_Source: DLD, Databot_
_BUA - built-up area, sq.ft._
_P/sf - price per sq.ft._
_B - bedrooms; O - office_
_M - million, K- thousand_
_S - studio, R - shop_
_*Max 30 latest transactions_
www.trydatabot.com</t>
  </si>
  <si>
    <t>1010933, *MARKET</t>
  </si>
  <si>
    <t>*MARKET*
*SNAPSHOT*
*FORTE T1+T2*
_Area: Downtown_
_Type: 4 bedroom apartment_
*Price dynamics, Dirham/sq.ft.*
_(M - median value)_
```3502|                     *```
```    |                      ```
```    |                      ```
```    |                      ```
```2970|---------------------M```
```    |                    * ```
```    |                      ```
```    |                      ```
```    |                      ```
```    |                      ```
```2176|                   *  ```
```____|______________________```
```    |Jul2022        Jan2025```
_Source: see table below_
*Latest sales transactions*
```Date   Price  BUA Type P/sf```
```------------2025-----------```
```27Jan   8.5M 2427 XXXX 3502```
```------------2024-----------```
```20Nov   6.7M 2256 XXXX 2970```
```------------2022-----------```
```07Jul   5.8M 2666 XX01 2176```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</si>
  <si>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1010935, *RESELL</t>
  </si>
  <si>
    <t>*RESELL*
*VS PRIMARY*
*FORTE T1+T2*
_Area: Downtown_
_Type: 4 bedroom apartment_
*Price dynamics, Dirham/sq.ft.*
_(x - primary; * - resell)_
```3502|                     *```
```    |          x           ```
```    |                      ```
```    |                      ```
```2970|                    * ```
```    |                      ```
```    |      x xx            ```
```    |                      ```
```    |       x              ```
```2176|                   *  ```
```____|______________________```
```    |Dec1899        Jun2025```
_Source: see a table below_
*Latest resell transactions*
```Date   Price  BUA Type P/sf```
```------------2025-----------```
```27Jan   8.5M 2427 XXXX 3502```
```------------2024-----------```
```20Nov   6.7M 2256 XXXX 2970```
```------------2022-----------```
```07Jul   5.8M 2666 XX01 2176```
*Latest primary transactions*
```------------2025-----------```
```30Jun 7.499M 2256 XXXX 3324```
```------------2021-----------```
```20Oct 6.633M 2440 XX02 2718```
```06Oct 6.622M 2440 XX02 2714```
```------------2019-----------```
```02Apr 6.648M 2666 XX02 2494```
```------------2018-----------```
```10Dec 6.683M 2440 XX02 2739```
_Source: DLD, Databot_
_BUA - built-up area, sq.ft._
_P/sf - price per sq.ft._
_B - bedrooms; O - office_
_M - million, K- thousand_
_S - studio, R - shop_
www.trydatabot.com</t>
  </si>
  <si>
    <t>1010950, *NEW RE</t>
  </si>
  <si>
    <t>1010964, *NEW RE</t>
  </si>
  <si>
    <t>1010965, *SALES*</t>
  </si>
  <si>
    <t>*SALES*
*TRANSACTIONS (RESALE)**
*FORTE T1+T2*
_Area: Downtown_
_All types/bedrooms_
```Date    Price   BUA  Type B```
```------------2026-----------```
```16Jan   2.95M  1089  XX01 2```
```15Jan   3.27M  1133  XX05 2```
```09Jan   3.35M  1110  XX03 2```
```06Jan    3.1M  1108  XXXX 2```
```------------2025-----------```
```29Dec    5.5M  1723  XXXX 3```
```18Dec   2.05M   668  XX09 1```
```16Dec   3.21M  1085  XX03 2```
```15Dec    3.5M  1179  XX06 2```
```15Dec    3.2M  1096  XX02 2```
```15Dec      5M  1568  XX06 3```
```11Dec   2.85M  1108  XX03 2```
```11Dec    4.8M  1671  XX07 3```
```10Dec    2.2M   651  XX10 1```
```04Dec   2.95M  1160  XX01 2```
```03Dec    2.7M  1089  XX01 2```
```25Nov   3.15M  1111  XX04 2```
```24Nov    5.6M  1673  XX08 3```
```24Nov    5.6M  1673  XX08 3```
```20Nov    3.3M  1249  XX07 2```
```20Nov      4M  1533  XX09 3```
```14Nov   2.95M  1096  XX02 2```
```14Nov   5.35M  1588  XX09 3```
```13Nov    5.4M  1673  XX08 3```
```13Nov    5.5M  1671  XX07 3```
```11Nov    5.9M  2256  XXXX 3```
```11Nov      4M  1671  XX07 3```
```10Nov   2.85M  1004  XX05 2```
```06Nov    5.1M  1646  XXXX 3```
```03Nov   3.15M  1111  XX04 2```
```31Oct  2.685M  1106  XX02 1```
_Source: DLD, Databot_
_BUA - built-up area, sq.ft._
_P/sf - price per sq.ft._
_B - bedrooms; O - office_
_M - million, K- thousand_
_S - studio, R - shop_
_*Max 30 latest transactions_
www.trydatabot.com</t>
  </si>
  <si>
    <t>1010966, by code, *BUILDI</t>
  </si>
  <si>
    <t xml:space="preserve">*BUILDING*
*PROFILE*
*FORTE T1+T2*
_Area: Downtown_
_Tap&amp;hold to copy a reply_
```-------------------------```
```Report              Reply```
```-------------------------```
*1 B/R*
```Resell, ROI       1010920```
```Primary sales     1010968```
```Price chart       1010921```
```Rentals           1010922```
```Appreciation      1010923```
*2 B/R*
```Resell, ROI       1010924```
```Primary sales     1010969```
```Price chart       1010925```
```Rentals           1010926```
```Appreciation      1010927```
*3 B/R*
```Resell, ROI       1010928```
```Primary sales     1010970```
```Price chart       1010929```
```Rentals           1010930```
```Appreciation      1010931```
*4 B/R*
```Resell, ROI       1010932```
```Primary sales     1010971```
```Price chart       1010933```
```Rentals               n/a```
```Appreciation      1010935```
*All types/bedrooms*
```Resell, ROI       1010965```
```Primary sales     1010979```
```Rentals           1010964```
</t>
  </si>
  <si>
    <t>1010968, *SALES*</t>
  </si>
  <si>
    <t>*SALES*
*TRANSACTIONS (PRIMARY)**
*FORTE T1+T2*
_Area: Downtown_
_Type: 1 bedroom apartment_
```Date   Price  BUA Type P/sf```
```------------2022-----------```
```02Nov 1.631M  710 XX03 2297```
```29Sep 2.136M 1041 XX07 2052```
```22Aug 2.141M 1041 XX06 2057```
```20Jun 2.368M 1114 XX02 2125```
```20Jun 2.373M 1114 XX02 2131```
```20Jun 2.371M 1117 XX02 2122```
```22May 2.091M  846 XX09 2471```
```19May  2.08M 1041 XX06 1998```
```19May 2.029M  846 XX11 2399```
```11Mar 2.157M  986 XX05 2188```
```08Feb 1.275M  653 XX10 1952```
```------------2021-----------```
```25Nov 1.617M  710 XX03 2277```
```06Sep 1.487M  677 XX03 2196```
```29Aug 1.467M  697 XX04 2105```
```09Aug  1.48M  677 XX03 2186```
```13Jun 1.626M  710 XX03 2290```
```04May 1.472M  697 XX04 2112```
```03Mar 1.495M  697 XX04 2145```
```02Mar 1.382M  653 XX10 2116```
```------------2020-----------```
```06Dec 1.252M  615 XX02 2036```
_Source: DLD, Databot_
_BUA - built-up area, sq.ft._
_P/sf - price per sq.ft._
_B - bedrooms; O - office_
_M - million, K- thousand_
_S - studio, R - shop_
_*Max 20 latest transactions_
www.trydatabot.com</t>
  </si>
  <si>
    <t>1010969, *SALES*</t>
  </si>
  <si>
    <t>*SALES*
*TRANSACTIONS (PRIMARY)**
*FORTE T1+T2*
_Area: Downtown_
_Type: 2 bedroom apartment_
```Date   Price  BUA Type P/sf```
```------------2025-----------```
```14Mar 3.312M 1110 XX03 2983```
```------------2024-----------```
```28Aug 3.543M 1111 XX04 3189```
```04Apr 2.764M 1179 XXXX 2344```
```------------2023-----------```
```05Jul 2.399M  981 XX16 2445```
```05Jun 2.861M 1104 XX01 2591```
```02Jan 2.516M 1104 XX01 2279```
```------------2022-----------```
```09Nov 2.623M 1124 XX04 2334```
```11Oct 2.562M 1104 XX01 2321```
```05Oct 2.861M 1553 XX14 1842```
```10Aug 2.475M 1104 XX01 2242```
```28Jun 2.618M 1109 XX03 2361```
```23Jun  2.36M 1097 XX02 2151```
```31May 3.105M 1251 XX07 2482```
```30May 2.647M 1103 XX01 2400```
```04Apr 2.491M 1096 XX02 2273```
```04Apr 2.432M 1096 XX02 2219```
```30Mar 2.728M 1190 XX06 2292```
```25Mar 2.678M 1124 XX04 2382```
```16Mar 2.319M 1097 XX02 2114```
```14Mar 2.135M 1008 XX05 2118```
_Source: DLD, Databot_
_BUA - built-up area, sq.ft._
_P/sf - price per sq.ft._
_B - bedrooms; O - office_
_M - million, K- thousand_
_S - studio, R - shop_
_*Max 20 latest transactions_
www.trydatabot.com</t>
  </si>
  <si>
    <t>1010970, *SALES*</t>
  </si>
  <si>
    <t>*SALES*
*TRANSACTIONS (PRIMARY)**
*FORTE T1+T2*
_Area: Downtown_
_Type: 3 bedroom apartment_
```Date   Price  BUA Type P/sf```
```------------2023-----------```
```07Jul   3.9M 1533 XXXX 2544```
```------------2022-----------```
```15Jun 4.677M 1604 XX05 2916```
```06Jun 4.062M 1669 XX07 2434```
```29May 5.966M 2269 XX01 2629```
```27May 5.219M 1721 XX07 3032```
```18May 4.147M 1598 XX09 2595```
```11May 4.124M 1563 XX09 2638```
```10May  3.64M 1563 XX09 2329```
```19Apr 3.668M 1563 XX09 2347```
```12Apr 4.108M 1645 XX07 2498```
```04Apr 4.348M 1598 XX09 2721```
```04Apr 4.253M 1598 XX09 2662```
```23Mar 3.982M 1572 XX08 2533```
```22Mar  3.96M 1572 XX08 2519```
```22Mar 3.968M 1572 XX08 2524```
```18Mar 4.148M 1563 XX09 2654```
```10Mar 6.101M 2269 XX02 2689```
```09Mar 4.154M 1563 XX09 2658```
```09Mar 4.447M 1671 XX08 2661```
```08Mar 4.516M 1721 XX07 2624```
_Source: DLD, Databot_
_BUA - built-up area, sq.ft._
_P/sf - price per sq.ft._
_B - bedrooms; O - office_
_M - million, K- thousand_
_S - studio, R - shop_
_*Max 20 latest transactions_
www.trydatabot.com</t>
  </si>
  <si>
    <t>1010971, *SALES*</t>
  </si>
  <si>
    <t>*SALES*
*TRANSACTIONS (PRIMARY)**
*FORTE T1+T2*
_Area: Downtown_
_Type: 4 bedroom apartment_
```Date   Price  BUA Type P/sf```
```------------2025-----------```
```30Jun 7.499M 2256 XXXX 3324```
```------------2021-----------```
```20Oct 6.633M 2440 XX02 2718```
```06Oct 6.622M 2440 XX02 2714```
```------------2019-----------```
```02Apr 6.648M 2666 XX02 2494```
```------------2018-----------```
```10Dec 6.683M 2440 XX02 2739```
_Source: DLD, Databot_
_BUA - built-up area, sq.ft._
_P/sf - price per sq.ft._
_B - bedrooms; O - office_
_M - million, K- thousand_
_S - studio, R - shop_
_*Max 20 latest transactions_
www.trydatabot.com</t>
  </si>
  <si>
    <t>1010979, *SALES*</t>
  </si>
  <si>
    <t>*SALES*
*TRANSACTIONS (PRIMARY)**
*FORTE T1+T2*
_Area: Downtown_
_All types/bedrooms_
```Date    Price   BUA  Type B```
```------------2025-----------```
```30Jun  7.499M  2256  XXXX 4```
```14Mar  3.312M  1110  XX03 2```
```------------2024-----------```
```28Aug  3.543M  1111  XX04 2```
```04Apr  2.764M  1179  XXXX 2```
```------------2023-----------```
```07Jul    3.9M  1533  XXXX 3```
```05Jul  2.399M   981  XX16 2```
```05Jun  2.861M  1104  XX01 2```
```02Jan  2.516M  1104  XX01 2```
```------------2022-----------```
```09Nov  2.623M  1124  XX04 2```
```02Nov  1.631M   710  XX03 1```
```11Oct  2.562M  1104  XX01 2```
```05Oct  2.861M  1553  XX14 2```
```29Sep  2.136M  1041  XX07 1```
```22Aug  2.141M  1041  XX06 1```
```10Aug  2.475M  1104  XX01 2```
```28Jun  2.618M  1109  XX03 2```
```23Jun   2.36M  1097  XX02 2```
```20Jun  2.368M  1114  XX02 1```
```20Jun  2.373M  1114  XX02 1```
```20Jun  2.371M  1117  XX02 1```
_Source: DLD, Databot_
_BUA - built-up area, sq.ft._
_P/sf - price per sq.ft._
_B - bedrooms; O - office_
_M - million, K- thousand_
_S - studio, R - shop_
_*Max 20 latest transactions_
www.trydatabot.com</t>
  </si>
  <si>
    <t>1010984, *SALES*</t>
  </si>
  <si>
    <t>*SALES*
*TRANSACTIONS (RESALE)**
*GRANDE*
_Area: Downtown_
_Type: 1 bedroom apartment_
_Gross ROI=5.41%_
_Median annual rent=140K_
```Date   Price  BUA Type P/sf```
```------------2026-----------```
```22Jan  2.87M  783 XXXX 3665```
```------------2025-----------```
```07Nov 2.675M  771 XX13 3470```
```22Oct 2.675M  783 XXXX 3416```
```17Oct  2.65M  788 XX01 3363```
```15Oct  2.65M  767 XXXX 3455```
```06Oct   2.7M  783 XXXX 3448```
```29Aug  2.54M  767 XXXX 3312```
```27Aug 2.535M  821 XXXX 3088```
```25Aug   2.4M  836 XXXX 2871```
```21Aug 2.618M  767 XXXX 3413```
```21Aug 2.618M  767 XXXX 3413```
```19Aug   2.5M  788 XX01 3173```
```11Jul 2.486M  767 XXXX 3242```
```10Jul  2.65M  821 XXXX 3228```
```02Jul  2.45M  767 XXXX 3194```
```16Jun   2.8M  787 XX12 3558```
```28May 2.777M  821 XXXX 3382```
```19May   2.5M  788 XX01 3173```
```19May   2.6M  787 XX12 3304```
```12May  2.49M  783 XXXX 3180```
```01May 2.655M  886 XX02 2996```
```14Apr 2.625M  783 XXXX 3352```
```03Apr  2.25M  783 XXXX 2874```
```28Mar  2.42M  727 XX04 3329```
```24Mar 2.535M  771 XX13 3288```
```21Mar   2.4M  767 XXXX 3129```
```18Mar  2.39M  783 XXXX 3052```
```13Mar   2.6M  771 XX14 3372```
```12Mar   2.6M  787 XX12 3304```
```11Mar   2.3M  783 XXXX 2937```
_Source: DLD, Databot_
_BUA - built-up area, sq.ft._
_P/sf - price per sq.ft._
_B - bedrooms; O - office_
_M - million, K- thousand_
_S - studio, R - shop_
_*Max 30 latest transactions_
www.trydatabot.com</t>
  </si>
  <si>
    <t>Grande</t>
  </si>
  <si>
    <t>1010985, *MARKET</t>
  </si>
  <si>
    <t>*MARKET*
*SNAPSHOT*
*GRANDE*
_Area: Downtown_
_Type: 1 bedroom apartment_
*Price dynamics, Dirham/sq.ft.*
_(M - median value)_
```3665|                     *```
```    |      *               ```
```    |                    * ```
```    |           **   ** *  ```
```3332|---------------------M```
```    |*    *         *  *   ```
```    |   *     *            ```
```    |  * *  ** *           ```
```    |              *       ```
```    | *                    ```
```2871|             *        ```
```____|______________________```
```    |Apr2025        Jan2026```
_Source: see table below_
*Latest sales transactions*
```Date   Price  BUA Type P/sf```
```------------2026-----------```
```22Jan  2.87M  783 XXXX 3665```
```------------2025-----------```
```07Nov 2.675M  771 XX13 3470```
```22Oct 2.675M  783 XXXX 3416```
```17Oct  2.65M  788 XX01 3363```
```15Oct  2.65M  767 XXXX 3455```
```06Oct   2.7M  783 XXXX 3448```
```29Aug  2.54M  767 XXXX 3312```
```27Aug 2.535M  821 XXXX 3088```
```25Aug   2.4M  836 XXXX 2871```
```21Aug 2.618M  767 XXXX 3413```
```21Aug 2.618M  767 XXXX 3413```
```19Aug   2.5M  788 XX01 3173```
```11Jul 2.486M  767 XXXX 3242```
```10Jul  2.65M  821 XXXX 3228```
```02Jul  2.45M  767 XXXX 3194```
```16Jun   2.8M  787 XX12 3558```
```28May 2.777M  821 XXXX 3382```
```19May   2.5M  788 XX01 3173```
```19May   2.6M  787 XX12 3304```
```12May  2.49M  783 XXXX 3180```
```01May 2.655M  886 XX02 2996```
```14Apr 2.625M  783 XXXX 3352```
```03Apr  2.25M  783 XXXX 2874```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</si>
  <si>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1010986, *NEW RE</t>
  </si>
  <si>
    <t>*NEW RENT*
*CONTRACTS**
_(renewals are not included)_
*GRANDE*
_Area: Downtown_
_Type: 1 bedroom apartment_
```Date  Price   BUA  Type D/s```
```------------2026-----------```
```01Feb  138K   786  XXXX 175```
```10Jan  190K   786  XXXX 242```
```10Jan  147K   786  XXXX 187```
```01Jan  180K   807  XXXX 223```
```------------2025-----------```
```26Dec  160K   775  XXXX 206```
```25Dec  165K   764  XXXX 216```
```24Dec  163K   786  XXXX 207```
```21Dec  126K   818  XXXX 154```
```21Dec  126K   764  XXXX 165```
```16Dec  140K   775  XXXX 181```
```15Dec  140K   786  XXXX 178```
```30Nov  172K   807  XXXX 213```
```28Nov  140K   775  XXXX 181```
```26Nov  155K   764  XXXX 203```
```15Nov  130K   807  XXXX 161```
```11Nov  140K   786  XXXX 178```
```11Nov  125K   818  XXXX 153```
```10Nov  140K   764  XXXX 183```
```10Nov  160K   818  XXXX 195```
```09Nov  140K   775  XXXX 181```
_Source: DLD, Databot_
_BUA - built-up area, sq.ft._
_P/sf - price per sq.ft._
_B - bedrooms; O - office_
_M - million, K- thousand_
_S - studio, R - shop_
_*20 latest contracts_
www.trydatabot.com</t>
  </si>
  <si>
    <t>1010987, *RESELL</t>
  </si>
  <si>
    <t>*RESELL*
*VS PRIMARY*
*GRANDE*
_Area: Downtown_
_Type: 1 bedroom apartment_
*Price dynamics, Dirham/sq.ft.*
_(x - primary; * - resell)_
```6335|x     x               ```
```    |  xx x   x            ```
```    |                      ```
```    |                      ```
```4951| x      x x           ```
```    |    x  x              ```
```    |                      ```
```    |                      ```
```    |           **  *******```
```2871|             **       ```
```____|______________________```
```    |Aug2024        Jan2026```
_Source: see a table below_
*Latest resell transactions*
```Date   Price  BUA Type P/sf```
```------------2026-----------```
```22Jan  2.87M  783 XXXX 3665```
```------------2025-----------```
```07Nov 2.675M  771 XX13 3470```
```22Oct 2.675M  783 XXXX 3416```
```17Oct  2.65M  788 XX01 3363```
```15Oct  2.65M  767 XXXX 3455```
```06Oct   2.7M  783 XXXX 3448```
```29Aug  2.54M  767 XXXX 3312```
```27Aug 2.535M  821 XXXX 3088```
```25Aug   2.4M  836 XXXX 2871```
```21Aug 2.618M  767 XXXX 3413```
```21Aug 2.618M  767 XXXX 3413```
```19Aug   2.5M  788 XX01 3173```
```11Jul 2.486M  767 XXXX 3242```
```10Jul  2.65M  821 XXXX 3228```
```02Jul  2.45M  767 XXXX 3194```
```16Jun   2.8M  787 XX12 3558```
```28May 2.777M  821 XXXX 3382```
*Latest primary transactions*
```------------2024-----------```
```12Aug  5.53M 1144 XXXX 4834```
```12Aug 4.489M  758 XXXX 5923```
```12Aug 5.721M 1164 XX06 4915```
```12Aug 5.259M 1144 XXXX 4597```
```12Aug 4.964M  784 XX05 6331```
```12Aug 4.655M  758 XXXX 6141```
```09Aug 5.445M 1144 XXXX 4759```
```09Aug 4.655M  758 XXXX 6141```
```09Aug 4.489M  758 XXXX 5923```
```08Aug 5.758M 1154 XX01 4990```
```08Aug 4.954M  782 XX02 6335```
```------------2022-----------```
```24Nov 1.832M  767 XX13 2388```
```21Oct 2.079M  805 XX02 2582```
```20Sep 1.785M  783 XX01 2280```
_Source: DLD, Databot_
_BUA - built-up area, sq.ft._
_P/sf - price per sq.ft._
_B - bedrooms; O - office_
_M - million, K- thousand_
_S - studio, R - shop_
www.trydatabot.com</t>
  </si>
  <si>
    <t>1010988, *SALES*</t>
  </si>
  <si>
    <t>*SALES*
*TRANSACTIONS (RESALE)**
*GRANDE*
_Area: Downtown_
_Type: 2 bedroom apartment_
_Gross ROI=6.37%_
_Median annual rent=280K_
```Date   Price  BUA Type P/sf```
```------------2026-----------```
```13Jan   3.9M 1305 XX10 2989```
```05Jan   6.2M 1127 XXXX 5501```
```------------2025-----------```
```08Dec  3.85M 1271 XXXX 3029```
```08Dec  6.65M 1134 XXXX 5864```
```28Nov   6.4M 1134 XXXX 5644```
```28Nov     6M 1201 XXXX 4996```
```28Nov  6.35M 1201 XXXX 5287```
```06Nov  3.85M 1237 XX03 3112```
```31Oct   6.1M 1134 XXXX 5379```
```24Oct  6.38M 1223 XX08 5217```
```21Oct   6.5M 1134 XXXX 5732```
```16Oct   5.5M 1201 XXXX 4580```
```14Oct  4.75M 1271 XXXX 3737```
```02Oct  6.35M 1134 XXXX 5600```
```01Oct  3.85M 1197 XX02 3216```
```30Sep   3.9M 1201 XXXX 3247```
```26Sep  3.75M 1284 XX10 2921```
```19Sep   3.9M 1305 XX10 2989```
```03Sep  5.92M 1201 XXXX 4929```
```14Aug   6.2M 1134 XXXX 5467```
```13Aug   6.2M 1201 XXXX 5162```
```07Aug     4M 1236 XX11 3236```
```21Jul   2.6M 1271 XXXX 2046```
```07Jul 6.075M 1134 XXXX 5357```
```02Jul  3.95M 1197 XX01 3300```
```26Jun  4.55M 1271 XXXX 3580```
```03Jun   3.7M 1284 XX10 2882```
```29May   3.8M 1284 XX10 2960```
```26May  3.95M 1197 XX01 3300```
```26May  3.95M 1236 XX11 3196```
_Source: DLD, Databot_
_BUA - built-up area, sq.ft._
_P/sf - price per sq.ft._
_B - bedrooms; O - office_
_M - million, K- thousand_
_S - studio, R - shop_
_*Max 30 latest transactions_
www.trydatabot.com</t>
  </si>
  <si>
    <t>1010989, *MARKET</t>
  </si>
  <si>
    <t>*MARKET*
*SNAPSHOT*
*GRANDE*
_Area: Downtown_
_Type: 2 bedroom apartment_
*Price dynamics, Dirham/sq.ft.*
_(M - median value)_
```5864|           *      *   ```
```    |  *     *        *  * ```
```    | *          ** *      ```
```4963|---------------------M```
```    |   *            *     ```
```    |          *           ```
```    |                      ```
```    |                      ```
```    |         *            ```
```    |*     *               ```
```2921|    ** *      *    * *```
```____|______________________```
```    |Aug2025        Jan2026```
_Source: see table below_
*Latest sales transactions*
```Date   Price  BUA Type P/sf```
```------------2026-----------```
```13Jan   3.9M 1305 XX10 2989```
```05Jan   6.2M 1127 XXXX 5501```
```------------2025-----------```
```08Dec  3.85M 1271 XXXX 3029```
```08Dec  6.65M 1134 XXXX 5864```
```28Nov   6.4M 1134 XXXX 5644```
```28Nov     6M 1201 XXXX 4996```
```28Nov  6.35M 1201 XXXX 5287```
```06Nov  3.85M 1237 XX03 3112```
```31Oct   6.1M 1134 XXXX 5379```
```24Oct  6.38M 1223 XX08 5217```
```21Oct   6.5M 1134 XXXX 5732```
```16Oct   5.5M 1201 XXXX 4580```
```14Oct  4.75M 1271 XXXX 3737```
```02Oct  6.35M 1134 XXXX 5600```
```01Oct  3.85M 1197 XX02 3216```
```30Sep   3.9M 1201 XXXX 3247```
```26Sep  3.75M 1284 XX10 2921```
```19Sep   3.9M 1305 XX10 2989```
```03Sep  5.92M 1201 XXXX 4929```
```14Aug   6.2M 1134 XXXX 5467```
```13Aug   6.2M 1201 XXXX 5162```
```07Aug     4M 1236 XX11 3236```
```21Jul   2.6M 1271 XXXX 2046```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</si>
  <si>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1010990, *NEW RE</t>
  </si>
  <si>
    <t>*NEW RENT*
*CONTRACTS**
_(renewals are not included)_
*GRANDE*
_Area: Downtown_
_Type: 2 bedroom apartment_
```Date  Price   BUA  Type D/s```
```------------2026-----------```
```28Jan  275K  1130  XXXX 243```
```24Jan  280K  1216  XXXX 230```
```13Jan  300K  1130  XXXX 265```
```02Jan  240K  1281  XXXX 187```
```------------2025-----------```
```21Dec  290K  1206  XXXX 240```
```15Dec  200K  1270  XXXX 157```
```12Dec  300K  1130  XXXX 265```
```06Dec  235K  1270  XXXX 185```
```03Dec  300K  1130  XXXX 265```
```03Dec  309K  1130  XXXX 274```
```01Dec  270K  1206  XXXX 224```
```28Nov  200K  1227  XXXX 163```
```22Nov  240K  1238  XXXX 194```
```20Nov  400K  1130  XXXX 354```
```19Nov  280K  1130  XXXX 248```
```19Nov  300K  1206  XXXX 249```
```01Nov  275K  1206  XXXX 228```
```30Oct  220K  1270  XXXX 173```
```29Oct  280K  1130  XXXX 248```
```27Oct  290K  1227  XXXX 236```
_Source: DLD, Databot_
_BUA - built-up area, sq.ft._
_P/sf - price per sq.ft._
_B - bedrooms; O - office_
_M - million, K- thousand_
_S - studio, R - shop_
_*20 latest contracts_
www.trydatabot.com</t>
  </si>
  <si>
    <t>1010991, *RESELL</t>
  </si>
  <si>
    <t>*RESELL*
*VS PRIMARY*
*GRANDE*
_Area: Downtown_
_Type: 2 bedroom apartment_
*Price dynamics, Dirham/sq.ft.*
_(x - primary; * - resell)_
```5864|    x  x   *      *   ```
```    |     xx xx   * * *  * ```
```    |            *   *     ```
```    |                      ```
```4272|                      ```
```    |                      ```
```    |  x                   ```
```    |   x          *    * *```
```    |xx                    ```
```1888|          x           ```
```____|______________________```
```    |Aug2023        Jan2026```
_Source: see a table below_
*Latest resell transactions*
```Date   Price  BUA Type P/sf```
```------------2026-----------```
```13Jan   3.9M 1305 XX10 2989```
```05Jan   6.2M 1127 XXXX 5501```
```------------2025-----------```
```08Dec  3.85M 1271 XXXX 3029```
```08Dec  6.65M 1134 XXXX 5864```
```28Nov   6.4M 1134 XXXX 5644```
```28Nov     6M 1201 XXXX 4996```
```28Nov  6.35M 1201 XXXX 5287```
```06Nov  3.85M 1237 XX03 3112```
```31Oct   6.1M 1134 XXXX 5379```
```24Oct  6.38M 1223 XX08 5217```
```21Oct   6.5M 1134 XXXX 5732```
```16Oct   5.5M 1201 XXXX 4580```
```14Oct  4.75M 1271 XXXX 3737```
```02Oct  6.35M 1134 XXXX 5600```
```01Oct  3.85M 1197 XX02 3216```
```30Sep   3.9M 1201 XXXX 3247```
```26Sep  3.75M 1284 XX10 2921```
*Latest primary transactions*
```------------2025-----------```
```16Jan 2.424M 1284 XX03 1888```
```------------2024-----------```
```13Aug 6.256M 1133 XXXX 5522```
```12Aug 6.037M 1133 XXXX 5328```
```12Aug 6.361M 1118 XXXX 5690```
```09Aug 6.256M 1133 XXXX 5522```
```09Aug 6.037M 1133 XXXX 5328```
```08Aug 6.361M 1118 XXXX 5690```
```03Jul 3.835M 1201 XXXX 3193```
```21Mar 4.173M 1223 XX05 3412```
```15Feb  3.35M 1197 XXXX 2799```
```------------2023-----------```
```07Aug  3.25M 1237 XX03 2627```
```05Jul 3.653M 1197 XXXX 3052```
```05Jul 5.682M 1217 XXXX 4669```
_Source: DLD, Databot_
_BUA - built-up area, sq.ft._
_P/sf - price per sq.ft._
_B - bedrooms; O - office_
_M - million, K- thousand_
_S - studio, R - shop_
www.trydatabot.com</t>
  </si>
  <si>
    <t>1010992, *SALES*</t>
  </si>
  <si>
    <t>*SALES*
*TRANSACTIONS (RESALE)**
*GRANDE*
_Area: Downtown_
_Type: 3 bedroom apartment_
_Gross ROI=4.96%_
_Median annual rent=400K_
```Date   Price  BUA Type P/sf```
```------------2025-----------```
```29Dec   7.9M 1921 XX09 4112```
```23Dec     8M 1865 XX09 4290```
```12Dec   7.6M 1865 XX04 4075```
```24Nov  10.3M 3079 XX04 3345```
```07Nov   8.2M 1893 XX09 4332```
```13Oct   7.6M 1893 XX09 4015```
```25Sep   7.7M 1865 XX09 4129```
```25Aug  5.57M 1865 XX04 2987```
```18Aug   6.8M 1892 XX04 3594```
```13Aug     9M 1865 XX04 4826```
```13Aug   8.5M 1892 XX04 4493```
```25Jun   7.5M 2152 XX04 3485```
```16Jun   8.5M 1865 XX09 4558```
```12Jun     8M 1865 XX09 4290```
```26May   8.4M 1865 XX04 4504```
```10Apr  8.85M 1865 XX04 4745```
```09Apr   8.5M 1865 XX09 4558```
```28Feb     7M 1892 XX04 3700```
```28Feb  8.85M 1892 XX04 4678```
```14Feb 9.579M 1892 XX04 5063```
```03Feb   8.3M 1865 XX09 4450```
```20Jan   8.6M 1865 XX04 4611```
```------------2024-----------```
```19Dec  10.7M 2152 XX04 4972```
```28Nov   8.8M 1865 XX04 4718```
```17Sep  8.35M 1921 XX09 4347```
```13Jun     6M 1865 XXXX 3217```
```07May  8.35M 1871 XX09 4463```
```19Apr   8.6M 1892 XX04 4545```
```27Mar     8M 1871 XX09 4276```
```08Mar 9.295M 2152 XX04 4319```
_Source: DLD, Databot_
_BUA - built-up area, sq.ft._
_P/sf - price per sq.ft._
_B - bedrooms; O - office_
_M - million, K- thousand_
_S - studio, R - shop_
_*Max 30 latest transactions_
www.trydatabot.com</t>
  </si>
  <si>
    <t>1010993, *MARKET</t>
  </si>
  <si>
    <t>*MARKET*
*SNAPSHOT*
*GRANDE*
_Area: Downtown_
_Type: 3 bedroom apartment_
*Price dynamics, Dirham/sq.ft.*
_(M - median value)_
```5063|  *                   ```
```    |            *         ```
```    |*  * **  *            ```
```    | *     *   *          ```
```4311|---------------------M```
```    |        *      * *  * ```
```    |                *  * *```
```    |                      ```
```    |    *        *        ```
```    |          *       *   ```
```2987|              *       ```
```____|______________________```
```    |Jan2025        Dec2025```
_Source: see table below_
*Latest sales transactions*
```Date   Price  BUA Type P/sf```
```------------2025-----------```
```29Dec   7.9M 1921 XX09 4112```
```23Dec     8M 1865 XX09 4290```
```12Dec   7.6M 1865 XX04 4075```
```24Nov  10.3M 3079 XX04 3345```
```07Nov   8.2M 1893 XX09 4332```
```13Oct   7.6M 1893 XX09 4015```
```25Sep   7.7M 1865 XX09 4129```
```25Aug  5.57M 1865 XX04 2987```
```18Aug   6.8M 1892 XX04 3594```
```13Aug     9M 1865 XX04 4826```
```13Aug   8.5M 1892 XX04 4493```
```25Jun   7.5M 2152 XX04 3485```
```16Jun   8.5M 1865 XX09 4558```
```12Jun     8M 1865 XX09 4290```
```26May   8.4M 1865 XX04 4504```
```10Apr  8.85M 1865 XX04 4745```
```09Apr   8.5M 1865 XX09 4558```
```28Feb     7M 1892 XX04 3700```
```28Feb  8.85M 1892 XX04 4678```
```14Feb 9.579M 1892 XX04 5063```
```03Feb   8.3M 1865 XX09 4450```
```20Jan   8.6M 1865 XX04 4611```
```------------2024-----------```
```19Dec  10.7M 2152 XX04 4972```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</si>
  <si>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1010994, *NEW RE</t>
  </si>
  <si>
    <t>*NEW RENT*
*CONTRACTS**
_(renewals are not included)_
*GRANDE*
_Area: Downtown_
_Type: 3 bedroom apartment_
```Date  Price   BUA  Type D/s```
```------------2026-----------```
```17Jan  430K  1873  XXXX 230```
```15Jan  400K  1862  XXXX 215```
```10Jan  450K  1894  XXXX 238```
```------------2025-----------```
```29Nov  400K  1862  XXXX 215```
```26Nov  438K  1894  XXXX 231```
```20Nov  450K  1862  XXXX 242```
```03Nov  400K  1862  XXXX 215```
```31Oct  500K  2153  XXXX 232```
```20Oct  390K  1894  XXXX 206```
```15Oct  400K  1894  XXXX 211```
```01Oct  400K  1862  XXXX 215```
```22Sep  380K  1927  XXXX 197```
```18Sep  440K  1862  XXXX 236```
```15Sep  450K  1894  XXXX 238```
```10Sep  370K  1894  XXXX 195```
```08Sep  370K  1927  XXXX 192```
```05Sep  370K  1894  XXXX 195```
```01Sep  510K  1894  XXXX 269```
```01Sep  320K  1862  XXXX 172```
```28Aug  360K  1927  XXXX 187```
_Source: DLD, Databot_
_BUA - built-up area, sq.ft._
_P/sf - price per sq.ft._
_B - bedrooms; O - office_
_M - million, K- thousand_
_S - studio, R - shop_
_*20 latest contracts_
www.trydatabot.com</t>
  </si>
  <si>
    <t>1010995, *RESELL</t>
  </si>
  <si>
    <t>*RESELL*
*VS PRIMARY*
*GRANDE*
_Area: Downtown_
_Type: 3 bedroom apartment_
*Price dynamics, Dirham/sq.ft.*
_(x - primary; * - resell)_
```4826|            *         ```
```    |                      ```
```    |           *          ```
```    |                 *  * ```
```4090|               **  * *```
```    |                      ```
```    |                      ```
```    |      x      *        ```
```    |xxx xx  xx        *   ```
```2987|   x   x  x   *       ```
```____|______________________```
```    |Dec2021        Dec2025```
_Source: see a table below_
*Latest resell transactions*
```Date   Price  BUA Type P/sf```
```------------2025-----------```
```29Dec   7.9M 1921 XX09 4112```
```23Dec     8M 1865 XX09 4290```
```12Dec   7.6M 1865 XX04 4075```
```24Nov  10.3M 3079 XX04 3345```
```07Nov   8.2M 1893 XX09 4332```
```13Oct   7.6M 1893 XX09 4015```
```25Sep   7.7M 1865 XX09 4129```
```25Aug  5.57M 1865 XX04 2987```
```18Aug   6.8M 1892 XX04 3594```
```13Aug     9M 1865 XX04 4826```
```13Aug   8.5M 1892 XX04 4493```
```25Jun   7.5M 2152 XX04 3485```
```16Jun   8.5M 1865 XX09 4558```
```12Jun     8M 1865 XX09 4290```
```26May   8.4M 1865 XX04 4504```
```10Apr  8.85M 1865 XX04 4745```
```09Apr   8.5M 1865 XX09 4558```
```28Feb     7M 1892 XX04 3700```
*Latest primary transactions*
```------------2025-----------```
```29Apr  5.66M 1892 XX04 2992```
```28Feb 6.861M 2152 XX04 3188```
```------------2022-----------```
```06Jul 6.427M 1892 XX04 3397```
```01Jun 5.863M 1871 XX09 3134```
```29Apr 7.704M 2152 XX04 3580```
```28Mar 7.061M 2152 XX04 3281```
```17Mar 6.027M 1871 XX09 3221```
```28Feb 5.655M 1871 XX04 3022```
```------------2021-----------```
```21Dec 6.049M 1893 XX09 3195```
```05Dec 6.315M 1921 XX09 3288```
```05Dec 6.266M 1871 XX09 3349```
```05Dec 6.036M 1871 XX09 3226```
```28Nov 7.014M 1921 XX09 3651```
_Source: DLD, Databot_
_BUA - built-up area, sq.ft._
_P/sf - price per sq.ft._
_B - bedrooms; O - office_
_M - million, K- thousand_
_S - studio, R - shop_
www.trydatabot.com</t>
  </si>
  <si>
    <t>1010996, *SALES*</t>
  </si>
  <si>
    <t>*SALES*
*TRANSACTIONS (RESALE)**
*GRANDE*
_Area: Downtown_
_Type: 4 bedroom apartment_
```Date   Price  BUA Type P/sf```
```------------2025-----------```
```21Nov     8M 2299 XX04 3480```
```------------2024-----------```
```14May    12M 2683 XX03 4473```
```01May 14.68M 2587 XX02 5675```
```------------2022-----------```
```09May     5M 2341 XX01 2136```
_Source: DLD, Databot_
_BUA - built-up area, sq.ft._
_P/sf - price per sq.ft._
_B - bedrooms; O - office_
_M - million, K- thousand_
_S - studio, R - shop_
_*Max 30 latest transactions_
www.trydatabot.com</t>
  </si>
  <si>
    <t>1010997, *MARKET</t>
  </si>
  <si>
    <t>*MARKET*
*SNAPSHOT*
*GRANDE*
_Area: Downtown_
_Type: 4 bedroom apartment_
*Price dynamics, Dirham/sq.ft.*
_(M - median value)_
```5675|                   *  ```
```    |                      ```
```    |                      ```
```    |                    * ```
```    |                      ```
```3977|---------------------M```
```    |                      ```
```    |                     *```
```    |                      ```
```    |                      ```
```2136|                  *   ```
```____|______________________```
```    |May2022        Nov2025```
_Source: see table below_
*Latest sales transactions*
```Date   Price  BUA Type P/sf```
```------------2025-----------```
```21Nov     8M 2299 XX04 3480```
```------------2024-----------```
```14May    12M 2683 XX03 4473```
```01May 14.68M 2587 XX02 5675```
```------------2022-----------```
```09May     5M 2341 XX01 2136```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</si>
  <si>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1010998, *NEW RE</t>
  </si>
  <si>
    <t>*NEW RENT*
*CONTRACTS**
_(renewals are not included)_
*GRANDE*
_Area: Downtown_
_Type: 4 bedroom apartment_
```Date  Price   BUA  Type D/s```
```------------2025-----------```
```20Oct  530K  2347  XXXX 226```
```01Aug 1.55M  2691  XXXX 576```
```02Apr  200K  2347  XXXX  85```
```01Apr 1.55M  2583  XXXX 600```
```01Apr 1.43M  2691  XXXX 532```
```01Apr 1.55M  2691  XXXX 576```
```01Apr 1.43M  2583  XXXX 554```
_Source: DLD, Databot_
_BUA - built-up area, sq.ft._
_P/sf - price per sq.ft._
_B - bedrooms; O - office_
_M - million, K- thousand_
_S - studio, R - shop_
_*20 latest contracts_
www.trydatabot.com</t>
  </si>
  <si>
    <t>1010999, *RESELL</t>
  </si>
  <si>
    <t>*RESELL*
*VS PRIMARY*
*GRANDE*
_Area: Downtown_
_Type: 4 bedroom apartment_
*Price dynamics, Dirham/sq.ft.*
_(x - primary; * - resell)_
```5675|                   *  ```
```    |                      ```
```    |                      ```
```    |                    * ```
```4143|                      ```
```    |                      ```
```    |    x    x           *```
```    |   x x                ```
```    |                      ```
```1841|      xxx x       *   ```
```____|______________________```
```    |Dec1899        Nov2025```
_Source: see a table below_
*Latest resell transactions*
```Date   Price  BUA Type P/sf```
```------------2025-----------```
```21Nov     8M 2299 XX04 3480```
```------------2024-----------```
```14May    12M 2683 XX03 4473```
```01May 14.68M 2587 XX02 5675```
```------------2022-----------```
```09May     5M 2341 XX01 2136```
*Latest primary transactions*
```------------2021-----------```
```11Nov  4.79M 2314 XX04 2070```
```------------2020-----------```
```09Apr 8.933M 2683 XX03 3329```
```16Mar  4.26M 2314 XX04 1841```
```03Feb 4.823M 2341 XX01 2060```
```------------2019-----------```
```26Dec 4.667M 2341 XX01 1994```
```01Jul  8.09M 2587 XX02 3127```
```04Feb 8.651M 2683 XX03 3224```
```------------2018-----------```
```30Sep 8.076M 2587 XX02 3122```
_Source: DLD, Databot_
_BUA - built-up area, sq.ft._
_P/sf - price per sq.ft._
_B - bedrooms; O - office_
_M - million, K- thousand_
_S - studio, R - shop_
www.trydatabot.com</t>
  </si>
  <si>
    <t>1011014, *NEW RE</t>
  </si>
  <si>
    <t>*NEW RENT*
*CONTRACTS**
_(renewals are not included)_
*GRANDE*
_Area: Downtown_
_Type: _
```Date  Price   BUA  Type D/s```
```------------2025-----------```
```19Jun  261K  1819  XXXX 143```
```------------2023-----------```
```12Oct  815K  3283  XXXX 248```
```12Oct  815K  3283  XXXX 248```
_Source: DLD, Databot_
_BUA - built-up area, sq.ft._
_P/sf - price per sq.ft._
_B - bedrooms; O - office_
_M - million, K- thousand_
_S - studio, R - shop_
_*20 latest contracts_
www.trydatabot.com</t>
  </si>
  <si>
    <t>1011028, *NEW RE</t>
  </si>
  <si>
    <t>*NEW RENT*
*CONTRACTS**
_(renewals are not included)_
*GRANDE*
_Area: Downtown_
_All types/bedrooms_
```Date    Price   BUA Type  B```
```------------2026-----------```
```01Feb  137.5K   786 XXXX  1```
```28Jan    275K  1130 XXXX  2```
```24Jan    280K  1216 XXXX  2```
```17Jan    430K  1873 XXXX  3```
```15Jan    400K  1862 XXXX  3```
```13Jan    300K  1130 XXXX  2```
```10Jan    190K   786 XXXX  1```
```10Jan    450K  1894 XXXX  3```
```10Jan    147K   786 XXXX  1```
```02Jan    240K  1281 XXXX  2```
```01Jan    180K   807 XXXX  1```
```------------2025-----------```
```26Dec    160K   775 XXXX  1```
```25Dec    165K   764 XXXX  1```
```24Dec    163K   786 XXXX  1```
```21Dec    126K   818 XXXX  1```
```21Dec    126K   764 XXXX  1```
```21Dec    290K  1206 XXXX  2```
```16Dec    140K   775 XXXX  1```
```15Dec    140K   786 XXXX  1```
```15Dec    200K  1270 XXXX  2```
_Source: DLD, Databot_
_BUA - built-up area, sq.ft._
_P/sf - price per sq.ft._
_B - bedrooms; O - office_
_M - million, K- thousand_
_S - studio, R - shop_
_*20 latest contracts_
www.trydatabot.com</t>
  </si>
  <si>
    <t>1011029, *SALES*</t>
  </si>
  <si>
    <t>*SALES*
*TRANSACTIONS (RESALE)**
*GRANDE*
_Area: Downtown_
_All types/bedrooms_
```Date    Price   BUA  Type B```
```------------2026-----------```
```22Jan   2.87M   783  XXXX 1```
```13Jan    3.9M  1305  XX10 2```
```05Jan    6.2M  1127  XXXX 2```
```------------2025-----------```
```29Dec    7.9M  1921  XX09 3```
```23Dec      8M  1865  XX09 3```
```12Dec    7.6M  1865  XX04 3```
```08Dec   3.85M  1271  XXXX 2```
```08Dec   6.65M  1134  XXXX 2```
```28Nov    6.4M  1134  XXXX 2```
```28Nov      6M  1201  XXXX 2```
```28Nov   6.35M  1201  XXXX 2```
```24Nov   10.3M  3079  XX04 3```
```21Nov      8M  2299  XX04 4```
```07Nov    8.2M  1893  XX09 3```
```07Nov  2.675M   771  XX13 1```
```06Nov   3.85M  1237  XX03 2```
```31Oct    6.1M  1134  XXXX 2```
```24Oct   6.38M  1223  XX08 2```
```22Oct  2.675M   783  XXXX 1```
```21Oct    6.5M  1134  XXXX 2```
```17Oct   2.65M   788  XX01 1```
```16Oct    5.5M  1201  XXXX 2```
```15Oct   2.65M   767  XXXX 1```
```14Oct   4.75M  1271  XXXX 2```
```13Oct    7.6M  1893  XX09 3```
```06Oct    2.7M   783  XXXX 1```
```02Oct   6.35M  1134  XXXX 2```
```01Oct   3.85M  1197  XX02 2```
```30Sep    3.9M  1201  XXXX 2```
```26Sep   3.75M  1284  XX10 2```
_Source: DLD, Databot_
_BUA - built-up area, sq.ft._
_P/sf - price per sq.ft._
_B - bedrooms; O - office_
_M - million, K- thousand_
_S - studio, R - shop_
_*Max 30 latest transactions_
www.trydatabot.com</t>
  </si>
  <si>
    <t>1011030, Grande, *BUILDI</t>
  </si>
  <si>
    <t xml:space="preserve">*BUILDING*
*PROFILE*
*GRANDE*
_Area: Downtown_
_Tap&amp;hold to copy a reply_
```-------------------------```
```Report              Reply```
```-------------------------```
*1 B/R*
```Resell, ROI       1010984```
```Primary sales     1011032```
```Price chart       1010985```
```Rentals           1010986```
```Appreciation      1010987```
*2 B/R*
```Resell, ROI       1010988```
```Primary sales     1011033```
```Price chart       1010989```
```Rentals           1010990```
```Appreciation      1010991```
*3 B/R*
```Resell, ROI       1010992```
```Primary sales     1011034```
```Price chart       1010993```
```Rentals           1010994```
```Appreciation      1010995```
*4 B/R*
```Resell, ROI       1010996```
```Primary sales     1011035```
```Price chart       1010997```
```Rentals           1010998```
```Appreciation      1010999```
*All types/bedrooms*
```Resell, ROI       1011029```
```Primary sales     1011043```
```Rentals           1011028```
</t>
  </si>
  <si>
    <t>1011032, *SALES*</t>
  </si>
  <si>
    <t>*SALES*
*TRANSACTIONS (PRIMARY)**
*GRANDE*
_Area: Downtown_
_Type: 1 bedroom apartment_
```Date   Price  BUA Type P/sf```
```------------2024-----------```
```12Aug  5.53M 1144 XXXX 4834```
```12Aug 4.489M  758 XXXX 5923```
```12Aug 5.721M 1164 XX06 4915```
```12Aug 5.259M 1144 XXXX 4597```
```12Aug 4.964M  784 XX05 6331```
```12Aug 4.655M  758 XXXX 6141```
```09Aug 5.445M 1144 XXXX 4759```
```09Aug 4.655M  758 XXXX 6141```
```09Aug 4.489M  758 XXXX 5923```
```08Aug 5.758M 1154 XX01 4990```
```08Aug 4.954M  782 XX02 6335```
```------------2022-----------```
```24Nov 1.832M  767 XX13 2388```
```21Oct 2.079M  805 XX02 2582```
```20Sep 1.785M  783 XX01 2280```
```16Sep 1.884M  783 XX01 2406```
```16Sep 1.884M  783 XX12 2406```
```07Jun 1.834M  767 XX13 2391```
```28Mar 1.788M  783 XX12 2283```
```22Mar  1.79M  767 XX14 2334```
```11Mar 1.774M  767 XX14 2313```
_Source: DLD, Databot_
_BUA - built-up area, sq.ft._
_P/sf - price per sq.ft._
_B - bedrooms; O - office_
_M - million, K- thousand_
_S - studio, R - shop_
_*Max 20 latest transactions_
www.trydatabot.com</t>
  </si>
  <si>
    <t>1011033, *SALES*</t>
  </si>
  <si>
    <t>*SALES*
*TRANSACTIONS (PRIMARY)**
*GRANDE*
_Area: Downtown_
_Type: 2 bedroom apartment_
```Date   Price  BUA Type P/sf```
```------------2025-----------```
```16Jan 2.424M 1284 XX03 1888```
```------------2024-----------```
```13Aug 6.256M 1133 XXXX 5522```
```12Aug 6.037M 1133 XXXX 5328```
```12Aug 6.361M 1118 XXXX 5690```
```09Aug 6.256M 1133 XXXX 5522```
```09Aug 6.037M 1133 XXXX 5328```
```08Aug 6.361M 1118 XXXX 5690```
```03Jul 3.835M 1201 XXXX 3193```
```21Mar 4.173M 1223 XX05 3412```
```15Feb  3.35M 1197 XXXX 2799```
```------------2023-----------```
```07Aug  3.25M 1237 XX03 2627```
```05Jul 3.653M 1197 XXXX 3052```
```05Jul 5.682M 1217 XXXX 4669```
```12Jun 3.762M 1134 XXXX 3317```
```29Mar   4.9M 1201 XXXX 4080```
```22Mar   4.4M 1201 XXXX 3664```
```12Jan 2.903M 1237 XX03 2347```
```------------2022-----------```
```22Nov  2.56M 1265 XX10 2024```
```18Nov 2.235M 1265 XX10 1767```
```11Aug 4.553M 1127 XX06 4040```
_Source: DLD, Databot_
_BUA - built-up area, sq.ft._
_P/sf - price per sq.ft._
_B - bedrooms; O - office_
_M - million, K- thousand_
_S - studio, R - shop_
_*Max 20 latest transactions_
www.trydatabot.com</t>
  </si>
  <si>
    <t>1011034, *SALES*</t>
  </si>
  <si>
    <t>*SALES*
*TRANSACTIONS (PRIMARY)**
*GRANDE*
_Area: Downtown_
_Type: 3 bedroom apartment_
```Date   Price  BUA Type P/sf```
```------------2025-----------```
```29Apr  5.66M 1892 XX04 2992```
```28Feb 6.861M 2152 XX04 3188```
```------------2022-----------```
```06Jul 6.427M 1892 XX04 3397```
```01Jun 5.863M 1871 XX09 3134```
```29Apr 7.704M 2152 XX04 3580```
```28Mar 7.061M 2152 XX04 3281```
```17Mar 6.027M 1871 XX09 3221```
```28Feb 5.655M 1871 XX04 3022```
```------------2021-----------```
```21Dec 6.049M 1893 XX09 3195```
```05Dec 6.315M 1921 XX09 3288```
```05Dec 6.266M 1871 XX09 3349```
```05Dec 6.036M 1871 XX09 3226```
```28Nov 7.014M 1921 XX09 3651```
```28Nov 7.027M 1921 XX09 3658```
```22Nov 5.971M 1871 XX09 3191```
```08Nov 6.088M 1871 XX09 3254```
```07Nov 6.224M 1893 XX09 3288```
```04Nov  7.04M 1921 XX09 3665```
```04Nov  6.17M 1871 XX04 3298```
```04Nov 6.351M 1871 XX09 3394```
_Source: DLD, Databot_
_BUA - built-up area, sq.ft._
_P/sf - price per sq.ft._
_B - bedrooms; O - office_
_M - million, K- thousand_
_S - studio, R - shop_
_*Max 20 latest transactions_
www.trydatabot.com</t>
  </si>
  <si>
    <t>1011035, *SALES*</t>
  </si>
  <si>
    <t>*SALES*
*TRANSACTIONS (PRIMARY)**
*GRANDE*
_Area: Downtown_
_Type: 4 bedroom apartment_
```Date   Price  BUA Type P/sf```
```------------2021-----------```
```11Nov  4.79M 2314 XX04 2070```
```------------2020-----------```
```09Apr 8.933M 2683 XX03 3329```
```16Mar  4.26M 2314 XX04 1841```
```03Feb 4.823M 2341 XX01 2060```
```------------2019-----------```
```26Dec 4.667M 2341 XX01 1994```
```01Jul  8.09M 2587 XX02 3127```
```04Feb 8.651M 2683 XX03 3224```
```------------2018-----------```
```30Sep 8.076M 2587 XX02 3122```
_Source: DLD, Databot_
_BUA - built-up area, sq.ft._
_P/sf - price per sq.ft._
_B - bedrooms; O - office_
_M - million, K- thousand_
_S - studio, R - shop_
_*Max 20 latest transactions_
www.trydatabot.com</t>
  </si>
  <si>
    <t>1011043, *SALES*</t>
  </si>
  <si>
    <t>*SALES*
*TRANSACTIONS (PRIMARY)**
*GRANDE*
_Area: Downtown_
_All types/bedrooms_
```Date    Price   BUA  Type B```
```------------2025-----------```
```29Apr   5.66M  1892  XX04 3```
```28Feb  6.861M  2152  XX04 3```
```16Jan  2.424M  1284  XX03 2```
```------------2024-----------```
```13Aug  6.256M  1133  XXXX 2```
```12Aug  6.037M  1133  XXXX 2```
```12Aug   5.53M  1144  XXXX 1```
```12Aug  4.489M   758  XXXX 1```
```12Aug  5.721M  1164  XX06 1```
```12Aug  5.259M  1144  XXXX 1```
```12Aug  4.964M   784  XX05 1```
```12Aug  4.655M   758  XXXX 1```
```12Aug  6.361M  1118  XXXX 2```
```09Aug  6.256M  1133  XXXX 2```
```09Aug  6.037M  1133  XXXX 2```
```09Aug  5.445M  1144  XXXX 1```
```09Aug  4.655M   758  XXXX 1```
```09Aug  4.489M   758  XXXX 1```
```08Aug  6.361M  1118  XXXX 2```
```08Aug  5.758M  1154  XX01 1```
```08Aug  4.954M   782  XX02 1```
_Source: DLD, Databot_
_BUA - built-up area, sq.ft._
_P/sf - price per sq.ft._
_B - bedrooms; O - office_
_M - million, K- thousand_
_S - studio, R - shop_
_*Max 20 latest transactions_
www.trydatabot.com</t>
  </si>
  <si>
    <t>1011060, *SALES*</t>
  </si>
  <si>
    <r>
      <rPr/>
      <t xml:space="preserve">*SALES*
*TRANSACTIONS (RESALE)**
*IL PRIMO*
_Area: Downtown_
_Type: 4 bedroom apartment_
_Gross ROI=5.47%_
_Median annual rent=1.6M_
```Date   Price  BUA Type P/sf```
```------------2025-----------```
```14Nov  27.9M 5300 XXXX 5264```
```14Nov  30.5M 5300 XXXX 5755```
```14Aug  30.3M 5176 XXXX 5854```
```13Aug    27M 5300 XXXX 5094```
```16Jun    27M 5176 XXXX 5216```
```04Jun    30M 5176 XXXX 5796```
```26May  28.5M 5176 XXXX 5506```
```27Mar    32M 5300 XXXX 6038```
```19Mar    30M 5300 XXXX 5660```
```07Mar  26.9M 5176 XXXX 5197```
```28Jan  28.5M 5176 XXXX 5506```
```27Jan  22.5M 5176 XXXX 4347```
```14Jan    32M 5176 XXXX 6182```
```08Jan    27M 5176 XXXX 5216```
```------------2024-----------```
```30Dec  31.2M 5300 XXXX 5887```
```20Dec  31.5M 5300 XXXX 5943```
```19Dec  32.3M 5300 XXXX 6094```
```11Dec  26.7M 5176 XXXX 5158```
```20Nov    32M 5300 XXXX 6038```
```01Nov    29M 5300 XXXX 5472```
```10Oct 26.55M 5300 XXXX 5009```
```15Aug  30.4M 5333 XX02 5700```
```15Jul 25.75M 5212 XX01 4941```
```12Jun  28.5M 5333 XX02 5344```
```03Jun    28M 5333 XX02 5250```
```28May    25M 5212 XX01 4797```
```15Apr  25.5M 5212 XX01 4893```
```04Mar  21.5M 5212 XX01 4125```
```26Feb  27.5M 5333 XX02 5157```
```09Feb  24.7M 5333 XX02 4632```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</si>
  <si>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IL Primo</t>
  </si>
  <si>
    <t>1.6M</t>
  </si>
  <si>
    <t>1011061, *MARKET</t>
  </si>
  <si>
    <t>*MARKET*
*SNAPSHOT*
*IL PRIMO*
_Area: Downtown_
_Type: 4 bedroom apartment_
*Price dynamics, Dirham/sq.ft.*
_(M - median value)_
```6182|     *   *            ```
```    |   *  *       *       ```
```    |       *        *  ** ```
```5583|---------------------M```
```    |*            *        ```
```    |  *        *   *      ```
```    |        *   *    *   *```
```    | *  *             *   ```
```    |                      ```
```    |                      ```
```4347|          *           ```
```____|______________________```
```    |Aug2024        Nov2025```
_Source: see table below_
*Latest sales transactions*
```Date   Price  BUA Type P/sf```
```------------2025-----------```
```14Nov  27.9M 5300 XXXX 5264```
```14Nov  30.5M 5300 XXXX 5755```
```14Aug  30.3M 5176 XXXX 5854```
```13Aug    27M 5300 XXXX 5094```
```16Jun    27M 5176 XXXX 5216```
```04Jun    30M 5176 XXXX 5796```
```26May  28.5M 5176 XXXX 5506```
```27Mar    32M 5300 XXXX 6038```
```19Mar    30M 5300 XXXX 5660```
```07Mar  26.9M 5176 XXXX 5197```
```28Jan  28.5M 5176 XXXX 5506```
```27Jan  22.5M 5176 XXXX 4347```
```14Jan    32M 5176 XXXX 6182```
```08Jan    27M 5176 XXXX 5216```
```------------2024-----------```
```30Dec  31.2M 5300 XXXX 5887```
```20Dec  31.5M 5300 XXXX 5943```
```19Dec  32.3M 5300 XXXX 6094```
```11Dec  26.7M 5176 XXXX 5158```
```20Nov    32M 5300 XXXX 6038```
```01Nov    29M 5300 XXXX 5472```
```10Oct 26.55M 5300 XXXX 5009```
```15Aug  30.4M 5333 XX02 5700```
```15Jul 25.75M 5212 XX01 4941```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</si>
  <si>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1011062, *NEW RE</t>
  </si>
  <si>
    <t>*NEW RENT*
*CONTRACTS**
_(renewals are not included)_
*IL PRIMO*
_Area: Downtown_
_Type: 4 bedroom apartment_
```Date  Price   BUA  Type D/s```
```------------2026-----------```
```15Jan    2M  5177  XXXX 386```
```14Jan  1.4M  5177  XXXX 270```
```05Jan  300K  5296  XXXX  57```
```------------2025-----------```
```14Dec  1.6M  5177  XXXX 309```
```05Dec  3.4M  5296  XXXX 642```
```28Nov  1.5M  5177  XXXX 290```
```25Nov  1.5M  5177  XXXX 290```
```16Oct 1.65M  5296  XXXX 312```
```16Oct 1.65M  5296  XXXX 312```
```02Oct 1.55M  5177  XXXX 299```
```29Aug 2.25M  5177  XXXX 435```
```21Aug  1.7M  5177  XXXX 328```
```23Jul  1.9M  5296  XXXX 359```
```20Jul  1.5M  5296  XXXX 283```
```01Jul  1.6M  5177  XXXX 309```
```01Jul  1.6M  5177  XXXX 309```
```01Jul  1.6M  5177  XXXX 309```
```22Jun 1.37M  5177  XXXX 265```
```09Jun 2.25M  5296  XXXX 425```
```09Jun 2.25M  5296  XXXX 425```
_Source: DLD, Databot_
_BUA - built-up area, sq.ft._
_P/sf - price per sq.ft._
_B - bedrooms; O - office_
_M - million, K- thousand_
_S - studio, R - shop_
_*20 latest contracts_
www.trydatabot.com</t>
  </si>
  <si>
    <t>1011063, *RESELL</t>
  </si>
  <si>
    <t>*RESELL*
*VS PRIMARY*
*IL PRIMO*
_Area: Downtown_
_Type: 4 bedroom apartment_
*Price dynamics, Dirham/sq.ft.*
_(x - primary; * - resell)_
```6038|              *       ```
```    |             *  *  ** ```
```    |           *   *      ```
```    |            *    **  *```
```4890|                      ```
```    |                      ```
```    |          x           ```
```    |xx   xx  x            ```
```    |  xxx                 ```
```3168|       xx             ```
```____|______________________```
```    |Dec2021        Nov2025```
_Source: see a table below_
*Latest resell transactions*
```Date   Price  BUA Type P/sf```
```------------2025-----------```
```14Nov  27.9M 5300 XXXX 5264```
```14Nov  30.5M 5300 XXXX 5755```
```14Aug  30.3M 5176 XXXX 5854```
```13Aug    27M 5300 XXXX 5094```
```16Jun    27M 5176 XXXX 5216```
```04Jun    30M 5176 XXXX 5796```
```26May  28.5M 5176 XXXX 5506```
```27Mar    32M 5300 XXXX 6038```
```19Mar    30M 5300 XXXX 5660```
```07Mar  26.9M 5176 XXXX 5197```
```28Jan  28.5M 5176 XXXX 5506```
```27Jan  22.5M 5176 XXXX 4347```
```14Jan    32M 5176 XXXX 6182```
```08Jan    27M 5176 XXXX 5216```
```------------2024-----------```
```30Dec  31.2M 5300 XXXX 5887```
```20Dec  31.5M 5300 XXXX 5943```
```19Dec  32.3M 5300 XXXX 6094```
*Latest primary transactions*
```------------2023-----------```
```21Jun    23M 5212 XX01 4413```
```------------2022-----------```
```01Sep 21.59M 5333 XX02 4048```
```29Aug 17.03M 5333 XX02 3194```
```10Aug 16.51M 5212 XX01 3168```
```19Apr 21.61M 5333 XX02 4052```
```28Mar 20.85M 5212 XX01 4000```
```28Mar  20.6M 5333 XX02 3863```
```28Mar 18.82M 5212 XX01 3610```
```10Feb 20.01M 5212 XX01 3838```
```------------2021-----------```
```29Dec 20.78M 5212 XX01 3987```
```06Dec 20.81M 5212 XX01 3993```
```25Nov  18.5M 5333 XX02 3469```
```18Nov 19.48M 5333 XX02 3653```
_Source: DLD, Databot_
_BUA - built-up area, sq.ft._
_P/sf - price per sq.ft._
_B - bedrooms; O - office_
_M - million, K- thousand_
_S - studio, R - shop_
www.trydatabot.com</t>
  </si>
  <si>
    <t>1011064, *SALES*</t>
  </si>
  <si>
    <t>*SALES*
*TRANSACTIONS (RESALE)**
*IL PRIMO*
_Area: Downtown_
_Type: 5 bedroom apartment_
```Date   Price  BUA Type P/sf```
```------------2025-----------```
```21Oct 57.25M  11K XXXX 5053```
```22Aug  54.5M  11K XX01 4809```
```------------2023-----------```
```18Dec    58M  11K XX01 5085```
```20Jun    60M  11K XX01 5260```
```05May  66.5M  19K XX01 3499```
```------------2022-----------```
```09Jun    50M  11K XX01 4383```
```17May  50.5M  11K XX01 4427```
_Source: DLD, Databot_
_BUA - built-up area, sq.ft._
_P/sf - price per sq.ft._
_B - bedrooms; O - office_
_M - million, K- thousand_
_S - studio, R - shop_
_*Max 30 latest transactions_
www.trydatabot.com</t>
  </si>
  <si>
    <t>1011065, *MARKET</t>
  </si>
  <si>
    <t>*MARKET*
*SNAPSHOT*
*IL PRIMO*
_Area: Downtown_
_Type: 5 bedroom apartment_
*Price dynamics, Dirham/sq.ft.*
_(M - median value)_
```5260|                  *   ```
```    |                   * *```
```    |                      ```
```4809|---------------------M```
```    |                    * ```
```    |                      ```
```    |               **     ```
```    |                      ```
```    |                      ```
```    |                      ```
```3499|                 *    ```
```____|______________________```
```    |May2022        Oct2025```
_Source: see table below_
*Latest sales transactions*
```Date   Price  BUA Type P/sf```
```------------2025-----------```
```21Oct 57.25M  11K XXXX 5053```
```22Aug  54.5M  11K XX01 4809```
```------------2023-----------```
```18Dec    58M  11K XX01 5085```
```20Jun    60M  11K XX01 5260```
```05May  66.5M  19K XX01 3499```
```------------2022-----------```
```09Jun    50M  11K XX01 4383```
```17May  50.5M  11K XX01 4427```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</si>
  <si>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1011066, *NEW RE</t>
  </si>
  <si>
    <t>*NEW RENT*
*CONTRACTS**
_(renewals are not included)_
*IL PRIMO*
_Area: Downtown_
_Type: 5 bedroom apartment_
```Date  Price   BUA  Type D/s```
```------------2025-----------```
```17Dec 1.99M 11334  XXXX 176```
_Source: DLD, Databot_
_BUA - built-up area, sq.ft._
_P/sf - price per sq.ft._
_B - bedrooms; O - office_
_M - million, K- thousand_
_S - studio, R - shop_
_*20 latest contracts_
www.trydatabot.com</t>
  </si>
  <si>
    <t>1011067, *RESELL</t>
  </si>
  <si>
    <t>*RESELL*
*VS PRIMARY*
*IL PRIMO*
_Area: Downtown_
_Type: 5 bedroom apartment_
*Price dynamics, Dirham/sq.ft.*
_(x - primary; * - resell)_
```5260|                  *   ```
```    |                   * *```
```    |                      ```
```    |                    * ```
```4556|                      ```
```    |               **     ```
```    |   x    x             ```
```    |          x           ```
```    |xx     x x            ```
```3499|  x xxx          *    ```
```____|______________________```
```    |Dec1899        Oct2025```
_Source: see a table below_
*Latest resell transactions*
```Date   Price  BUA Type P/sf```
```------------2025-----------```
```21Oct 57.25M  11K XXXX 5053```
```22Aug  54.5M  11K XX01 4809```
```------------2023-----------```
```18Dec    58M  11K XX01 5085```
```20Jun    60M  11K XX01 5260```
```05May  66.5M  19K XX01 3499```
```------------2022-----------```
```09Jun    50M  11K XX01 4383```
```17May  50.5M  11K XX01 4427```
*Latest primary transactions*
```------------2022-----------```
```04Apr 45.46M  11K XX01 3985```
```------------2021-----------```
```25Oct 44.32M  11K XX01 3885```
```19Oct 47.11M  11K XX01 4130```
```11Oct 43.77M  11K XX01 3837```
```10Oct 40.44M  11K XX01 3545```
```05Oct 40.65M  11K XX01 3564```
```05Oct 40.51M  11K XX01 3552```
```23Sep 48.17M  11K XX01 4223```
```09Sep 40.94M  11K XX01 3589```
```01Aug 44.32M  11K XX01 3885```
```------------2019-----------```
```25Feb 43.55M  11K XX01 3818```
```------------2018-----------```
```19Mar 43.02M  11K XX01 3772```
_Source: DLD, Databot_
_BUA - built-up area, sq.ft._
_P/sf - price per sq.ft._
_B - bedrooms; O - office_
_M - million, K- thousand_
_S - studio, R - shop_
www.trydatabot.com</t>
  </si>
  <si>
    <t>1011092, *NEW RE</t>
  </si>
  <si>
    <t>*NEW RENT*
*CONTRACTS**
_(renewals are not included)_
*IL PRIMO*
_Area: Downtown_
_All types/bedrooms_
```Date    Price   BUA Type  B```
```------------2026-----------```
```15Jan      2M  5177 XXXX  4```
```14Jan    1.4M  5177 XXXX  4```
```05Jan    300K  5296 XXXX  4```
```------------2025-----------```
```17Dec  1.995M 11334 XXXX  5```
```14Dec    1.6M  5177 XXXX  4```
```05Dec    3.4M  5296 XXXX  4```
```28Nov    1.5M  5177 XXXX  4```
```25Nov    1.5M  5177 XXXX  4```
```16Oct   1.65M  5296 XXXX  4```
```16Oct   1.65M  5296 XXXX  4```
```02Oct   1.55M  5177 XXXX  4```
```29Aug   2.25M  5177 XXXX  4```
```21Aug    1.7M  5177 XXXX  4```
```23Jul    1.9M  5296 XXXX  4```
```20Jul    1.5M  5296 XXXX  4```
```01Jul    1.6M  5177 XXXX  4```
```01Jul    1.6M  5177 XXXX  4```
```01Jul  1.599M  5177 XXXX  4```
```22Jun  1.371M  5177 XXXX  4```
```09Jun   2.25M  5296 XXXX  4```
_Source: DLD, Databot_
_BUA - built-up area, sq.ft._
_P/sf - price per sq.ft._
_B - bedrooms; O - office_
_M - million, K- thousand_
_S - studio, R - shop_
_*20 latest contracts_
www.trydatabot.com</t>
  </si>
  <si>
    <t>1011093, *SALES*</t>
  </si>
  <si>
    <t>*SALES*
*TRANSACTIONS (RESALE)**
*IL PRIMO*
_Area: Downtown_
_All types/bedrooms_
```Date    Price   BUA  Type B```
```------------2025-----------```
```14Nov   27.9M  5300  XXXX 4```
```14Nov   30.5M  5300  XXXX 4```
```21Oct  57.25M   11K  XXXX 5```
```22Aug   54.5M   11K  XX01 5```
```14Aug   30.3M  5176  XXXX 4```
```13Aug     27M  5300  XXXX 4```
```16Jun     27M  5176  XXXX 4```
```04Jun     30M  5176  XXXX 4```
```26May   28.5M  5176  XXXX 4```
```27Mar     32M  5300  XXXX 4```
```19Mar     30M  5300  XXXX 4```
```07Mar   26.9M  5176  XXXX 4```
```28Jan   28.5M  5176  XXXX 4```
```27Jan   22.5M  5176  XXXX 4```
```14Jan     32M  5176  XXXX 4```
```08Jan     27M  5176  XXXX 4```
```------------2024-----------```
```30Dec   31.2M  5300  XXXX 4```
```20Dec   31.5M  5300  XXXX 4```
```19Dec   32.3M  5300  XXXX 4```
```11Dec   26.7M  5176  XXXX 4```
```20Nov     32M  5300  XXXX 4```
```01Nov     29M  5300  XXXX 4```
```10Oct  26.55M  5300  XXXX 4```
```15Aug   30.4M  5333  XX02 4```
```15Jul  25.75M  5212  XX01 4```
```12Jun   28.5M  5333  XX02 4```
```03Jun     28M  5333  XX02 4```
```28May     25M  5212  XX01 4```
```15Apr   25.5M  5212  XX01 4```
```04Mar   21.5M  5212  XX01 4```
_Source: DLD, Databot_
_BUA - built-up area, sq.ft._
_P/sf - price per sq.ft._
_B - bedrooms; O - office_
_M - million, K- thousand_
_S - studio, R - shop_
_*Max 30 latest transactions_
www.trydatabot.com</t>
  </si>
  <si>
    <t>1011094, IL, ILPrimo, *BUILDI</t>
  </si>
  <si>
    <t xml:space="preserve">*BUILDING*
*PROFILE*
*IL PRIMO*
_Area: Downtown_
_Tap&amp;hold to copy a reply_
```-------------------------```
```Report              Reply```
```-------------------------```
*Studio*
```Primary sales     1011095```
*4 B/R*
```Resell, ROI       1011060```
```Primary sales     1011099```
```Price chart       1011061```
```Rentals           1011062```
```Appreciation      1011063```
*5 B/R*
```Resell, ROI       1011064```
```Primary sales     1011100```
```Price chart       1011065```
```Rentals           1011066```
```Appreciation      1011067```
*All types/bedrooms*
```Resell, ROI       1011093```
```Primary sales     1011107```
```Rentals           1011092```
</t>
  </si>
  <si>
    <t>1011095, *SALES*</t>
  </si>
  <si>
    <t>*SALES*
*TRANSACTIONS (PRIMARY)**
*IL PRIMO*
_Area: Downtown_
_Type: studio apartment_
```Date   Price  BUA Type P/sf```
```------------2025-----------```
```08Sep 2.249M  553 XXXX 4067```
_Source: DLD, Databot_
_BUA - built-up area, sq.ft._
_P/sf - price per sq.ft._
_B - bedrooms; O - office_
_M - million, K- thousand_
_S - studio, R - shop_
_*Max 20 latest transactions_
www.trydatabot.com</t>
  </si>
  <si>
    <t>1011099, *SALES*</t>
  </si>
  <si>
    <t>*SALES*
*TRANSACTIONS (PRIMARY)**
*IL PRIMO*
_Area: Downtown_
_Type: 4 bedroom apartment_
```Date   Price  BUA Type P/sf```
```------------2023-----------```
```21Jun    23M 5212 XX01 4413```
```------------2022-----------```
```01Sep 21.59M 5333 XX02 4048```
```29Aug 17.03M 5333 XX02 3194```
```10Aug 16.51M 5212 XX01 3168```
```19Apr 21.61M 5333 XX02 4052```
```28Mar 20.85M 5212 XX01 4000```
```28Mar  20.6M 5333 XX02 3863```
```28Mar 18.82M 5212 XX01 3610```
```10Feb 20.01M 5212 XX01 3838```
```------------2021-----------```
```29Dec 20.78M 5212 XX01 3987```
```06Dec 20.81M 5212 XX01 3993```
```25Nov  18.5M 5333 XX02 3469```
```18Nov 19.48M 5333 XX02 3653```
```17Nov 20.13M 5333 XX02 3776```
```03Nov 20.44M 5333 XX02 3832```
```03Nov 19.87M 5212 XX01 3812```
```09Oct 18.73M 5212 XX01 3594```
```07Oct 20.72M 5333 XX02 3885```
```05Oct 19.99M 5333 XX02 3749```
```29Sep 21.17M 5333 XX02 3970```
_Source: DLD, Databot_
_BUA - built-up area, sq.ft._
_P/sf - price per sq.ft._
_B - bedrooms; O - office_
_M - million, K- thousand_
_S - studio, R - shop_
_*Max 20 latest transactions_
www.trydatabot.com</t>
  </si>
  <si>
    <t>1011100, *SALES*</t>
  </si>
  <si>
    <t>*SALES*
*TRANSACTIONS (PRIMARY)**
*IL PRIMO*
_Area: Downtown_
_Type: 5 bedroom apartment_
```Date   Price  BUA Type P/sf```
```------------2022-----------```
```04Apr 45.46M  11K XX01 3985```
```------------2021-----------```
```25Oct 44.32M  11K XX01 3885```
```19Oct 47.11M  11K XX01 4130```
```11Oct 43.77M  11K XX01 3837```
```10Oct 40.44M  11K XX01 3545```
```05Oct 40.65M  11K XX01 3564```
```05Oct 40.51M  11K XX01 3552```
```23Sep 48.17M  11K XX01 4223```
```09Sep 40.94M  11K XX01 3589```
```01Aug 44.32M  11K XX01 3885```
```------------2019-----------```
```25Feb 43.55M  11K XX01 3818```
```------------2018-----------```
```19Mar 43.02M  11K XX01 3772```
_Source: DLD, Databot_
_BUA - built-up area, sq.ft._
_P/sf - price per sq.ft._
_B - bedrooms; O - office_
_M - million, K- thousand_
_S - studio, R - shop_
_*Max 20 latest transactions_
www.trydatabot.com</t>
  </si>
  <si>
    <t>1011107, *SALES*</t>
  </si>
  <si>
    <t>*SALES*
*TRANSACTIONS (PRIMARY)**
*IL PRIMO*
_Area: Downtown_
_All types/bedrooms_
```Date    Price   BUA  Type B```
```------------2025-----------```
```08Sep  2.249M   553  XXXX S```
```------------2023-----------```
```21Jun     23M  5212  XX01 4```
```------------2022-----------```
```01Sep  21.59M  5333  XX02 4```
```29Aug  17.03M  5333  XX02 4```
```10Aug  16.51M  5212  XX01 4```
```19Apr  21.61M  5333  XX02 4```
```04Apr  45.46M   11K  XX01 5```
```28Mar  20.85M  5212  XX01 4```
```28Mar   20.6M  5333  XX02 4```
```28Mar  18.82M  5212  XX01 4```
```10Feb  20.01M  5212  XX01 4```
```------------2021-----------```
```29Dec  20.78M  5212  XX01 4```
```06Dec  20.81M  5212  XX01 4```
```25Nov   18.5M  5333  XX02 4```
```18Nov  19.48M  5333  XX02 4```
```17Nov  20.13M  5333  XX02 4```
```03Nov  20.44M  5333  XX02 4```
```03Nov  19.87M  5212  XX01 4```
```25Oct  44.32M   11K  XX01 5```
```19Oct  47.11M   11K  XX01 5```
_Source: DLD, Databot_
_BUA - built-up area, sq.ft._
_P/sf - price per sq.ft._
_B - bedrooms; O - office_
_M - million, K- thousand_
_S - studio, R - shop_
_*Max 20 latest transactions_
www.trydatabot.com</t>
  </si>
  <si>
    <t>1011112, *SALES*</t>
  </si>
  <si>
    <r>
      <rPr/>
      <t xml:space="preserve">*SALES*
*TRANSACTIONS (RESALE)**
*IMPERIAL AVENUE*
_Area: Downtown_
_Type: 1 bedroom apartment_
```Date   Price  BUA Type P/sf```
```------------2026-----------```
```12Jan   1.4M  873 XX11 1604```
```------------2025-----------```
```30Dec   1.4M  867 XX03 1615```
```30Dec   2.2M  906 XX04 2428```
```23Dec 1.422M  894 XXXX 1591```
```11Dec     3M  989 XX13 3033```
```17Nov     3M  989 XX13 3033```
```05Nov   2.9M 1019 XX11 2846```
```05Nov     3M  876 XX07 3425```
```02Jul  2.45M 1023 XX12 2395```
```30Jun     2M  896 XXXX 2232```
```25Jun  1.95M  876 XX11 2226```
```18Jun   1.9M  826 XX07 2300```
```18Jun     2M  821 XX06 2436```
```18Jun     2M  860 XX05 2326```
```27May     2M  892 XX04 2242```
```27May     2M  870 XX03 2299```
```03Jan   2.2M  836 XX06 2632```
```------------2024-----------```
```09Dec  2.35M  913 XX04 2574```
```07Nov     2M  857 XX07 2334```
```16Jul 2.837M 1020 XX09 2782```
```11Jul  3.94M 1153 XX08 3417```
```11Jun 1.835M  870 XXXX 2109```
```09May  1.84M  857 XXXX 2147```
```09May  3.58M 1054 XXXX 3397```
```06May  2.05M  913 XXXX 2245```
```08Apr 2.275M 1018 XXXX 2235```
```01Mar     2M  878 XX07 2278```
```28Feb 2.386M  913 XX04 2614```
```20Feb  2.48M  826 XX07 3002```
```29Jan   2.2M  887 XX13 2480```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</si>
  <si>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Imperial Avenue</t>
  </si>
  <si>
    <t>1011113, *MARKET</t>
  </si>
  <si>
    <t>*MARKET*
*SNAPSHOT*
*IMPERIAL AVENUE*
_Area: Downtown_
_Type: 1 bedroom apartment_
*Price dynamics, Dirham/sq.ft.*
_(M - median value)_
```3425| *            *       ```
```    |                      ```
```    |                **    ```
```    |               *      ```
```    |  *  *                ```
```    |    *    *         *  ```
```2365|---------------------M```
```    |   *  *** *  *        ```
```    |*          **         ```
```    |                      ```
```1591|                  * **```
```____|______________________```
```    |Jun2024        Jan2026```
_Source: see table below_
*Latest sales transactions*
```Date   Price  BUA Type P/sf```
```------------2026-----------```
```12Jan   1.4M  873 XX11 1604```
```------------2025-----------```
```30Dec   1.4M  867 XX03 1615```
```30Dec   2.2M  906 XX04 2428```
```23Dec 1.422M  894 XXXX 1591```
```11Dec     3M  989 XX13 3033```
```17Nov     3M  989 XX13 3033```
```05Nov   2.9M 1019 XX11 2846```
```05Nov     3M  876 XX07 3425```
```02Jul  2.45M 1023 XX12 2395```
```30Jun     2M  896 XXXX 2232```
```25Jun  1.95M  876 XX11 2226```
```18Jun   1.9M  826 XX07 2300```
```18Jun     2M  821 XX06 2436```
```18Jun     2M  860 XX05 2326```
```27May     2M  892 XX04 2242```
```27May     2M  870 XX03 2299```
```03Jan   2.2M  836 XX06 2632```
```------------2024-----------```
```09Dec  2.35M  913 XX04 2574```
```07Nov     2M  857 XX07 2334```
```16Jul 2.837M 1020 XX09 2782```
```11Jul  3.94M 1153 XX08 3417```
```11Jun 1.835M  870 XXXX 2109```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</si>
  <si>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1011115, *RESELL</t>
  </si>
  <si>
    <t>*RESELL*
*VS PRIMARY*
*IMPERIAL AVENUE*
_Area: Downtown_
_Type: 1 bedroom apartment_
*Price dynamics, Dirham/sq.ft.*
_(x - primary; * - resell)_
```3425|              *       ```
```    |                **    ```
```    |        x      *      ```
```    |          x           ```
```2337|      x  x ***     *  ```
```    |       x              ```
```    |     x                ```
```    |                  * **```
```    |                      ```
```708 |xxxxx                 ```
```____|______________________```
```    |Jul2022        Jan2026```
_Source: see a table below_
*Latest resell transactions*
```Date   Price  BUA Type P/sf```
```------------2026-----------```
```12Jan   1.4M  873 XX11 1604```
```------------2025-----------```
```30Dec   1.4M  867 XX03 1615```
```30Dec   2.2M  906 XX04 2428```
```23Dec 1.422M  894 XXXX 1591```
```11Dec     3M  989 XX13 3033```
```17Nov     3M  989 XX13 3033```
```05Nov   2.9M 1019 XX11 2846```
```05Nov     3M  876 XX07 3425```
```02Jul  2.45M 1023 XX12 2395```
```30Jun     2M  896 XXXX 2232```
```25Jun  1.95M  876 XX11 2226```
```18Jun   1.9M  826 XX07 2300```
```18Jun     2M  821 XX06 2436```
```18Jun     2M  860 XX05 2326```
```27May     2M  892 XX04 2242```
```27May     2M  870 XX03 2299```
```03Jan   2.2M  836 XX06 2632```
*Latest primary transactions*
```------------2025-----------```
```11Dec  2.52M  989 XX13 2548```
```------------2024-----------```
```05Feb  2.28M  989 XX13 2305```
```------------2023-----------```
```31Oct   3.2M 1153 XX08 2775```
```24Jul 1.725M  836 XX06 2063```
```26Jan  2.35M  989 XX13 2376```
```------------2022-----------```
```10Aug 1.997M 1111 XX09 1797```
```03Aug 585.2K  826 XX07  708```
```27Jul 612.6K  864 XX13  709```
```27Jul 585.1K  825 XX11  709```
```26Jul 646.3K  912 XX07  709```
```25Jul 581.6K  822 XX12  708```
```22Jul 585.1K  825 XX11  709```
_Source: DLD, Databot_
_BUA - built-up area, sq.ft._
_P/sf - price per sq.ft._
_B - bedrooms; O - office_
_M - million, K- thousand_
_S - studio, R - shop_
www.trydatabot.com</t>
  </si>
  <si>
    <t>1011116, *SALES*</t>
  </si>
  <si>
    <t>*SALES*
*TRANSACTIONS (RESALE)**
*IMPERIAL AVENUE*
_Area: Downtown_
_Type: 2 bedroom apartment_
```Date   Price  BUA Type P/sf```
```------------2026-----------```
```05Jan 2.732M 1447 XX03 1888```
```------------2025-----------```
```25Dec  3.09M 1501 XX05 2059```
```23Dec 2.426M 1443 XX15 1681```
```12Dec 3.009M 1742 XX07 1728```
```12Dec  3.05M 1375 XX08 2218```
```25Nov   3.7M 1458 XX08 2538```
```21Nov 3.724M 1443 XX15 2581```
```23May   4.6M 1692 XX01 2719```
```11Apr   3.6M 1624 XX09 2217```
```05Mar   3.8M 1531 XXXX 2482```
```21Jan  3.65M 1372 XX18 2660```
```------------2024-----------```
```06Aug  3.95M 1512 XX04 2612```
```05Aug   4.2M 1543 XXXX 2722```
```03Jul   3.5M 1621 XX05 2159```
```06Jun 3.871M 1538 XXXX 2517```
```06May 3.313M 1379 XXXX 2402```
```02May   3.9M 1495 XXXX 2609```
```21Mar  3.92M 1512 XX04 2593```
```15Mar   3.8M 1445 XX15 2630```
```14Mar  4.05M 1497 XXXX 2705```
```07Mar 4.026M 1543 XXXX 2609```
```06Mar  5.04M 1482 XX09 3401```
```29Feb 3.572M 1512 XX04 2362```
```28Feb  4.05M 1543 XXXX 2625```
```28Feb   4.1M 1543 XXXX 2657```
```03Jan 4.067M 1543 XXXX 2636```
```------------2023-----------```
```28Dec 4.067M 1497 XXXX 2717```
```14Dec 4.526M 1445 XX15 3132```
```14Dec 4.116M 1543 XXXX 2668```
```06Dec 3.196M 1508 XX05 2119```
_Source: DLD, Databot_
_BUA - built-up area, sq.ft._
_P/sf - price per sq.ft._
_B - bedrooms; O - office_
_M - million, K- thousand_
_S - studio, R - shop_
_*Max 30 latest transactions_
www.trydatabot.com</t>
  </si>
  <si>
    <t>1011117, *MARKET</t>
  </si>
  <si>
    <t>*MARKET*
*SNAPSHOT*
*IMPERIAL AVENUE*
_Area: Downtown_
_Type: 2 bedroom apartment_
*Price dynamics, Dirham/sq.ft.*
_(M - median value)_
```3401|*                     ```
```    |                      ```
```    |                      ```
```    |                      ```
```    |  **     * *  *       ```
```2560|---------------------M```
```    | *  ** *  * *  **     ```
```    |      *               ```
```    |        *    *   *    ```
```    |                    **```
```1681|                  **  ```
```____|______________________```
```    |Mar2024        Jan2026```
_Source: see table below_
*Latest sales transactions*
```Date   Price  BUA Type P/sf```
```------------2026-----------```
```05Jan 2.732M 1447 XX03 1888```
```------------2025-----------```
```25Dec  3.09M 1501 XX05 2059```
```23Dec 2.426M 1443 XX15 1681```
```12Dec 3.009M 1742 XX07 1728```
```12Dec  3.05M 1375 XX08 2218```
```25Nov   3.7M 1458 XX08 2538```
```21Nov 3.724M 1443 XX15 2581```
```23May   4.6M 1692 XX01 2719```
```11Apr   3.6M 1624 XX09 2217```
```05Mar   3.8M 1531 XXXX 2482```
```21Jan  3.65M 1372 XX18 2660```
```------------2024-----------```
```06Aug  3.95M 1512 XX04 2612```
```05Aug   4.2M 1543 XXXX 2722```
```03Jul   3.5M 1621 XX05 2159```
```06Jun 3.871M 1538 XXXX 2517```
```06May 3.313M 1379 XXXX 2402```
```02May   3.9M 1495 XXXX 2609```
```21Mar  3.92M 1512 XX04 2593```
```15Mar   3.8M 1445 XX15 2630```
```14Mar  4.05M 1497 XXXX 2705```
```07Mar 4.026M 1543 XXXX 2609```
```06Mar  5.04M 1482 XX09 3401```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</si>
  <si>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1011119, *RESELL</t>
  </si>
  <si>
    <t>*RESELL*
*VS PRIMARY*
*IMPERIAL AVENUE*
_Area: Downtown_
_Type: 2 bedroom apartment_
*Price dynamics, Dirham/sq.ft.*
_(x - primary; * - resell)_
```2719|           *  *       ```
```    |          x *  **     ```
```    |             *   *    ```
```    |        xx          * ```
```1915|                     *```
```    |                  **  ```
```    |                      ```
```    |                      ```
```    |                      ```
```709 |xxxxxxxx              ```
```____|______________________```
```    |Jul2022        Jan2026```
_Source: see a table below_
*Latest resell transactions*
```Date   Price  BUA Type P/sf```
```------------2026-----------```
```05Jan 2.732M 1447 XX03 1888```
```------------2025-----------```
```25Dec  3.09M 1501 XX05 2059```
```23Dec 2.426M 1443 XX15 1681```
```12Dec 3.009M 1742 XX07 1728```
```12Dec  3.05M 1375 XX08 2218```
```25Nov   3.7M 1458 XX08 2538```
```21Nov 3.724M 1443 XX15 2581```
```23May   4.6M 1692 XX01 2719```
```11Apr   3.6M 1624 XX09 2217```
```05Mar   3.8M 1531 XXXX 2482```
```21Jan  3.65M 1372 XX18 2660```
```------------2024-----------```
```06Aug  3.95M 1512 XX04 2612```
```05Aug   4.2M 1543 XXXX 2722```
```03Jul   3.5M 1621 XX05 2159```
```06Jun 3.871M 1538 XXXX 2517```
```06May 3.313M 1379 XXXX 2402```
*Latest primary transactions*
```------------2023-----------```
```18Jul 3.675M 1497 XXXX 2455```
```------------2022-----------```
```07Nov     3M 1445 XX15 2076```
```10Aug 2.825M 1379 XX08 2049```
```08Aug 1.037M 1463 XX10  709```
```03Aug 967.4K 1365 XX09  709```
```03Aug 1.078M 1520 XX02  709```
```27Jul  1.08M 1524 XX02  709```
```26Jul 1.027M 1449 XX03  709```
```26Jul 1.069M 1508 XX05  709```
```26Jul 1.029M 1452 XX11  709```
```26Jul 1.027M 1449 XX03  709```
```26Jul 1.149M 1621 XX05  709```
```26Jul 1.029M 1452 XX11  709```
```26Jul 1.027M 1449 XX03  709```
_Source: DLD, Databot_
_BUA - built-up area, sq.ft._
_P/sf - price per sq.ft._
_B - bedrooms; O - office_
_M - million, K- thousand_
_S - studio, R - shop_
www.trydatabot.com</t>
  </si>
  <si>
    <t>1011120, *SALES*</t>
  </si>
  <si>
    <t>*SALES*
*TRANSACTIONS (RESALE)**
*IMPERIAL AVENUE*
_Area: Downtown_
_Type: 3 bedroom apartment_
```Date   Price  BUA Type P/sf```
```------------2025-----------```
```16Dec   6.8M 2074 XX01 3279```
```24Nov 4.273M 1895 XX02 2255```
```21Nov   5.6M 2074 XX01 2700```
```13Nov  5.45M 2187 XXXX 2492```
```20Jun   5.2M 2066 XX06 2517```
```29May   4.9M 1808 XX03 2710```
```27May   4.2M 1922 XX02 2185```
```03Mar  6.35M 2036 XX08 3119```
```21Jan 4.462M 2050 XX01 2177```
```------------2024-----------```
```27Dec 5.203M 1836 XX03 2834```
```17Dec  6.35M 2068 XX10 3071```
```30Sep   4.9M 2072 XX01 2365```
```24Sep 5.537M 1922 XX02 2881```
```10Sep  5.35M 2188 XX14 2445```
```28Aug 4.303M 1936 XX09 2223```
```03Jul   6.4M 2072 XX01 3089```
```23May  6.99M 2188 XXXX 3195```
```08May 5.238M 1958 XXXX 2675```
```08May 5.432M 2024 XXXX 2684```
```08May 4.802M 1864 XXXX 2576```
```26Mar 7.131M 2096 XX01 3402```
```19Mar  4.85M 1922 XX02 2523```
```14Mar 4.773M 1922 XX02 2483```
```13Mar 4.845M 2188 XX14 2214```
```29Feb 4.559M 1947 XX02 2342```
```29Feb   6.9M 2067 XX10 3338```
```29Feb  6.83M 2050 XX01 3332```
```19Feb  7.51M 2035 XX08 3690```
```13Feb  5.35M 1958 XX02 2732```
```13Feb 4.559M 1836 XX03 2483```
_Source: DLD, Databot_
_BUA - built-up area, sq.ft._
_P/sf - price per sq.ft._
_B - bedrooms; O - office_
_M - million, K- thousand_
_S - studio, R - shop_
_*Max 30 latest transactions_
www.trydatabot.com</t>
  </si>
  <si>
    <t>1011121, *MARKET</t>
  </si>
  <si>
    <t>*MARKET*
*SNAPSHOT*
*IMPERIAL AVENUE*
_Area: Downtown_
_Type: 3 bedroom apartment_
*Price dynamics, Dirham/sq.ft.*
_(M - median value)_
```3402| *                    ```
```    |                     *```
```    |     *        *       ```
```    |      *    *          ```
```    |         *            ```
```    |            *         ```
```2680|---------------------M```
```    |   **           *  *  ```
```    |* *              **   ```
```    |        * *           ```
```2177|       *     * *    * ```
```____|______________________```
```    |Mar2024        Dec2025```
_Source: see table below_
*Latest sales transactions*
```Date   Price  BUA Type P/sf```
```------------2025-----------```
```16Dec   6.8M 2074 XX01 3279```
```24Nov 4.273M 1895 XX02 2255```
```21Nov   5.6M 2074 XX01 2700```
```13Nov  5.45M 2187 XXXX 2492```
```20Jun   5.2M 2066 XX06 2517```
```29May   4.9M 1808 XX03 2710```
```27May   4.2M 1922 XX02 2185```
```03Mar  6.35M 2036 XX08 3119```
```21Jan 4.462M 2050 XX01 2177```
```------------2024-----------```
```27Dec 5.203M 1836 XX03 2834```
```17Dec  6.35M 2068 XX10 3071```
```30Sep   4.9M 2072 XX01 2365```
```24Sep 5.537M 1922 XX02 2881```
```10Sep  5.35M 2188 XX14 2445```
```28Aug 4.303M 1936 XX09 2223```
```03Jul   6.4M 2072 XX01 3089```
```23May  6.99M 2188 XXXX 3195```
```08May 5.238M 1958 XXXX 2675```
```08May 5.432M 2024 XXXX 2684```
```08May 4.802M 1864 XXXX 2576```
```26Mar 7.131M 2096 XX01 3402```
```19Mar  4.85M 1922 XX02 2523```
```14Mar 4.773M 1922 XX02 2483```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</si>
  <si>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1011123, *RESELL</t>
  </si>
  <si>
    <t>*RESELL*
*VS PRIMARY*
*IMPERIAL AVENUE*
_Area: Downtown_
_Type: 3 bedroom apartment_
*Price dynamics, Dirham/sq.ft.*
_(x - primary; * - resell)_
```3279|                     *```
```    |           *  *       ```
```    |            *   *  *  ```
```    |                 **   ```
```2251|       x x   * *    * ```
```    |        x x           ```
```    |                      ```
```    |                      ```
```    |                      ```
```709 |xxxxxxx               ```
```____|______________________```
```    |Jul2022        Dec2025```
_Source: see a table below_
*Latest resell transactions*
```Date   Price  BUA Type P/sf```
```------------2025-----------```
```16Dec   6.8M 2074 XX01 3279```
```24Nov 4.273M 1895 XX02 2255```
```21Nov   5.6M 2074 XX01 2700```
```13Nov  5.45M 2187 XXXX 2492```
```20Jun   5.2M 2066 XX06 2517```
```29May   4.9M 1808 XX03 2710```
```27May   4.2M 1922 XX02 2185```
```03Mar  6.35M 2036 XX08 3119```
```21Jan 4.462M 2050 XX01 2177```
```------------2024-----------```
```27Dec 5.203M 1836 XX03 2834```
```17Dec  6.35M 2068 XX10 3071```
```30Sep   4.9M 2072 XX01 2365```
```24Sep 5.537M 1922 XX02 2881```
```10Sep  5.35M 2188 XX14 2445```
```28Aug 4.303M 1936 XX09 2223```
```03Jul   6.4M 2072 XX01 3089```
```23May  6.99M 2188 XXXX 3195```
*Latest primary transactions*
```------------2022-----------```
```18Oct   4.3M 2067 XX10 2080```
```30Aug 4.996M 2188 XX14 2283```
```10Aug 3.985M 1922 XX02 2073```
```10Aug 4.753M 2050 XX01 2319```
```25Jul 1.453M 2050 XX01  709```
```21Jul 1.551M 2188 XX14  709```
```12Jul 1.388M 1958 XX02  709```
```12Jul 1.321M 1864 XX03  709```
```12Jul 1.388M 1958 XX02  709```
```12Jul 1.321M 1864 XX03  709```
```07Jul 1.301M 1836 XX03  709```
```06Jul 1.469M 2072 XX01  709```
```06Jul 1.301M 1836 XX03  709```
```06Jul 1.486M 2096 XX01  709```
```06Jul 1.435M 2024 XX01  709```
_Source: DLD, Databot_
_BUA - built-up area, sq.ft._
_P/sf - price per sq.ft._
_B - bedrooms; O - office_
_M - million, K- thousand_
_S - studio, R - shop_
www.trydatabot.com</t>
  </si>
  <si>
    <t>1011124, *SALES*</t>
  </si>
  <si>
    <t>*SALES*
*TRANSACTIONS (RESALE)**
*IMPERIAL AVENUE*
_Area: Downtown_
_Type: 4 bedroom apartment_
```Date   Price  BUA Type P/sf```
```------------2025-----------```
```21Nov 12.47M 5130 XX06 2431```
```21Nov  14.8M 5130 XX06 2885```
```05Feb  12.7M 3143 XX07 4041```
```------------2024-----------```
```27Dec 17.55M 5659 XX06 3101```
```20Nov  12.7M 3143 XX07 4041```
```05Nov 7.716M 3066 XX07 2517```
```13Sep  13.9M 5659 XX06 2456```
```14Mar 11.77M 3143 XX07 3745```
```------------2023-----------```
```27Nov 11.75M 3258 XX06 3607```
```23Oct  11.5M 3263 XX07 3524```
```15Sep    20M 5492 XX06 3642```
```15Sep    11M 3143 XX07 3500```
```22Aug 11.46M 3252 XX07 3523```
```11Jul  11.5M 3257 XX06 3531```
```11Jul  10.3M 3066 XX07 3359```
```10May  15.1M 5201 XX05 2903```
```31Jan 9.991M 3143 XX07 3179```
```------------2022-----------```
```21Nov   9.1M 3066 XX07 2968```
```06Jul 2.174M 3066 XX07  709```
_Source: DLD, Databot_
_BUA - built-up area, sq.ft._
_P/sf - price per sq.ft._
_B - bedrooms; O - office_
_M - million, K- thousand_
_S - studio, R - shop_
_*Max 30 latest transactions_
www.trydatabot.com</t>
  </si>
  <si>
    <t>1011125, *MARKET</t>
  </si>
  <si>
    <t>*MARKET*
*SNAPSHOT*
*IMPERIAL AVENUE*
_Area: Downtown_
_Type: 4 bedroom apartment_
*Price dynamics, Dirham/sq.ft.*
_(M - median value)_
```4041|                 * *  ```
```    |           * **       ```
```3359|---------------------M```
```    |       **** *         ```
```    |    ***           * * ```
```    |                      ```
```    |               **    *```
```    |                      ```
```    |                      ```
```    |                      ```
```709 |   *                  ```
```____|______________________```
```    |Jul2022        Nov2025```
_Source: see table below_
*Latest sales transactions*
```Date   Price  BUA Type P/sf```
```------------2025-----------```
```21Nov 12.47M 5130 XX06 2431```
```21Nov  14.8M 5130 XX06 2885```
```05Feb  12.7M 3143 XX07 4041```
```------------2024-----------```
```27Dec 17.55M 5659 XX06 3101```
```20Nov  12.7M 3143 XX07 4041```
```05Nov 7.716M 3066 XX07 2517```
```13Sep  13.9M 5659 XX06 2456```
```14Mar 11.77M 3143 XX07 3745```
```------------2023-----------```
```27Nov 11.75M 3258 XX06 3607```
```23Oct  11.5M 3263 XX07 3524```
```15Sep    20M 5492 XX06 3642```
```15Sep    11M 3143 XX07 3500```
```22Aug 11.46M 3252 XX07 3523```
```11Jul  11.5M 3257 XX06 3531```
```11Jul  10.3M 3066 XX07 3359```
```10May  15.1M 5201 XX05 2903```
```31Jan 9.991M 3143 XX07 3179```
```------------2022-----------```
```21Nov   9.1M 3066 XX07 2968```
```06Jul 2.174M 3066 XX07  709```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</si>
  <si>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1011127, *RESELL</t>
  </si>
  <si>
    <t>*RESELL*
*VS PRIMARY*
*IMPERIAL AVENUE*
_Area: Downtown_
_Type: 4 bedroom apartment_
*Price dynamics, Dirham/sq.ft.*
_(x - primary; * - resell)_
```4041|                 * *  ```
```    |           * **       ```
```    |            *         ```
```    |                  * * ```
```2709|                      ```
```    |               **    *```
```    |                      ```
```    |                      ```
```    |                      ```
```709 |xxxxxxxxxxx           ```
```____|______________________```
```    |Jul2022        Nov2025```
_Source: see a table below_
*Latest resell transactions*
```Date   Price  BUA Type P/sf```
```------------2025-----------```
```21Nov 12.47M 5130 XX06 2431```
```21Nov  14.8M 5130 XX06 2885```
```05Feb  12.7M 3143 XX07 4041```
```------------2024-----------```
```27Dec 17.55M 5659 XX06 3101```
```20Nov  12.7M 3143 XX07 4041```
```05Nov 7.716M 3066 XX07 2517```
```13Sep  13.9M 5659 XX06 2456```
```14Mar 11.77M 3143 XX07 3745```
```------------2023-----------```
```27Nov 11.75M 3258 XX06 3607```
```23Oct  11.5M 3263 XX07 3524```
```15Sep    20M 5492 XX06 3642```
```15Sep    11M 3143 XX07 3500```
```22Aug 11.46M 3252 XX07 3523```
```11Jul  11.5M 3257 XX06 3531```
```11Jul  10.3M 3066 XX07 3359```
```10May  15.1M 5201 XX05 2903```
*Latest primary transactions*
```------------2022-----------```
```19Jul 3.651M 5151 XX06  709```
```19Jul 3.651M 5151 XX06  709```
```19Jul 4.011M 5659 XX06  709```
```12Jul 2.174M 3066 XX07  709```
```12Jul 4.011M 5659 XX06  709```
```06Jul 2.174M 3066 XX07  709```
```06Jul 3.893M 5492 XX06  709```
```06Jul 2.228M 3143 XX07  709```
```06Jul 2.228M 3143 XX07  709```
```06Jul 2.309M 3257 XX06  709```
```06Jul 2.313M 3263 XX07  709```
```06Jul 2.309M 3258 XX06  709```
```06Jul 2.228M 3143 XX07  709```
```30Jun 2.305M 3252 XX07  709```
```19Jan 7.712M 3143 XX07 2454```
_Source: DLD, Databot_
_BUA - built-up area, sq.ft._
_P/sf - price per sq.ft._
_B - bedrooms; O - office_
_M - million, K- thousand_
_S - studio, R - shop_
www.trydatabot.com</t>
  </si>
  <si>
    <t>1011128, *SALES*</t>
  </si>
  <si>
    <t>*SALES*
*TRANSACTIONS (RESALE)**
*IMPERIAL AVENUE*
_Area: Downtown_
_Type: 5 bedroom apartment_
```Date   Price  BUA Type P/sf```
```------------2024-----------```
```12Nov 19.64M 5849 XX02 3357```
```14May 21.83M 5527 XXXX 3949```
```14May 23.53M 5849 XXXX 4023```
```------------2023-----------```
```01May  24.4M 5938 XX16 4109```
```28Mar 20.85M 5527 XX01 3772```
```21Feb  19.5M 5527 XX01 3528```
```17Jan 21.94M 5849 XX02 3751```
_Source: DLD, Databot_
_BUA - built-up area, sq.ft._
_P/sf - price per sq.ft._
_B - bedrooms; O - office_
_M - million, K- thousand_
_S - studio, R - shop_
_*Max 30 latest transactions_
www.trydatabot.com</t>
  </si>
  <si>
    <t>1011129, *MARKET</t>
  </si>
  <si>
    <t>*MARKET*
*SNAPSHOT*
*IMPERIAL AVENUE*
_Area: Downtown_
_Type: 5 bedroom apartment_
*Price dynamics, Dirham/sq.ft.*
_(M - median value)_
```4109|                  *   ```
```    |                   *  ```
```    |                    * ```
```    |                      ```
```3772|---------------------M```
```    |                 *    ```
```    |               *      ```
```    |                      ```
```    |                      ```
```    |                *     ```
```3357|                     *```
```____|______________________```
```    |Jan2023        Nov2024```
_Source: see table below_
*Latest sales transactions*
```Date   Price  BUA Type P/sf```
```------------2024-----------```
```12Nov 19.64M 5849 XX02 3357```
```14May 21.83M 5527 XXXX 3949```
```14May 23.53M 5849 XXXX 4023```
```------------2023-----------```
```01May  24.4M 5938 XX16 4109```
```28Mar 20.85M 5527 XX01 3772```
```21Feb  19.5M 5527 XX01 3528```
```17Jan 21.94M 5849 XX02 3751```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</si>
  <si>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1011131, *RESELL</t>
  </si>
  <si>
    <t>*RESELL*
*VS PRIMARY*
*IMPERIAL AVENUE*
_Area: Downtown_
_Type: 5 bedroom apartment_
*Price dynamics, Dirham/sq.ft.*
_(x - primary; * - resell)_
```4109|                  *** ```
```    |               * *    ```
```    |                *    *```
```    |                      ```
```2749|                      ```
```    |                      ```
```    |          x           ```
```    |  x                   ```
```    |                      ```
```709 |   xxxxxxx            ```
```____|______________________```
```    |Dec1899        Nov2024```
_Source: see a table below_
*Latest resell transactions*
```Date   Price  BUA Type P/sf```
```------------2024-----------```
```12Nov 19.64M 5849 XX02 3357```
```14May 21.83M 5527 XXXX 3949```
```14May 23.53M 5849 XXXX 4023```
```------------2023-----------```
```01May  24.4M 5938 XX16 4109```
```28Mar 20.85M 5527 XX01 3772```
```21Feb  19.5M 5527 XX01 3528```
```17Jan 21.94M 5849 XX02 3751```
*Latest primary transactions*
```------------2022-----------```
```11Aug  12.5M 5938 XX16 2105```
```06Jul 4.146M 5849 XX02  709```
```06Jul 3.917M 5527 XX01  709```
```06Jul 3.917M 5527 XX01  709```
```06Jul 4.146M 5849 XX02  709```
```06Jul 3.917M 5527 XX01  709```
```06Jul 4.146M 5849 XX02  709```
```30Jun 3.917M 5527 XX01  709```
```------------2021-----------```
```03Mar 11.01M 5936 XX15 1855```
_Source: DLD, Databot_
_BUA - built-up area, sq.ft._
_P/sf - price per sq.ft._
_B - bedrooms; O - office_
_M - million, K- thousand_
_S - studio, R - shop_
www.trydatabot.com</t>
  </si>
  <si>
    <t>1011140, *SALES*</t>
  </si>
  <si>
    <t>*SALES*
*TRANSACTIONS (RESALE)**
*IMPERIAL AVENUE*
_Area: Downtown_
_Type: shop_
```Date   Price  BUA Type P/sf```
```------------2025-----------```
```24Nov 12.62M 2576 XXXX 4900```
```21Nov 11.14M 2457 XXXX 4536```
```------------2024-----------```
```30Dec   5.7M 1107 XXXX 5149```
```06Sep 5.535M 1107 XXXX 5000```
```16Jul 5.341M 1107 XXXX 4825```
```12Jul 5.536M 1107 XXXX 5001```
```10Jun 17.53M 3577 XXXX 4901```
```28May 17.78M 3556 XXXX 5000```
_Source: DLD, Databot_
_BUA - built-up area, sq.ft._
_P/sf - price per sq.ft._
_B - bedrooms; O - office_
_M - million, K- thousand_
_S - studio, R - shop_
_*Max 30 latest transactions_
www.trydatabot.com</t>
  </si>
  <si>
    <t>1011141, *MARKET</t>
  </si>
  <si>
    <t>*MARKET*
*SNAPSHOT*
*IMPERIAL AVENUE*
_Area: Downtown_
_Type: shop_
*Price dynamics, Dirham/sq.ft.*
_(M - median value)_
```5149|                   *  ```
```    |                      ```
```    |              * * *   ```
```4951|---------------------M```
```    |                      ```
```    |               *     *```
```    |                 *    ```
```    |                      ```
```    |                      ```
```    |                      ```
```4536|                    * ```
```____|______________________```
```    |May2024        Nov2025```
_Source: see table below_
*Latest sales transactions*
```Date   Price  BUA Type P/sf```
```------------2025-----------```
```24Nov 12.62M 2576 XXXX 4900```
```21Nov 11.14M 2457 XXXX 4536```
```------------2024-----------```
```30Dec   5.7M 1107 XXXX 5149```
```06Sep 5.535M 1107 XXXX 5000```
```16Jul 5.341M 1107 XXXX 4825```
```12Jul 5.536M 1107 XXXX 5001```
```10Jun 17.53M 3577 XXXX 4901```
```28May 17.78M 3556 XXXX 5000```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</si>
  <si>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1011143, *RESELL</t>
  </si>
  <si>
    <t>*RESELL*
*VS PRIMARY*
*IMPERIAL AVENUE*
_Area: Downtown_
_Type: shop_
*Price dynamics, Dirham/sq.ft.*
_(x - primary; * - resell)_
```5149|              * * **  ```
```    |               * *  **```
```    |                      ```
```    |                      ```
```3373|                      ```
```    |                      ```
```    |                      ```
```    |                      ```
```    |                      ```
```709 |   xxxxxxxx           ```
```____|______________________```
```    |Dec1899        Nov2025```
_Source: see a table below_
*Latest resell transactions*
```Date   Price  BUA Type P/sf```
```------------2025-----------```
```24Nov 12.62M 2576 XXXX 4900```
```21Nov 11.14M 2457 XXXX 4536```
```------------2024-----------```
```30Dec   5.7M 1107 XXXX 5149```
```06Sep 5.535M 1107 XXXX 5000```
```16Jul 5.341M 1107 XXXX 4825```
```12Jul 5.536M 1107 XXXX 5001```
```10Jun 17.53M 3577 XXXX 4901```
```28May 17.78M 3556 XXXX 5000```
*Latest primary transactions*
```------------2022-----------```
```11Aug 2.536M 3577 XXXX  709```
```07Jul 784.8K 1107 XXXX  709```
```30Jun 2.521M 3556 XXXX  709```
```30Jun 784.8K 1107 XXXX  709```
```30Jun 2.583M 3644 XXXX  709```
```30Jun 2.277M 3213 XXXX  709```
```30Jun 784.8K 1107 XXXX  709```
```30Jun 784.8K 1107 XXXX  709```
_Source: DLD, Databot_
_BUA - built-up area, sq.ft._
_P/sf - price per sq.ft._
_B - bedrooms; O - office_
_M - million, K- thousand_
_S - studio, R - shop_
www.trydatabot.com</t>
  </si>
  <si>
    <t>1011157, *SALES*</t>
  </si>
  <si>
    <t>*SALES*
*TRANSACTIONS (RESALE)**
*IMPERIAL AVENUE*
_Area: Downtown_
_All types/bedrooms_
```Date    Price   BUA  Type B```
```------------2026-----------```
```12Jan    1.4M   873  XX11 1```
```05Jan  2.732M  1447  XX03 2```
```------------2025-----------```
```30Dec    1.4M   867  XX03 1```
```30Dec    2.2M   906  XX04 1```
```25Dec   3.09M  1501  XX05 2```
```23Dec  1.422M   894  XXXX 1```
```23Dec  2.426M  1443  XX15 2```
```16Dec    6.8M  2074  XX01 3```
```12Dec  3.009M  1742  XX07 2```
```12Dec   3.05M  1375  XX08 2```
```11Dec      3M   989  XX13 1```
```25Nov    3.7M  1458  XX08 2```
```24Nov  12.62M  2576  XXXX R```
```24Nov  4.273M  1895  XX02 3```
```21Nov  3.724M  1443  XX15 2```
```21Nov  12.47M  5130  XX06 4```
```21Nov    5.6M  2074  XX01 3```
```21Nov  11.14M  2457  XXXX R```
```21Nov   14.8M  5130  XX06 4```
```17Nov      3M   989  XX13 1```
```13Nov   5.45M  2187  XXXX 3```
```05Nov    2.9M  1019  XX11 1```
```05Nov      3M   876  XX07 1```
```02Jul   2.45M  1023  XX12 1```
```30Jun      2M   896  XXXX 1```
```25Jun   1.95M   876  XX11 1```
```20Jun    5.2M  2066  XX06 3```
```18Jun    1.9M   826  XX07 1```
```18Jun      2M   821  XX06 1```
```18Jun      2M   860  XX05 1```
_Source: DLD, Databot_
_BUA - built-up area, sq.ft._
_P/sf - price per sq.ft._
_B - bedrooms; O - office_
_M - million, K- thousand_
_S - studio, R - shop_
_*Max 30 latest transactions_
www.trydatabot.com</t>
  </si>
  <si>
    <t>1011158, Imperial Avenue, *BUILDI</t>
  </si>
  <si>
    <t xml:space="preserve">*BUILDING*
*PROFILE*
*IMPERIAL AVENUE*
_Area: Downtown_
_Tap&amp;hold to copy a reply_
```-------------------------```
```Report              Reply```
```-------------------------```
*1 B/R*
```Resell, ROI       1011112```
```Primary sales     1011160```
```Price chart       1011113```
```Rentals               n/a```
```Appreciation      1011115```
*2 B/R*
```Resell, ROI       1011116```
```Primary sales     1011161```
```Price chart       1011117```
```Rentals               n/a```
```Appreciation      1011119```
*3 B/R*
```Resell, ROI       1011120```
```Primary sales     1011162```
```Price chart       1011121```
```Rentals               n/a```
```Appreciation      1011123```
*4 B/R*
```Resell, ROI       1011124```
```Primary sales     1011163```
```Price chart       1011125```
```Rentals               n/a```
```Appreciation      1011127```
*5 B/R*
```Resell, ROI       1011128```
```Primary sales     1011164```
```Price chart       1011129```
```Rentals               n/a```
```Appreciation      1011131```
*Shop*
```Resell, ROI       1011140```
```Primary sales     1011167```
```Price chart       1011141```
```Rentals               n/a```
```Appreciation      1011143```
*All types/bedrooms*
```Resell, ROI       1011157```
```Primary sales     1011171```
```Rentals               n/a```
</t>
  </si>
  <si>
    <t>1011160, *SALES*</t>
  </si>
  <si>
    <t>*SALES*
*TRANSACTIONS (PRIMARY)**
*IMPERIAL AVENUE*
_Area: Downtown_
_Type: 1 bedroom apartment_
```Date   Price  BUA Type P/sf```
```------------2025-----------```
```11Dec  2.52M  989 XX13 2548```
```------------2024-----------```
```05Feb  2.28M  989 XX13 2305```
```------------2023-----------```
```31Oct   3.2M 1153 XX08 2775```
```24Jul 1.725M  836 XX06 2063```
```26Jan  2.35M  989 XX13 2376```
```------------2022-----------```
```10Aug 1.997M 1111 XX09 1797```
```03Aug 585.2K  826 XX07  708```
```27Jul 612.6K  864 XX13  709```
```27Jul 585.1K  825 XX11  709```
```26Jul 646.3K  912 XX07  709```
```25Jul 581.6K  822 XX12  708```
```22Jul 585.1K  825 XX11  709```
```06Jul 817.2K 1153 XX08  709```
```06Jul 817.2K 1153 XX08  709```
```30Jun   647K  913 XX04  709```
```30Jun   647K  913 XX04  709```
```30Jun 747.4K 1054 XX05  709```
```30Jun   647K  913 XX04  709```
```30Jun   647K  913 XX04  709```
```29Jun 722.9K 1020 XX09  709```
_Source: DLD, Databot_
_BUA - built-up area, sq.ft._
_P/sf - price per sq.ft._
_B - bedrooms; O - office_
_M - million, K- thousand_
_S - studio, R - shop_
_*Max 20 latest transactions_
www.trydatabot.com</t>
  </si>
  <si>
    <t>1011161, *SALES*</t>
  </si>
  <si>
    <t>*SALES*
*TRANSACTIONS (PRIMARY)**
*IMPERIAL AVENUE*
_Area: Downtown_
_Type: 2 bedroom apartment_
```Date   Price  BUA Type P/sf```
```------------2023-----------```
```18Jul 3.675M 1497 XXXX 2455```
```------------2022-----------```
```07Nov     3M 1445 XX15 2076```
```10Aug 2.825M 1379 XX08 2049```
```08Aug 1.037M 1463 XX10  709```
```03Aug 967.4K 1365 XX09  709```
```03Aug 1.078M 1520 XX02  709```
```27Jul  1.08M 1524 XX02  709```
```26Jul 1.027M 1449 XX03  709```
```26Jul 1.069M 1508 XX05  709```
```26Jul 1.029M 1452 XX11  709```
```26Jul 1.027M 1449 XX03  709```
```26Jul 1.149M 1621 XX05  709```
```26Jul 1.029M 1452 XX11  709```
```26Jul 1.027M 1449 XX03  709```
```25Jul 1.199M 1692 XX01  709```
```12Jul 1.061M 1497 XX05  709```
```12Jul 1.094M 1543 XX04  709```
```07Jul 1.072M 1512 XX04  709```
```07Jul  1.06M 1495 XX05  709```
```06Jul 1.094M 1543 XX04  709```
_Source: DLD, Databot_
_BUA - built-up area, sq.ft._
_P/sf - price per sq.ft._
_B - bedrooms; O - office_
_M - million, K- thousand_
_S - studio, R - shop_
_*Max 20 latest transactions_
www.trydatabot.com</t>
  </si>
  <si>
    <t>1011162, *SALES*</t>
  </si>
  <si>
    <t>*SALES*
*TRANSACTIONS (PRIMARY)**
*IMPERIAL AVENUE*
_Area: Downtown_
_Type: 3 bedroom apartment_
```Date   Price  BUA Type P/sf```
```------------2022-----------```
```18Oct   4.3M 2067 XX10 2080```
```30Aug 4.996M 2188 XX14 2283```
```10Aug 3.985M 1922 XX02 2073```
```10Aug 4.753M 2050 XX01 2319```
```25Jul 1.453M 2050 XX01  709```
```21Jul 1.551M 2188 XX14  709```
```12Jul 1.388M 1958 XX02  709```
```12Jul 1.321M 1864 XX03  709```
```12Jul 1.388M 1958 XX02  709```
```12Jul 1.321M 1864 XX03  709```
```07Jul 1.301M 1836 XX03  709```
```06Jul 1.469M 2072 XX01  709```
```06Jul 1.301M 1836 XX03  709```
```06Jul 1.486M 2096 XX01  709```
```06Jul 1.435M 2024 XX01  709```
```06Jul 1.443M 2035 XX08  709```
```06Jul 1.486M 2096 XX01  709```
```06Jul 1.388M 1958 XX02  709```
```06Jul 1.486M 2096 XX01  709```
```06Jul 1.388M 1958 XX02  709```
_Source: DLD, Databot_
_BUA - built-up area, sq.ft._
_P/sf - price per sq.ft._
_B - bedrooms; O - office_
_M - million, K- thousand_
_S - studio, R - shop_
_*Max 20 latest transactions_
www.trydatabot.com</t>
  </si>
  <si>
    <t>1011163, *SALES*</t>
  </si>
  <si>
    <t>*SALES*
*TRANSACTIONS (PRIMARY)**
*IMPERIAL AVENUE*
_Area: Downtown_
_Type: 4 bedroom apartment_
```Date   Price  BUA Type P/sf```
```------------2022-----------```
```19Jul 3.651M 5151 XX06  709```
```19Jul 3.651M 5151 XX06  709```
```19Jul 4.011M 5659 XX06  709```
```12Jul 2.174M 3066 XX07  709```
```12Jul 4.011M 5659 XX06  709```
```06Jul 2.174M 3066 XX07  709```
```06Jul 3.893M 5492 XX06  709```
```06Jul 2.228M 3143 XX07  709```
```06Jul 2.228M 3143 XX07  709```
```06Jul 2.309M 3257 XX06  709```
```06Jul 2.313M 3263 XX07  709```
```06Jul 2.309M 3258 XX06  709```
```06Jul 2.228M 3143 XX07  709```
```30Jun 2.305M 3252 XX07  709```
```19Jan 7.712M 3143 XX07 2454```
```04Jan 7.004M 4380 XX05 1599```
```------------2021-----------```
```20Oct  7.77M 4244 XX14 1831```
```06Jul    11M 5151 XX06 2136```
```06Jul  12.8M 5659 XX06 2262```
```14Jun  12.5M 5201 XX05 2403```
_Source: DLD, Databot_
_BUA - built-up area, sq.ft._
_P/sf - price per sq.ft._
_B - bedrooms; O - office_
_M - million, K- thousand_
_S - studio, R - shop_
_*Max 20 latest transactions_
www.trydatabot.com</t>
  </si>
  <si>
    <t>1011164, *SALES*</t>
  </si>
  <si>
    <t>*SALES*
*TRANSACTIONS (PRIMARY)**
*IMPERIAL AVENUE*
_Area: Downtown_
_Type: 5 bedroom apartment_
```Date   Price  BUA Type P/sf```
```------------2022-----------```
```11Aug  12.5M 5938 XX16 2105```
```06Jul 4.146M 5849 XX02  709```
```06Jul 3.917M 5527 XX01  709```
```06Jul 3.917M 5527 XX01  709```
```06Jul 4.146M 5849 XX02  709```
```06Jul 3.917M 5527 XX01  709```
```06Jul 4.146M 5849 XX02  709```
```30Jun 3.917M 5527 XX01  709```
```------------2021-----------```
```03Mar 11.01M 5936 XX15 1855```
_Source: DLD, Databot_
_BUA - built-up area, sq.ft._
_P/sf - price per sq.ft._
_B - bedrooms; O - office_
_M - million, K- thousand_
_S - studio, R - shop_
_*Max 20 latest transactions_
www.trydatabot.com</t>
  </si>
  <si>
    <t>1011167, *SALES*</t>
  </si>
  <si>
    <t>*SALES*
*TRANSACTIONS (PRIMARY)**
*IMPERIAL AVENUE*
_Area: Downtown_
_Type: shop_
```Date   Price  BUA Type P/sf```
```------------2022-----------```
```11Aug 2.536M 3577 XXXX  709```
```07Jul 784.8K 1107 XXXX  709```
```30Jun 2.521M 3556 XXXX  709```
```30Jun 784.8K 1107 XXXX  709```
```30Jun 2.583M 3644 XXXX  709```
```30Jun 2.277M 3213 XXXX  709```
```30Jun 784.8K 1107 XXXX  709```
```30Jun 784.8K 1107 XXXX  709```
_Source: DLD, Databot_
_BUA - built-up area, sq.ft._
_P/sf - price per sq.ft._
_B - bedrooms; O - office_
_M - million, K- thousand_
_S - studio, R - shop_
_*Max 20 latest transactions_
www.trydatabot.com</t>
  </si>
  <si>
    <t>1011171, *SALES*</t>
  </si>
  <si>
    <t>*SALES*
*TRANSACTIONS (PRIMARY)**
*IMPERIAL AVENUE*
_Area: Downtown_
_All types/bedrooms_
```Date    Price   BUA  Type B```
```------------2025-----------```
```11Dec   2.52M   989  XX13 1```
```------------2024-----------```
```05Feb   2.28M   989  XX13 1```
```------------2023-----------```
```31Oct    3.2M  1153  XX08 1```
```24Jul  1.725M   836  XX06 1```
```18Jul  3.675M  1497  XXXX 2```
```26Jan   2.35M   989  XX13 1```
```------------2022-----------```
```07Nov      3M  1445  XX15 2```
```18Oct    4.3M  2067  XX10 3```
```30Aug  4.996M  2188  XX14 3```
```11Aug   12.5M  5938  XX16 5```
```11Aug  2.536M  3577  XXXX R```
```10Aug  2.825M  1379  XX08 2```
```10Aug  3.985M  1922  XX02 3```
```10Aug  4.753M  2050  XX01 3```
```10Aug  1.997M  1111  XX09 1```
```08Aug  1.037M  1463  XX10 2```
```03Aug  967.4K  1365  XX09 2```
```03Aug  585.2K   826  XX07 1```
```03Aug  1.078M  1520  XX02 2```
```29Jul  10.56M   15K  XXXX P```
_Source: DLD, Databot_
_BUA - built-up area, sq.ft._
_P/sf - price per sq.ft._
_B - bedrooms; O - office_
_M - million, K- thousand_
_S - studio, R - shop_
_*Max 20 latest transactions_
www.trydatabot.com</t>
  </si>
  <si>
    <t>1011176, *SALES*</t>
  </si>
  <si>
    <t>*SALES*
*TRANSACTIONS**
*KAMOON 1*
_Area: Downtown_
_Type: 1 bedroom apartment_
```Date   Price  BUA Type P/sf```
```------------2025-----------```
```26Nov   3.2M 1508 XXXX 2122```
```12Nov  2.05M  791 XXXX 2592```
```18Sep  2.61M  965 XXXX 2705```
```22Jul 2.501M  965 XXXX 2592```
```02Jun  1.65M  965 XXXX 1710```
```11Mar   2.1M  951 XX06 2208```
```03Feb 2.525M 1580 XXXX 1598```
```------------2024-----------```
```05Aug   1.7M 1076 XX02 1580```
```08Jul  1.85M  951 XX06 1945```
```05Jul  2.25M 1076 XX02 2091```
```14Jun  1.85M  951 XX05 1945```
```07Mar  1.85M 1076 XXXX 1719```
```------------2023-----------```
```17Nov  1.65M  940 XXXX 1755```
```25Apr   1.8M 2245 XXXX  802```
```12Apr  1.65M  965 XX06 1710```
```21Feb   1.1M  791 XX12 1391```
```------------2022-----------```
```27Dec  1.25M  791 XX12 1580```
```28Nov 1.475M  954 XX02 1546```
```14Oct   994K  791 XX12 1257```
```22Jun  1.58M 1008 XXXX 1567```
```21Mar  1.55M 1076 XXXX 1441```
```02Mar   1.5M 1580 XXXX  949```
```------------2021-----------```
```28Dec  1.25M  914 XXXX 1368```
```30Nov   1.5M  965 XX06 1554```
```24Feb  1.15M  866 XXXX 1328```
```21Feb 1.025M  954 XX02 1074```
```------------2020-----------```
```13Jul   1.3M 1076 XXXX 1208```
```------------2019-----------```
```12Dec 887.4K  914 XXXX  971```
```04Nov  1.35M 1580 XXXX  854```
```16Oct 1.025M  951 XX05 1078```
_Source: DLD, Databot_
_BUA - built-up area, sq.ft._
_P/sf - price per sq.ft._
_B - bedrooms; O - office_
_M - million, K- thousand_
_S - studio, R - shop_
_*Max 30 latest transactions_
www.trydatabot.com</t>
  </si>
  <si>
    <t>Kamoon 1</t>
  </si>
  <si>
    <t>1011177, *MARKET</t>
  </si>
  <si>
    <t>*MARKET*
*SNAPSHOT*
*KAMOON 1*
_Area: Downtown_
_Type: 1 bedroom apartment_
*Price dynamics, Dirham/sq.ft.*
_(M - median value)_
```2705|                   *  ```
```    |                  * * ```
```    |                      ```
```    |            *   *    *```
```    |           * *        ```
```1710|---------------------M```
```    |       * **      *    ```
```    |  * **        **      ```
```    | *    *               ```
```    |   *                  ```
```802 |*       *             ```
```____|______________________```
```    |Mar2022        Nov2025```
_Source: see table below_
*Latest sales transactions*
```Date   Price  BUA Type P/sf```
```------------2025-----------```
```26Nov   3.2M 1508 XXXX 2122```
```12Nov  2.05M  791 XXXX 2592```
```18Sep  2.61M  965 XXXX 2705```
```22Jul 2.501M  965 XXXX 2592```
```02Jun  1.65M  965 XXXX 1710```
```11Mar   2.1M  951 XX06 2208```
```03Feb 2.525M 1580 XXXX 1598```
```------------2024-----------```
```05Aug   1.7M 1076 XX02 1580```
```08Jul  1.85M  951 XX06 1945```
```05Jul  2.25M 1076 XX02 2091```
```14Jun  1.85M  951 XX05 1945```
```07Mar  1.85M 1076 XXXX 1719```
```------------2023-----------```
```17Nov  1.65M  940 XXXX 1755```
```25Apr   1.8M 2245 XXXX  802```
```12Apr  1.65M  965 XX06 1710```
```21Feb   1.1M  791 XX12 1391```
```------------2022-----------```
```27Dec  1.25M  791 XX12 1580```
```28Nov 1.475M  954 XX02 1546```
```14Oct   994K  791 XX12 1257```
```22Jun  1.58M 1008 XXXX 1567```
```21Mar  1.55M 1076 XXXX 1441```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</si>
  <si>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1011180, *SALES*</t>
  </si>
  <si>
    <t>*SALES*
*TRANSACTIONS**
*KAMOON 1*
_Area: Downtown_
_Type: 2 bedroom apartment_
```Date   Price  BUA Type P/sf```
```------------2024-----------```
```07Aug   3.3M 1874 XXXX 1761```
```14Jun 2.725M 1874 XXXX 1454```
```------------2023-----------```
```06Mar  2.39M 1419 XX01 1684```
```------------2022-----------```
```17Nov     2M 2755 XXXX  726```
```------------2021-----------```
```19Dec   1.9M 1352 XX07 1405```
```10Oct   2.8M 1999 XXXX 1401```
```05Sep   2.1M 1451 XX04 1447```
```28Jun  1.92M 1653 XXXX 1162```
```------------2020-----------```
```24Dec   1.6M 1352 XX07 1183```
```14Oct  1.45M 1419 XX01 1022```
```06Apr  1.65M 1352 XX07 1220```
```------------2019-----------```
```13Nov  1.65M 1413 XX01 1168```
```17Feb   1.6M 1052 XX10 1521```
```------------2018-----------```
```18Sep   2.2M 1413 XX01 1557```
_Source: DLD, Databot_
_BUA - built-up area, sq.ft._
_P/sf - price per sq.ft._
_B - bedrooms; O - office_
_M - million, K- thousand_
_S - studio, R - shop_
_*Max 30 latest transactions_
www.trydatabot.com</t>
  </si>
  <si>
    <t>1011181, *MARKET</t>
  </si>
  <si>
    <t>*MARKET*
*SNAPSHOT*
*KAMOON 1*
_Area: Downtown_
_Type: 2 bedroom apartment_
*Price dynamics, Dirham/sq.ft.*
_(M - median value)_
```1761|                     *```
```    |                   *  ```
```    |        **            ```
```1403|---------------------M```
```    |               ***  * ```
```    |                      ```
```    |           *          ```
```    |          *  **       ```
```    |            *         ```
```    |                      ```
```726 |                  *   ```
```____|______________________```
```    |Sep2018        Aug2024```
_Source: see table below_
*Latest sales transactions*
```Date   Price  BUA Type P/sf```
```------------2024-----------```
```07Aug   3.3M 1874 XXXX 1761```
```14Jun 2.725M 1874 XXXX 1454```
```------------2023-----------```
```06Mar  2.39M 1419 XX01 1684```
```------------2022-----------```
```17Nov     2M 2755 XXXX  726```
```------------2021-----------```
```19Dec   1.9M 1352 XX07 1405```
```10Oct   2.8M 1999 XXXX 1401```
```05Sep   2.1M 1451 XX04 1447```
```28Jun  1.92M 1653 XXXX 1162```
```------------2020-----------```
```24Dec   1.6M 1352 XX07 1183```
```14Oct  1.45M 1419 XX01 1022```
```06Apr  1.65M 1352 XX07 1220```
```------------2019-----------```
```13Nov  1.65M 1413 XX01 1168```
```17Feb   1.6M 1052 XX10 1521```
```------------2018-----------```
```18Sep   2.2M 1413 XX01 1557```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</si>
  <si>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1011221, *SALES*</t>
  </si>
  <si>
    <t>*SALES*
*TRANSACTIONS**
*KAMOON 1*
_Area: Downtown_
_All types/bedrooms_
```Date    Price   BUA  Type B```
```------------2025-----------```
```26Nov    3.2M  1508  XXXX 1```
```12Nov   2.05M   791  XXXX 1```
```18Sep   2.61M   965  XXXX 1```
```22Jul  2.501M   965  XXXX 1```
```02Jun   1.65M   965  XXXX 1```
```11Mar    2.1M   951  XX06 1```
```03Feb  2.525M  1580  XXXX 1```
```------------2024-----------```
```07Aug    3.3M  1874  XXXX 2```
```05Aug    1.7M  1076  XX02 1```
```08Jul   1.85M   951  XX06 1```
```05Jul   2.25M  1076  XX02 1```
```14Jun   1.85M   951  XX05 1```
```14Jun  2.725M  1874  XXXX 2```
```07Mar   1.85M  1076  XXXX 1```
```------------2023-----------```
```17Nov   1.65M   940  XXXX 1```
```25Apr    1.8M  2245  XXXX 1```
```12Apr   1.65M   965  XX06 1```
```06Mar   2.39M  1419  XX01 2```
```21Feb    1.1M   791  XX12 1```
```------------2022-----------```
```27Dec   1.25M   791  XX12 1```
```28Nov  1.475M   954  XX02 1```
```17Nov      2M  2755  XXXX 2```
```14Oct    994K   791  XX12 1```
```22Jun   1.58M  1008  XXXX 1```
```21Mar   1.55M  1076  XXXX 1```
```02Mar    1.5M  1580  XXXX 1```
```------------2021-----------```
```28Dec   1.25M   914  XXXX 1```
```19Dec    1.9M  1352  XX07 2```
```30Nov    1.5M   965  XX06 1```
```10Oct    2.8M  1999  XXXX 2```
_Source: DLD, Databot_
_BUA - built-up area, sq.ft._
_P/sf - price per sq.ft._
_B - bedrooms; O - office_
_M - million, K- thousand_
_S - studio, R - shop_
_*Max 30 latest transactions_
www.trydatabot.com</t>
  </si>
  <si>
    <t>1011222, by code, *BUILDI</t>
  </si>
  <si>
    <t xml:space="preserve">*BUILDING*
*PROFILE*
*KAMOON 1*
_Area: Downtown_
_Tap&amp;hold to copy a reply_
```-------------------------```
```Report              Reply```
```-------------------------```
*1 B/R*
```Sales, ROI        1011176```
```Price chart       1011177```
```Rentals               n/a```
*2 B/R*
```Sales, ROI        1011180```
```Price chart       1011181```
```Rentals               n/a```
*All types/bedrooms*
```Sales, ROI        1011221```
```Rentals               n/a```
</t>
  </si>
  <si>
    <t>1011240, *SALES*</t>
  </si>
  <si>
    <t>*SALES*
*TRANSACTIONS**
*KAMOON 2*
_Area: Downtown_
_Type: 1 bedroom apartment_
```Date   Price  BUA Type P/sf```
```------------2024-----------```
```22Aug  1.97M 1203 XXXX 1638```
```25Apr 2.175M 1203 XX03 1808```
```------------2022-----------```
```19Sep   1.4M  901 XX01 1554```
```------------2020-----------```
```25Nov   1.2M 1203 XX03  998```
```02Jun   800K  901 XX01  888```
```------------2019-----------```
```10Dec  1.33M  901 XX01 1476```
```------------2018-----------```
```18Sep   1.6M  901 XX01 1776```
```31May   1.5M  901 XX01 1665```
```13May  1.78M 1203 XX03 1480```
_Source: DLD, Databot_
_BUA - built-up area, sq.ft._
_P/sf - price per sq.ft._
_B - bedrooms; O - office_
_M - million, K- thousand_
_S - studio, R - shop_
_*Max 30 latest transactions_
www.trydatabot.com</t>
  </si>
  <si>
    <t>Kamoon 2</t>
  </si>
  <si>
    <t>1011241, *MARKET</t>
  </si>
  <si>
    <t>*MARKET*
*SNAPSHOT*
*KAMOON 2*
_Area: Downtown_
_Type: 1 bedroom apartment_
*Price dynamics, Dirham/sq.ft.*
_(M - median value)_
```1808|               *    * ```
```    |                      ```
```    |              *      *```
```1554|---------------------M```
```    |                   *  ```
```    |             *  *     ```
```    |                      ```
```    |                      ```
```    |                      ```
```    |                  *   ```
```888 |                 *    ```
```____|______________________```
```    |May2018        Aug2024```
_Source: see table below_
*Latest sales transactions*
```Date   Price  BUA Type P/sf```
```------------2024-----------```
```22Aug  1.97M 1203 XXXX 1638```
```25Apr 2.175M 1203 XX03 1808```
```------------2022-----------```
```19Sep   1.4M  901 XX01 1554```
```------------2020-----------```
```25Nov   1.2M 1203 XX03  998```
```02Jun   800K  901 XX01  888```
```------------2019-----------```
```10Dec  1.33M  901 XX01 1476```
```------------2018-----------```
```18Sep   1.6M  901 XX01 1776```
```31May   1.5M  901 XX01 1665```
```13May  1.78M 1203 XX03 1480```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</si>
  <si>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1011244, *SALES*</t>
  </si>
  <si>
    <t>*SALES*
*TRANSACTIONS**
*KAMOON 2*
_Area: Downtown_
_Type: 2 bedroom apartment_
```Date   Price  BUA Type P/sf```
```------------2025-----------```
```06Mar   4.1M 1432 XXXX 2863```
```------------2024-----------```
```09Sep  3.05M 1404 XXXX 2172```
```11Jul 2.475M 1432 XXXX 1728```
```------------2023-----------```
```24Oct  2.25M 1404 XX05 1603```
```03Aug   2.6M 1404 XX05 1852```
```05May  2.47M 1418 XX02 1742```
```------------2022-----------```
```12Oct   2.1M 1418 XX02 1481```
```03Aug     2M 1418 XX02 1410```
```------------2018-----------```
```27Dec   1.8M 1418 XX02 1269```
_Source: DLD, Databot_
_BUA - built-up area, sq.ft._
_P/sf - price per sq.ft._
_B - bedrooms; O - office_
_M - million, K- thousand_
_S - studio, R - shop_
_*Max 30 latest transactions_
www.trydatabot.com</t>
  </si>
  <si>
    <t>1011245, *MARKET</t>
  </si>
  <si>
    <t>*MARKET*
*SNAPSHOT*
*KAMOON 2*
_Area: Downtown_
_Type: 2 bedroom apartment_
*Price dynamics, Dirham/sq.ft.*
_(M - median value)_
```2863|                     *```
```    |                      ```
```    |                      ```
```    |                      ```
```    |                    * ```
```    |                      ```
```    |                 *    ```
```1728|---------------------M```
```    |                *  *  ```
```    |               *  *   ```
```1269|             **       ```
```____|______________________```
```    |Dec2018        Mar2025```
_Source: see table below_
*Latest sales transactions*
```Date   Price  BUA Type P/sf```
```------------2025-----------```
```06Mar   4.1M 1432 XXXX 2863```
```------------2024-----------```
```09Sep  3.05M 1404 XXXX 2172```
```11Jul 2.475M 1432 XXXX 1728```
```------------2023-----------```
```24Oct  2.25M 1404 XX05 1603```
```03Aug   2.6M 1404 XX05 1852```
```05May  2.47M 1418 XX02 1742```
```------------2022-----------```
```12Oct   2.1M 1418 XX02 1481```
```03Aug     2M 1418 XX02 1410```
```------------2018-----------```
```27Dec   1.8M 1418 XX02 1269```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</si>
  <si>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1011248, *SALES*</t>
  </si>
  <si>
    <t>*SALES*
*TRANSACTIONS**
*KAMOON 2*
_Area: Downtown_
_Type: 3 bedroom apartment_
```Date   Price  BUA Type P/sf```
```------------2025-----------```
```06Mar   5.4M 1967 XXXX 2745```
```------------2024-----------```
```19Aug   4.3M 1967 XXXX 2186```
```29May  5.55M 3124 XXXX 1777```
```------------2022-----------```
```05Jul   3.3M 1967 XX04 1678```
_Source: DLD, Databot_
_BUA - built-up area, sq.ft._
_P/sf - price per sq.ft._
_B - bedrooms; O - office_
_M - million, K- thousand_
_S - studio, R - shop_
_*Max 30 latest transactions_
www.trydatabot.com</t>
  </si>
  <si>
    <t>1011249, *MARKET</t>
  </si>
  <si>
    <t>*MARKET*
*SNAPSHOT*
*KAMOON 2*
_Area: Downtown_
_Type: 3 bedroom apartment_
*Price dynamics, Dirham/sq.ft.*
_(M - median value)_
```2745|                     *```
```    |                      ```
```    |                      ```
```    |                      ```
```    |                      ```
```    |                    * ```
```    |                      ```
```1982|---------------------M```
```    |                      ```
```    |                      ```
```1678|                  **  ```
```____|______________________```
```    |Jul2022        Mar2025```
_Source: see table below_
*Latest sales transactions*
```Date   Price  BUA Type P/sf```
```------------2025-----------```
```06Mar   5.4M 1967 XXXX 2745```
```------------2024-----------```
```19Aug   4.3M 1967 XXXX 2186```
```29May  5.55M 3124 XXXX 1777```
```------------2022-----------```
```05Jul   3.3M 1967 XX04 1678```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</si>
  <si>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1011252, *SALES*</t>
  </si>
  <si>
    <t>*SALES*
*TRANSACTIONS**
*KAMOON 2*
_Area: Downtown_
_Type: 4 bedroom apartment_
```Date   Price  BUA Type P/sf```
```------------2020-----------```
```01Oct  3.05M 3134 XX02  973```
```01Oct   3.1M 3181 XX01  975```
_Source: DLD, Databot_
_BUA - built-up area, sq.ft._
_P/sf - price per sq.ft._
_B - bedrooms; O - office_
_M - million, K- thousand_
_S - studio, R - shop_
_*Max 30 latest transactions_
www.trydatabot.com</t>
  </si>
  <si>
    <t>1011253, *MARKET</t>
  </si>
  <si>
    <t>*MARKET*
*SNAPSHOT*
*KAMOON 2*
_Area: Downtown_
_Type: 4 bedroom apartment_
*Price dynamics, Dirham/sq.ft.*
_(M - median value)_
```975 |                    * ```
```    |                    * ```
```    |                    * ```
```    |                    * ```
```    |                    * ```
```    |                    * ```
```    |                    * ```
```    |                    * ```
```    |                    * ```
```973 |                     *```
```973 |                     *```
```____|______________________```
```    |Oct2020        Oct2020```
_Source: see table below_
*Latest sales transactions*
```Date   Price  BUA Type P/sf```
```------------2020-----------```
```01Oct  3.05M 3134 XX02  973```
```01Oct   3.1M 3181 XX01  975```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</si>
  <si>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1011285, *SALES*</t>
  </si>
  <si>
    <t>*SALES*
*TRANSACTIONS**
*KAMOON 2*
_Area: Downtown_
_All types/bedrooms_
```Date    Price   BUA  Type B```
```------------2025-----------```
```06Mar    4.1M  1432  XXXX 2```
```06Mar    5.4M  1967  XXXX 3```
```------------2024-----------```
```09Sep   3.05M  1404  XXXX 2```
```22Aug   1.97M  1203  XXXX 1```
```19Aug    4.3M  1967  XXXX 3```
```11Jul  2.475M  1432  XXXX 2```
```29May   5.55M  3124  XXXX 3```
```25Apr  2.175M  1203  XX03 1```
```------------2023-----------```
```24Oct   2.25M  1404  XX05 2```
```03Aug    2.6M  1404  XX05 2```
```05May   2.47M  1418  XX02 2```
```------------2022-----------```
```12Oct    2.1M  1418  XX02 2```
```19Sep    1.4M   901  XX01 1```
```03Aug      2M  1418  XX02 2```
```05Jul    3.3M  1967  XX04 3```
```------------2020-----------```
```25Nov    1.2M  1203  XX03 1```
```01Oct   3.05M  3134  XX02 4```
```01Oct    3.1M  3181  XX01 4```
```02Jun    800K   901  XX01 1```
```------------2019-----------```
```10Dec   1.33M   901  XX01 1```
```------------2018-----------```
```27Dec    1.8M  1418  XX02 2```
```18Sep    1.6M   901  XX01 1```
```31May    1.5M   901  XX01 1```
```13May   1.78M  1203  XX03 1```
_Source: DLD, Databot_
_BUA - built-up area, sq.ft._
_P/sf - price per sq.ft._
_B - bedrooms; O - office_
_M - million, K- thousand_
_S - studio, R - shop_
_*Max 30 latest transactions_
www.trydatabot.com</t>
  </si>
  <si>
    <t>1011286, by code, *BUILDI</t>
  </si>
  <si>
    <t xml:space="preserve">*BUILDING*
*PROFILE*
*KAMOON 2*
_Area: Downtown_
_Tap&amp;hold to copy a reply_
```-------------------------```
```Report              Reply```
```-------------------------```
*1 B/R*
```Sales, ROI        1011240```
```Price chart       1011241```
```Rentals               n/a```
*2 B/R*
```Sales, ROI        1011244```
```Price chart       1011245```
```Rentals               n/a```
*3 B/R*
```Sales, ROI        1011248```
```Price chart       1011249```
```Rentals               n/a```
*4 B/R*
```Sales, ROI        1011252```
```Price chart       1011253```
```Rentals               n/a```
*All types/bedrooms*
```Sales, ROI        1011285```
```Rentals               n/a```
</t>
  </si>
  <si>
    <t>1011304, *SALES*</t>
  </si>
  <si>
    <t>*SALES*
*TRANSACTIONS**
*KAMOON 3*
_Area: Downtown_
_Type: 1 bedroom apartment_
```Date   Price  BUA Type P/sf```
```------------2025-----------```
```02Sep   2.6M 1295 XXXX 2008```
```------------2024-----------```
```02Jul  1.75M  967 XXXX 1810```
```------------2023-----------```
```13Nov     2M 1436 XXXX 1393```
```19May   1.6M 1436 XXXX 1114```
```------------2022-----------```
```08Jun  1.35M  888 XX11 1520```
```------------2021-----------```
```04Oct  2.15M 2295 XXXX  937```
```10May  1.28M 1182 XX07 1083```
```20Jan   850K 1182 XX07  719```
```------------2020-----------```
```18Oct   1.2M 1295 XXXX  927```
```------------2019-----------```
```21Aug 1.135M  888 XX11 1278```
```27May 1.165M  972 XX10 1199```
_Source: DLD, Databot_
_BUA - built-up area, sq.ft._
_P/sf - price per sq.ft._
_B - bedrooms; O - office_
_M - million, K- thousand_
_S - studio, R - shop_
_*Max 30 latest transactions_
www.trydatabot.com</t>
  </si>
  <si>
    <t>Kamoon 3</t>
  </si>
  <si>
    <t>1011305, *MARKET</t>
  </si>
  <si>
    <t>*MARKET*
*SNAPSHOT*
*KAMOON 3*
_Area: Downtown_
_Type: 1 bedroom apartment_
*Price dynamics, Dirham/sq.ft.*
_(M - median value)_
```2008|                     *```
```    |                      ```
```    |                    * ```
```    |                      ```
```    |                 *    ```
```    |                   *  ```
```1199|---------------------M```
```    |           **         ```
```    |               *  *   ```
```    |             *  *     ```
```719 |              *       ```
```____|______________________```
```    |May2019        Sep2025```
_Source: see table below_
*Latest sales transactions*
```Date   Price  BUA Type P/sf```
```------------2025-----------```
```02Sep   2.6M 1295 XXXX 2008```
```------------2024-----------```
```02Jul  1.75M  967 XXXX 1810```
```------------2023-----------```
```13Nov     2M 1436 XXXX 1393```
```19May   1.6M 1436 XXXX 1114```
```------------2022-----------```
```08Jun  1.35M  888 XX11 1520```
```------------2021-----------```
```04Oct  2.15M 2295 XXXX  937```
```10May  1.28M 1182 XX07 1083```
```20Jan   850K 1182 XX07  719```
```------------2020-----------```
```18Oct   1.2M 1295 XXXX  927```
```------------2019-----------```
```21Aug 1.135M  888 XX11 1278```
```27May 1.165M  972 XX10 1199```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</si>
  <si>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1011308, *SALES*</t>
  </si>
  <si>
    <t>*SALES*
*TRANSACTIONS**
*KAMOON 3*
_Area: Downtown_
_Type: 2 bedroom apartment_
```Date   Price  BUA Type P/sf```
```------------2024-----------```
```28Aug   3.9M 2008 XXXX 1942```
```31Jul 2.725M 1309 XXXX 2082```
```26Jul  2.85M 1543 XXXX 1847```
```------------2023-----------```
```07Jun  2.02M 1309 XX09 1543```
```02Jun     3M 2189 XXXX 1370```
```------------2022-----------```
```06Jul   2.6M 2008 XX08 1295```
```------------2019-----------```
```09May   1.5M 1309 XX09 1146```
_Source: DLD, Databot_
_BUA - built-up area, sq.ft._
_P/sf - price per sq.ft._
_B - bedrooms; O - office_
_M - million, K- thousand_
_S - studio, R - shop_
_*Max 30 latest transactions_
www.trydatabot.com</t>
  </si>
  <si>
    <t>1011309, *MARKET</t>
  </si>
  <si>
    <t>*MARKET*
*SNAPSHOT*
*KAMOON 3*
_Area: Downtown_
_Type: 2 bedroom apartment_
*Price dynamics, Dirham/sq.ft.*
_(M - median value)_
```2082|                    * ```
```    |                     *```
```    |                      ```
```    |                      ```
```    |                      ```
```    |                      ```
```1543|---------------------M```
```    |                  *   ```
```    |                      ```
```    |                **    ```
```1146|               *      ```
```____|______________________```
```    |May2019        Aug2024```
_Source: see table below_
*Latest sales transactions*
```Date   Price  BUA Type P/sf```
```------------2024-----------```
```28Aug   3.9M 2008 XXXX 1942```
```31Jul 2.725M 1309 XXXX 2082```
```26Jul  2.85M 1543 XXXX 1847```
```------------2023-----------```
```07Jun  2.02M 1309 XX09 1543```
```02Jun     3M 2189 XXXX 1370```
```------------2022-----------```
```06Jul   2.6M 2008 XX08 1295```
```------------2019-----------```
```09May   1.5M 1309 XX09 1146```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</si>
  <si>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1011349, *SALES*</t>
  </si>
  <si>
    <t>*SALES*
*TRANSACTIONS**
*KAMOON 3*
_Area: Downtown_
_All types/bedrooms_
```Date    Price   BUA  Type B```
```------------2025-----------```
```02Sep    2.6M  1295  XXXX 1```
```------------2024-----------```
```28Aug    3.9M  2008  XXXX 2```
```31Jul  2.725M  1309  XXXX 2```
```26Jul   2.85M  1543  XXXX 2```
```02Jul   1.75M   967  XXXX 1```
```------------2023-----------```
```13Nov      2M  1436  XXXX 1```
```07Jun   2.02M  1309  XX09 2```
```02Jun      3M  2189  XXXX 2```
```19May    1.6M  1436  XXXX 1```
```------------2022-----------```
```06Jul    2.6M  2008  XX08 2```
```08Jun   1.35M   888  XX11 1```
```------------2021-----------```
```04Oct   2.15M  2295  XXXX 1```
```10May   1.28M  1182  XX07 1```
```20Jan    850K  1182  XX07 1```
```------------2020-----------```
```18Oct    1.2M  1295  XXXX 1```
```------------2019-----------```
```21Aug  1.135M   888  XX11 1```
```27May  1.165M   972  XX10 1```
```09May    1.5M  1309  XX09 2```
_Source: DLD, Databot_
_BUA - built-up area, sq.ft._
_P/sf - price per sq.ft._
_B - bedrooms; O - office_
_M - million, K- thousand_
_S - studio, R - shop_
_*Max 30 latest transactions_
www.trydatabot.com</t>
  </si>
  <si>
    <t>1011350, by code, *BUILDI</t>
  </si>
  <si>
    <t xml:space="preserve">*BUILDING*
*PROFILE*
*KAMOON 3*
_Area: Downtown_
_Tap&amp;hold to copy a reply_
```-------------------------```
```Report              Reply```
```-------------------------```
*1 B/R*
```Sales, ROI        1011304```
```Price chart       1011305```
```Rentals               n/a```
*2 B/R*
```Sales, ROI        1011308```
```Price chart       1011309```
```Rentals               n/a```
*All types/bedrooms*
```Sales, ROI        1011349```
```Rentals               n/a```
</t>
  </si>
  <si>
    <t>1011368, *SALES*</t>
  </si>
  <si>
    <t>*SALES*
*TRANSACTIONS**
*KAMOON 4*
_Area: Downtown_
_Type: 1 bedroom apartment_
```Date   Price  BUA Type P/sf```
```------------2024-----------```
```05Nov     2M  904 XXXX 2212```
```------------2023-----------```
```21Aug 1.756M  904 XX01 1942```
```12Apr 2.676M 2871 XXXX  932```
```------------2022-----------```
```07Dec   1.9M 1225 XX03 1551```
```------------2021-----------```
```07Nov  1.61M 1225 XX03 1314```
```------------2019-----------```
```08Dec  1.35M 1225 XX03 1102```
```21Apr   1.8M 1225 XX03 1469```
```------------2018-----------```
```20Dec  1.15M  904 XX01 1272```
_Source: DLD, Databot_
_BUA - built-up area, sq.ft._
_P/sf - price per sq.ft._
_B - bedrooms; O - office_
_M - million, K- thousand_
_S - studio, R - shop_
_*Max 30 latest transactions_
www.trydatabot.com</t>
  </si>
  <si>
    <t>Kamoon 4</t>
  </si>
  <si>
    <t>1011369, *MARKET</t>
  </si>
  <si>
    <t>*MARKET*
*SNAPSHOT*
*KAMOON 4*
_Area: Downtown_
_Type: 1 bedroom apartment_
*Price dynamics, Dirham/sq.ft.*
_(M - median value)_
```2212|                     *```
```    |                      ```
```    |                    * ```
```    |                      ```
```    |                      ```
```    |                  *   ```
```1392|---------------------M```
```    |               *      ```
```    |              *  *    ```
```    |                *     ```
```932 |                   *  ```
```____|______________________```
```    |Dec2018        Nov2024```
_Source: see table below_
*Latest sales transactions*
```Date   Price  BUA Type P/sf```
```------------2024-----------```
```05Nov     2M  904 XXXX 2212```
```------------2023-----------```
```21Aug 1.756M  904 XX01 1942```
```12Apr 2.676M 2871 XXXX  932```
```------------2022-----------```
```07Dec   1.9M 1225 XX03 1551```
```------------2021-----------```
```07Nov  1.61M 1225 XX03 1314```
```------------2019-----------```
```08Dec  1.35M 1225 XX03 1102```
```21Apr   1.8M 1225 XX03 1469```
```------------2018-----------```
```20Dec  1.15M  904 XX01 1272```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</si>
  <si>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1011372, *SALES*</t>
  </si>
  <si>
    <t>*SALES*
*TRANSACTIONS**
*KAMOON 4*
_Area: Downtown_
_Type: 2 bedroom apartment_
```Date   Price  BUA Type P/sf```
```------------2025-----------```
```14Feb  3.45M 1450 XXXX 2379```
```------------2024-----------```
```11Jul  2.75M 1432 XXXX 1920```
```------------2022-----------```
```23Sep   2.3M 1450 XX02 1586```
```28Jul  2.55M 1432 XX05 1781```
```------------2019-----------```
```14Apr   2.1M 1432 XX05 1466```
_Source: DLD, Databot_
_BUA - built-up area, sq.ft._
_P/sf - price per sq.ft._
_B - bedrooms; O - office_
_M - million, K- thousand_
_S - studio, R - shop_
_*Max 30 latest transactions_
www.trydatabot.com</t>
  </si>
  <si>
    <t>1011373, *MARKET</t>
  </si>
  <si>
    <t>*MARKET*
*SNAPSHOT*
*KAMOON 4*
_Area: Downtown_
_Type: 2 bedroom apartment_
*Price dynamics, Dirham/sq.ft.*
_(M - median value)_
```2379|                     *```
```    |                      ```
```    |                      ```
```    |                      ```
```    |                      ```
```    |                    * ```
```    |                      ```
```1781|---------------------M```
```    |                  *   ```
```    |                   *  ```
```1466|                 *    ```
```____|______________________```
```    |Apr2019        Feb2025```
_Source: see table below_
*Latest sales transactions*
```Date   Price  BUA Type P/sf```
```------------2025-----------```
```14Feb  3.45M 1450 XXXX 2379```
```------------2024-----------```
```11Jul  2.75M 1432 XXXX 1920```
```------------2022-----------```
```23Sep   2.3M 1450 XX02 1586```
```28Jul  2.55M 1432 XX05 1781```
```------------2019-----------```
```14Apr   2.1M 1432 XX05 1466```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</si>
  <si>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1011376, *SALES*</t>
  </si>
  <si>
    <t>*SALES*
*TRANSACTIONS**
*KAMOON 4*
_Area: Downtown_
_Type: 3 bedroom apartment_
```Date   Price  BUA Type P/sf```
```------------2025-----------```
```22Apr     5M 1989 XXXX 2514```
```------------2023-----------```
```19May   3.7M 1989 XX04 1860```
```------------2022-----------```
```30Jun   4.7M 3713 XXXX 1266```
```------------2018-----------```
```28Jan   3.5M 1989 XX04 1760```
_Source: DLD, Databot_
_BUA - built-up area, sq.ft._
_P/sf - price per sq.ft._
_B - bedrooms; O - office_
_M - million, K- thousand_
_S - studio, R - shop_
_*Max 30 latest transactions_
www.trydatabot.com</t>
  </si>
  <si>
    <t>1011377, *MARKET</t>
  </si>
  <si>
    <t>*MARKET*
*SNAPSHOT*
*KAMOON 4*
_Area: Downtown_
_Type: 3 bedroom apartment_
*Price dynamics, Dirham/sq.ft.*
_(M - median value)_
```2514|                     *```
```    |                      ```
```    |                      ```
```    |                      ```
```    |                      ```
```    |                    * ```
```1810|---------------------M```
```    |                  *   ```
```    |                      ```
```    |                      ```
```1266|                   *  ```
```____|______________________```
```    |Jan2018        Apr2025```
_Source: see table below_
*Latest sales transactions*
```Date   Price  BUA Type P/sf```
```------------2025-----------```
```22Apr     5M 1989 XXXX 2514```
```------------2023-----------```
```19May   3.7M 1989 XX04 1860```
```------------2022-----------```
```30Jun   4.7M 3713 XXXX 1266```
```------------2018-----------```
```28Jan   3.5M 1989 XX04 1760```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</si>
  <si>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1011380, *SALES*</t>
  </si>
  <si>
    <t>*SALES*
*TRANSACTIONS**
*KAMOON 4*
_Area: Downtown_
_Type: 4 bedroom apartment_
```Date   Price  BUA Type P/sf```
```------------2020-----------```
```04Oct   3.1M 3181 XX01  975```
```------------2019-----------```
```13Mar   5.5M 3181 XX01 1729```
_Source: DLD, Databot_
_BUA - built-up area, sq.ft._
_P/sf - price per sq.ft._
_B - bedrooms; O - office_
_M - million, K- thousand_
_S - studio, R - shop_
_*Max 30 latest transactions_
www.trydatabot.com</t>
  </si>
  <si>
    <t>1011381, *MARKET</t>
  </si>
  <si>
    <t>*MARKET*
*SNAPSHOT*
*KAMOON 4*
_Area: Downtown_
_Type: 4 bedroom apartment_
*Price dynamics, Dirham/sq.ft.*
_(M - median value)_
```1729|                    * ```
```    |                      ```
```    |                      ```
```    |                      ```
```    |                      ```
```1352|---------------------M```
```    |                      ```
```    |                      ```
```    |                      ```
```    |                      ```
```975 |                     *```
```____|______________________```
```    |Mar2019        Oct2020```
_Source: see table below_
*Latest sales transactions*
```Date   Price  BUA Type P/sf```
```------------2020-----------```
```04Oct   3.1M 3181 XX01  975```
```------------2019-----------```
```13Mar   5.5M 3181 XX01 1729```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</si>
  <si>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1011413, *SALES*</t>
  </si>
  <si>
    <t>*SALES*
*TRANSACTIONS**
*KAMOON 4*
_Area: Downtown_
_All types/bedrooms_
```Date    Price   BUA  Type B```
```------------2025-----------```
```22Apr      5M  1989  XXXX 3```
```14Feb   3.45M  1450  XXXX 2```
```------------2024-----------```
```05Nov      2M   904  XXXX 1```
```11Jul   2.75M  1432  XXXX 2```
```------------2023-----------```
```21Aug  1.756M   904  XX01 1```
```19May    3.7M  1989  XX04 3```
```12Apr  2.676M  2871  XXXX 1```
```------------2022-----------```
```07Dec    1.9M  1225  XX03 1```
```23Sep    2.3M  1450  XX02 2```
```28Jul   2.55M  1432  XX05 2```
```30Jun    4.7M  3713  XXXX 3```
```------------2021-----------```
```07Nov   1.61M  1225  XX03 1```
```------------2020-----------```
```04Oct    3.1M  3181  XX01 4```
```------------2019-----------```
```08Dec   1.35M  1225  XX03 1```
```21Apr    1.8M  1225  XX03 1```
```14Apr    2.1M  1432  XX05 2```
```13Mar    5.5M  3181  XX01 4```
```------------2018-----------```
```20Dec   1.15M   904  XX01 1```
```28Jan    3.5M  1989  XX04 3```
_Source: DLD, Databot_
_BUA - built-up area, sq.ft._
_P/sf - price per sq.ft._
_B - bedrooms; O - office_
_M - million, K- thousand_
_S - studio, R - shop_
_*Max 30 latest transactions_
www.trydatabot.com</t>
  </si>
  <si>
    <t>1011414, by code, *BUILDI</t>
  </si>
  <si>
    <t xml:space="preserve">*BUILDING*
*PROFILE*
*KAMOON 4*
_Area: Downtown_
_Tap&amp;hold to copy a reply_
```-------------------------```
```Report              Reply```
```-------------------------```
*1 B/R*
```Sales, ROI        1011368```
```Price chart       1011369```
```Rentals               n/a```
*2 B/R*
```Sales, ROI        1011372```
```Price chart       1011373```
```Rentals               n/a```
*3 B/R*
```Sales, ROI        1011376```
```Price chart       1011377```
```Rentals               n/a```
*4 B/R*
```Sales, ROI        1011380```
```Price chart       1011381```
```Rentals               n/a```
*All types/bedrooms*
```Sales, ROI        1011413```
```Rentals               n/a```
</t>
  </si>
  <si>
    <t>1011432, *SALES*</t>
  </si>
  <si>
    <t>*SALES*
*TRANSACTIONS**
*KAMOON 1-4*
_Area: Downtown_
_Type: 1 bedroom apartment_
```Date   Price  BUA Type P/sf```
```------------2025-----------```
```26Nov   3.2M 1508 XXXX 2122```
```12Nov  2.05M  791 XXXX 2592```
```18Sep  2.61M  965 XXXX 2705```
```02Sep   2.6M 1295 XXXX 2008```
```22Jul 2.501M  965 XXXX 2592```
```02Jun  1.65M  965 XXXX 1710```
```11Mar   2.1M  951 XX06 2208```
```03Feb 2.525M 1580 XXXX 1598```
```------------2024-----------```
```05Nov     2M  904 XXXX 2212```
```22Aug  1.97M 1203 XXXX 1638```
```05Aug   1.7M 1076 XX02 1580```
```08Jul  1.85M  951 XX06 1945```
```05Jul  2.25M 1076 XX02 2091```
```02Jul  1.75M  967 XXXX 1810```
```14Jun  1.85M  951 XX05 1945```
```25Apr 2.175M 1203 XX03 1808```
```07Mar  1.85M 1076 XXXX 1719```
```------------2023-----------```
```17Nov  1.65M  940 XXXX 1755```
```13Nov     2M 1436 XXXX 1393```
```21Aug 1.756M  904 XX01 1942```
```19May   1.6M 1436 XXXX 1114```
```25Apr   1.8M 2245 XXXX  802```
```12Apr  1.65M  965 XX06 1710```
```12Apr 2.676M 2871 XXXX  932```
```21Feb   1.1M  791 XX12 1391```
```------------2022-----------```
```27Dec  1.25M  791 XX12 1580```
```07Dec   1.9M 1225 XX03 1551```
```28Nov 1.475M  954 XX02 1546```
```14Oct   994K  791 XX12 1257```
```19Sep   1.4M  901 XX01 1554```
_Source: DLD, Databot_
_BUA - built-up area, sq.ft._
_P/sf - price per sq.ft._
_B - bedrooms; O - office_
_M - million, K- thousand_
_S - studio, R - shop_
_*Max 30 latest transactions_
www.trydatabot.com</t>
  </si>
  <si>
    <t>Kamoon 1-4</t>
  </si>
  <si>
    <t>1011433, *MARKET</t>
  </si>
  <si>
    <t>*MARKET*
*SNAPSHOT*
*KAMOON 1-4*
_Area: Downtown_
_Type: 1 bedroom apartment_
*Price dynamics, Dirham/sq.ft.*
_(M - median value)_
```2705|                   *  ```
```    |                 *  * ```
```    |                      ```
```    |         *   * *     *```
```1876|---------------------M```
```    |  *    *  *       *   ```
```    |    *** *       *     ```
```    |           ** *       ```
```    |   *                  ```
```    | *                    ```
```802 |*                     ```
```____|______________________```
```    |Apr2023        Nov2025```
_Source: see table below_
*Latest sales transactions*
```Date   Price  BUA Type P/sf```
```------------2025-----------```
```26Nov   3.2M 1508 XXXX 2122```
```12Nov  2.05M  791 XXXX 2592```
```18Sep  2.61M  965 XXXX 2705```
```02Sep   2.6M 1295 XXXX 2008```
```22Jul 2.501M  965 XXXX 2592```
```02Jun  1.65M  965 XXXX 1710```
```11Mar   2.1M  951 XX06 2208```
```03Feb 2.525M 1580 XXXX 1598```
```------------2024-----------```
```05Nov     2M  904 XXXX 2212```
```22Aug  1.97M 1203 XXXX 1638```
```05Aug   1.7M 1076 XX02 1580```
```08Jul  1.85M  951 XX06 1945```
```05Jul  2.25M 1076 XX02 2091```
```02Jul  1.75M  967 XXXX 1810```
```14Jun  1.85M  951 XX05 1945```
```25Apr 2.175M 1203 XX03 1808```
```07Mar  1.85M 1076 XXXX 1719```
```------------2023-----------```
```17Nov  1.65M  940 XXXX 1755```
```13Nov     2M 1436 XXXX 1393```
```21Aug 1.756M  904 XX01 1942```
```19May   1.6M 1436 XXXX 1114```
```25Apr   1.8M 2245 XXXX  802```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</si>
  <si>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1011436, *SALES*</t>
  </si>
  <si>
    <t>*SALES*
*TRANSACTIONS**
*KAMOON 1-4*
_Area: Downtown_
_Type: 2 bedroom apartment_
```Date   Price  BUA Type P/sf```
```------------2025-----------```
```06Mar   4.1M 1432 XXXX 2863```
```14Feb  3.45M 1450 XXXX 2379```
```------------2024-----------```
```09Sep  3.05M 1404 XXXX 2172```
```28Aug   3.9M 2008 XXXX 1942```
```07Aug   3.3M 1874 XXXX 1761```
```31Jul 2.725M 1309 XXXX 2082```
```26Jul  2.85M 1543 XXXX 1847```
```11Jul 2.475M 1432 XXXX 1728```
```11Jul  2.75M 1432 XXXX 1920```
```14Jun 2.725M 1874 XXXX 1454```
```------------2023-----------```
```24Oct  2.25M 1404 XX05 1603```
```03Aug   2.6M 1404 XX05 1852```
```07Jun  2.02M 1309 XX09 1543```
```02Jun     3M 2189 XXXX 1370```
```05May  2.47M 1418 XX02 1742```
```06Mar  2.39M 1419 XX01 1684```
```------------2022-----------```
```17Nov     2M 2755 XXXX  726```
```12Oct   2.1M 1418 XX02 1481```
```23Sep   2.3M 1450 XX02 1586```
```03Aug     2M 1418 XX02 1410```
```28Jul  2.55M 1432 XX05 1781```
```06Jul   2.6M 2008 XX08 1295```
```------------2021-----------```
```19Dec   1.9M 1352 XX07 1405```
```10Oct   2.8M 1999 XXXX 1401```
```05Sep   2.1M 1451 XX04 1447```
```28Jun  1.92M 1653 XXXX 1162```
```------------2020-----------```
```24Dec   1.6M 1352 XX07 1183```
```14Oct  1.45M 1419 XX01 1022```
```06Apr  1.65M 1352 XX07 1220```
```------------2019-----------```
```13Nov  1.65M 1413 XX01 1168```
_Source: DLD, Databot_
_BUA - built-up area, sq.ft._
_P/sf - price per sq.ft._
_B - bedrooms; O - office_
_M - million, K- thousand_
_S - studio, R - shop_
_*Max 30 latest transactions_
www.trydatabot.com</t>
  </si>
  <si>
    <t>1011437, *MARKET</t>
  </si>
  <si>
    <t>*MARKET*
*SNAPSHOT*
*KAMOON 1-4*
_Area: Downtown_
_Type: 2 bedroom apartment_
*Price dynamics, Dirham/sq.ft.*
_(M - median value)_
```2863|                     *```
```    |                      ```
```    |                    * ```
```    |                   *  ```
```    |             *  * *   ```
```1735|---------------------M```
```    | *     *  *   ** *    ```
```    |   ** *  * *          ```
```    |* *     *   *         ```
```    |                      ```
```726 |     *                ```
```____|______________________```
```    |Jul2022        Mar2025```
_Source: see table below_
*Latest sales transactions*
```Date   Price  BUA Type P/sf```
```------------2025-----------```
```06Mar   4.1M 1432 XXXX 2863```
```14Feb  3.45M 1450 XXXX 2379```
```------------2024-----------```
```09Sep  3.05M 1404 XXXX 2172```
```28Aug   3.9M 2008 XXXX 1942```
```07Aug   3.3M 1874 XXXX 1761```
```31Jul 2.725M 1309 XXXX 2082```
```26Jul  2.85M 1543 XXXX 1847```
```11Jul 2.475M 1432 XXXX 1728```
```11Jul  2.75M 1432 XXXX 1920```
```14Jun 2.725M 1874 XXXX 1454```
```------------2023-----------```
```24Oct  2.25M 1404 XX05 1603```
```03Aug   2.6M 1404 XX05 1852```
```07Jun  2.02M 1309 XX09 1543```
```02Jun     3M 2189 XXXX 1370```
```05May  2.47M 1418 XX02 1742```
```06Mar  2.39M 1419 XX01 1684```
```------------2022-----------```
```17Nov     2M 2755 XXXX  726```
```12Oct   2.1M 1418 XX02 1481```
```23Sep   2.3M 1450 XX02 1586```
```03Aug     2M 1418 XX02 1410```
```28Jul  2.55M 1432 XX05 1781```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</si>
  <si>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1011440, *SALES*</t>
  </si>
  <si>
    <t>*SALES*
*TRANSACTIONS**
*KAMOON 1-4*
_Area: Downtown_
_Type: 3 bedroom apartment_
```Date   Price  BUA Type P/sf```
```------------2025-----------```
```22Apr     5M 1989 XXXX 2514```
```06Mar   5.4M 1967 XXXX 2745```
```------------2024-----------```
```19Aug   4.3M 1967 XXXX 2186```
```29May  5.55M 3124 XXXX 1777```
```------------2023-----------```
```19May   3.7M 1989 XX04 1860```
```------------2022-----------```
```05Jul   3.3M 1967 XX04 1678```
```30Jun   4.7M 3713 XXXX 1266```
```------------2018-----------```
```28Jan   3.5M 1989 XX04 1760```
_Source: DLD, Databot_
_BUA - built-up area, sq.ft._
_P/sf - price per sq.ft._
_B - bedrooms; O - office_
_M - million, K- thousand_
_S - studio, R - shop_
_*Max 30 latest transactions_
www.trydatabot.com</t>
  </si>
  <si>
    <t>1011441, *MARKET</t>
  </si>
  <si>
    <t>*MARKET*
*SNAPSHOT*
*KAMOON 1-4*
_Area: Downtown_
_Type: 3 bedroom apartment_
*Price dynamics, Dirham/sq.ft.*
_(M - median value)_
```2745|                    * ```
```    |                      ```
```    |                     *```
```    |                      ```
```    |                   *  ```
```    |                      ```
```1819|---------------------M```
```    |                 *    ```
```    |              * * *   ```
```    |                      ```
```1266|               *      ```
```____|______________________```
```    |Jan2018        Apr2025```
_Source: see table below_
*Latest sales transactions*
```Date   Price  BUA Type P/sf```
```------------2025-----------```
```22Apr     5M 1989 XXXX 2514```
```06Mar   5.4M 1967 XXXX 2745```
```------------2024-----------```
```19Aug   4.3M 1967 XXXX 2186```
```29May  5.55M 3124 XXXX 1777```
```------------2023-----------```
```19May   3.7M 1989 XX04 1860```
```------------2022-----------```
```05Jul   3.3M 1967 XX04 1678```
```30Jun   4.7M 3713 XXXX 1266```
```------------2018-----------```
```28Jan   3.5M 1989 XX04 1760```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</si>
  <si>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1011444, *SALES*</t>
  </si>
  <si>
    <t>*SALES*
*TRANSACTIONS**
*KAMOON 1-4*
_Area: Downtown_
_Type: 4 bedroom apartment_
```Date   Price  BUA Type P/sf```
```------------2020-----------```
```04Oct   3.1M 3181 XX01  975```
```01Oct  3.05M 3134 XX02  973```
```01Oct   3.1M 3181 XX01  975```
```------------2019-----------```
```13Mar   5.5M 3181 XX01 1729```
_Source: DLD, Databot_
_BUA - built-up area, sq.ft._
_P/sf - price per sq.ft._
_B - bedrooms; O - office_
_M - million, K- thousand_
_S - studio, R - shop_
_*Max 30 latest transactions_
www.trydatabot.com</t>
  </si>
  <si>
    <t>1011445, *MARKET</t>
  </si>
  <si>
    <t>*MARKET*
*SNAPSHOT*
*KAMOON 1-4*
_Area: Downtown_
_Type: 4 bedroom apartment_
*Price dynamics, Dirham/sq.ft.*
_(M - median value)_
```1729|                  *   ```
```    |                      ```
```    |                      ```
```    |                      ```
```    |                      ```
```    |                      ```
```    |                      ```
```    |                      ```
```    |                      ```
```973 |                   ***```
```973 |                   ***```
```____|______________________```
```    |Mar2019        Oct2020```
_Source: see table below_
*Latest sales transactions*
```Date   Price  BUA Type P/sf```
```------------2020-----------```
```04Oct   3.1M 3181 XX01  975```
```01Oct  3.05M 3134 XX02  973```
```01Oct   3.1M 3181 XX01  975```
```------------2019-----------```
```13Mar   5.5M 3181 XX01 1729```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</si>
  <si>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1011477, *SALES*</t>
  </si>
  <si>
    <t>*SALES*
*TRANSACTIONS**
*KAMOON 1-4*
_Area: Downtown_
_All types/bedrooms_
```Date    Price   BUA  Type B```
```------------2025-----------```
```26Nov    3.2M  1508  XXXX 1```
```12Nov   2.05M   791  XXXX 1```
```18Sep   2.61M   965  XXXX 1```
```02Sep    2.6M  1295  XXXX 1```
```22Jul  2.501M   965  XXXX 1```
```02Jun   1.65M   965  XXXX 1```
```22Apr      5M  1989  XXXX 3```
```11Mar    2.1M   951  XX06 1```
```06Mar    4.1M  1432  XXXX 2```
```06Mar    5.4M  1967  XXXX 3```
```14Feb   3.45M  1450  XXXX 2```
```03Feb  2.525M  1580  XXXX 1```
```------------2024-----------```
```05Nov      2M   904  XXXX 1```
```09Sep   3.05M  1404  XXXX 2```
```28Aug    3.9M  2008  XXXX 2```
```22Aug   1.97M  1203  XXXX 1```
```19Aug    4.3M  1967  XXXX 3```
```07Aug    3.3M  1874  XXXX 2```
```05Aug    1.7M  1076  XX02 1```
```31Jul  2.725M  1309  XXXX 2```
```26Jul   2.85M  1543  XXXX 2```
```11Jul  2.475M  1432  XXXX 2```
```11Jul   2.75M  1432  XXXX 2```
```08Jul   1.85M   951  XX06 1```
```05Jul   2.25M  1076  XX02 1```
```02Jul   1.75M   967  XXXX 1```
```14Jun   1.85M   951  XX05 1```
```14Jun  2.725M  1874  XXXX 2```
```29May   5.55M  3124  XXXX 3```
```25Apr  2.175M  1203  XX03 1```
_Source: DLD, Databot_
_BUA - built-up area, sq.ft._
_P/sf - price per sq.ft._
_B - bedrooms; O - office_
_M - million, K- thousand_
_S - studio, R - shop_
_*Max 30 latest transactions_
www.trydatabot.com</t>
  </si>
  <si>
    <t>1011478, by code, *BUILDI</t>
  </si>
  <si>
    <t xml:space="preserve">*BUILDING*
*PROFILE*
*KAMOON 1-4*
_Area: Downtown_
_Tap&amp;hold to copy a reply_
```-------------------------```
```Report              Reply```
```-------------------------```
*1 B/R*
```Sales, ROI        1011432```
```Price chart       1011433```
```Rentals               n/a```
*2 B/R*
```Sales, ROI        1011436```
```Price chart       1011437```
```Rentals               n/a```
*3 B/R*
```Sales, ROI        1011440```
```Price chart       1011441```
```Rentals               n/a```
*4 B/R*
```Sales, ROI        1011444```
```Price chart       1011445```
```Rentals               n/a```
*All types/bedrooms*
```Sales, ROI        1011477```
```Rentals               n/a```
</t>
  </si>
  <si>
    <t>1011496, *SALES*</t>
  </si>
  <si>
    <r>
      <rPr/>
      <t xml:space="preserve">*SALES*
*TRANSACTIONS**
*MADA RESIDENCES*
_Area: Downtown_
_Type: 1 bedroom apartment_
_Gross ROI=5.43%_
_Median annual rent=112.5K_
```Date   Price  BUA Type P/sf```
```------------2025-----------```
```28Jul     2M 1101 XX05 1817```
```14Jul  2.15M 1114 XX06 1930```
```12Jun   1.6M  903 XX04 1772```
```27May  2.09M 1085 XX08 1926```
```11Apr     2M 1101 XX05 1817```
```03Apr 1.725M  904 XX01 1908```
```27Mar  2.35M 1040 XX09 2260```
```24Mar  1.63M  904 XX04 1803```
```05Mar  2.15M 1101 XX05 1953```
```------------2024-----------```
```24Dec  1.65M 1085 XX08 1521```
```15Jul   1.8M 1114 XX06 1616```
```17May   1.5M  904 XX04 1659```
```16May     2M  903 XX04 2215```
```08May   1.5M  903 XX04 1661```
```25Apr  1.45M  904 XX01 1604```
```21Mar   1.8M 1114 XX06 1616```
```------------2023-----------```
```28Dec 1.744M 1101 XX05 1584```
```19Dec  1.53M  903 XX04 1694```
```18Dec  1.65M 1101 XX05 1499```
```21Nov  1.48M  904 XX01 1637```
```16Nov   1.7M 1114 XX06 1526```
```02Nov  1.55M 1040 XX09 1490```
```09Oct   1.5M 1040 XX09 1442```
```27Sep   1.5M  904 XX04 1659```
```04Aug 1.675M 1040 XX09 1611```
```25Jul   1.4M 1085 XX08 1290```
```25Jul  1.15M  904 XX01 1272```
```07Jun   1.6M 1040 XX09 1538```
```29May 693.8K 1101 XX05  630```
```18Jan   1.4M 1040 XX09 1346```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</si>
  <si>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Mada Residences</t>
  </si>
  <si>
    <t>1011497, *MARKET</t>
  </si>
  <si>
    <t>*MARKET*
*SNAPSHOT*
*MADA RESIDENCES*
_Area: Downtown_
_Type: 1 bedroom apartment_
*Price dynamics, Dirham/sq.ft.*
_(M - median value)_
```2260|               *      ```
```    |         *            ```
```    |                      ```
```    |                      ```
```    |             *    * * ```
```    |                *     ```
```    |              *  * * *```
```    |    *                 ```
```1678|---------------------M```
```    |  *  **** **          ```
```1490|** *        *         ```
```____|______________________```
```    |Nov2023        Jul2025```
_Source: see table below_
*Latest sales transactions*
```Date   Price  BUA Type P/sf```
```------------2025-----------```
```28Jul     2M 1101 XX05 1817```
```14Jul  2.15M 1114 XX06 1930```
```12Jun   1.6M  903 XX04 1772```
```27May  2.09M 1085 XX08 1926```
```11Apr     2M 1101 XX05 1817```
```03Apr 1.725M  904 XX01 1908```
```27Mar  2.35M 1040 XX09 2260```
```24Mar  1.63M  904 XX04 1803```
```05Mar  2.15M 1101 XX05 1953```
```------------2024-----------```
```24Dec  1.65M 1085 XX08 1521```
```15Jul   1.8M 1114 XX06 1616```
```17May   1.5M  904 XX04 1659```
```16May     2M  903 XX04 2215```
```08May   1.5M  903 XX04 1661```
```25Apr  1.45M  904 XX01 1604```
```21Mar   1.8M 1114 XX06 1616```
```------------2023-----------```
```28Dec 1.744M 1101 XX05 1584```
```19Dec  1.53M  903 XX04 1694```
```18Dec  1.65M 1101 XX05 1499```
```21Nov  1.48M  904 XX01 1637```
```16Nov   1.7M 1114 XX06 1526```
```02Nov  1.55M 1040 XX09 1490```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</si>
  <si>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1011498, *NEW RE</t>
  </si>
  <si>
    <t>*NEW RENT*
*CONTRACTS**
_(renewals are not included)_
*MADA RESIDENCES*
_Area: Downtown_
_Type: 1 bedroom apartment_
```Date  Price   BUA  Type D/s```
```------------2025-----------```
```27Nov  145K  1119  XXXX 130```
```20Nov  115K  1141  XXXX 101```
```01Nov  100K   904  XXXX 111```
```29Oct  170K  1119  XXXX 152```
```04Oct   99K   904  XXXX 110```
```01Oct  110K  1141  XXXX  96```
```26Sep  160K  1119  XXXX 143```
```22Sep  150K  1087  XXXX 138```
```15Sep  110K  1044  XXXX 105```
```23Jul  145K  1098  XXXX 132```
```20Jul  120K  1109  XXXX 108```
```19Jun  110K  1087  XXXX 101```
```16Jun  110K  1087  XXXX 101```
```23May  110K  1087  XXXX 101```
```30Mar   95K   904  XXXX 105```
```27Feb  140K  1141  XXXX 123```
```20Jan  180K  1528  XXXX 118```
```01Jan  135K   904  XXXX 149```
```------------2024-----------```
```10Dec 72.5K  1098  XXXX  66```
```01Dec   77K   893  XXXX  86```
_Source: DLD, Databot_
_BUA - built-up area, sq.ft._
_P/sf - price per sq.ft._
_B - bedrooms; O - office_
_M - million, K- thousand_
_S - studio, R - shop_
_*20 latest contracts_
www.trydatabot.com</t>
  </si>
  <si>
    <t>1011500, *SALES*</t>
  </si>
  <si>
    <t>*SALES*
*TRANSACTIONS**
*MADA RESIDENCES*
_Area: Downtown_
_Type: 2 bedroom apartment_
_Gross ROI=6.22%_
_Median annual rent=180K_
```Date   Price  BUA Type P/sf```
```------------2025-----------```
```12Dec 3.158M 1620 XX02 1950```
```13Nov  3.05M 1614 XX02 1890```
```03Jul  2.85M 1620 XX02 1759```
```02Jun     3M 1656 XX05 1812```
```12May 2.603M 1656 XX05 1572```
```07May   2.6M 1530 XX03 1699```
```------------2024-----------```
```23Dec  2.78M 3239 XXXX  858```
```05Sep   2.8M 1656 XX05 1691```
```15Jul 2.644M 1614 XX02 1638```
```24May 2.435M 1527 XX03 1595```
```14May 2.563M 1522 XX04 1684```
```08May 2.689M 1522 XX04 1767```
```------------2023-----------```
```13Dec   2.4M 1618 XX02 1483```
```17Nov   2.3M 1527 XX03 1506```
```13Nov   2.9M 1621 XX02 1789```
```01Nov  2.45M 1529 XX03 1602```
```17Oct 2.325M 1621 XX02 1434```
```09Oct   2.3M 1662 XX07 1384```
```05Oct   2.3M 1527 XX03 1506```
```07Aug   2.2M 1529 XX03 1439```
```31Jul   2.5M 1656 XX05 1510```
```28Jul 2.222M 1530 XX03 1452```
```29Mar   2.5M 1656 XX05 1510```
```24Mar 2.025M 1522 XX04 1330```
```20Jan   2.3M 1662 XX05 1384```
```------------2022-----------```
```29Nov   950K 1662 XX07  572```
```17Nov 2.125M 1614 XX02 1317```
```18Oct   2.2M 1620 XX02 1358```
```30Sep   2.1M 1662 XX05 1264```
```09Sep   2.2M 1527 XX03 1441```
_Source: DLD, Databot_
_BUA - built-up area, sq.ft._
_P/sf - price per sq.ft._
_B - bedrooms; O - office_
_M - million, K- thousand_
_S - studio, R - shop_
_*Max 30 latest transactions_
www.trydatabot.com</t>
  </si>
  <si>
    <t>1011501, *MARKET</t>
  </si>
  <si>
    <t>*MARKET*
*SNAPSHOT*
*MADA RESIDENCES*
_Area: Downtown_
_Type: 2 bedroom apartment_
*Price dynamics, Dirham/sq.ft.*
_(M - median value)_
```1950|                     *```
```    |       *          * * ```
```    |          **  * *  *  ```
```1599|---------------------M```
```    |      *     **   *    ```
```    | * *    **            ```
```    |* * **                ```
```    |                      ```
```    |                      ```
```    |                      ```
```858 |               *      ```
```____|______________________```
```    |Jul2023        Dec2025```
_Source: see table below_
*Latest sales transactions*
```Date   Price  BUA Type P/sf```
```------------2025-----------```
```12Dec 3.158M 1620 XX02 1950```
```13Nov  3.05M 1614 XX02 1890```
```03Jul  2.85M 1620 XX02 1759```
```02Jun     3M 1656 XX05 1812```
```12May 2.603M 1656 XX05 1572```
```07May   2.6M 1530 XX03 1699```
```------------2024-----------```
```23Dec  2.78M 3239 XXXX  858```
```05Sep   2.8M 1656 XX05 1691```
```15Jul 2.644M 1614 XX02 1638```
```24May 2.435M 1527 XX03 1595```
```14May 2.563M 1522 XX04 1684```
```08May 2.689M 1522 XX04 1767```
```------------2023-----------```
```13Dec   2.4M 1618 XX02 1483```
```17Nov   2.3M 1527 XX03 1506```
```13Nov   2.9M 1621 XX02 1789```
```01Nov  2.45M 1529 XX03 1602```
```17Oct 2.325M 1621 XX02 1434```
```09Oct   2.3M 1662 XX07 1384```
```05Oct   2.3M 1527 XX03 1506```
```07Aug   2.2M 1529 XX03 1439```
```31Jul   2.5M 1656 XX05 1510```
```28Jul 2.222M 1530 XX03 1452```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</si>
  <si>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1011502, *NEW RE</t>
  </si>
  <si>
    <t>*NEW RENT*
*CONTRACTS**
_(renewals are not included)_
*MADA RESIDENCES*
_Area: Downtown_
_Type: 2 bedroom apartment_
```Date  Price   BUA  Type D/s```
```------------2025-----------```
```22Sep  146K  1528  XXXX  96```
```08Sep  180K  1625  XXXX 111```
```04Sep  195K  1658  XXXX 118```
```01Sep  210K  1615  XXXX 130```
```01Sep  170K  1528  XXXX 111```
```01Aug  150K  1528  XXXX  98```
```04Jul  165K  1625  XXXX 102```
```01Jul  185K  1658  XXXX 112```
```15Jun  142K  1625  XXXX  87```
```06May  143K  1528  XXXX  94```
```01May  137K  1658  XXXX  82```
```26Apr  180K  1658  XXXX 109```
```12Apr  190K  1658  XXXX 115```
```01Apr  110K  1615  XXXX  68```
```21Jan  180K  1615  XXXX 111```
```12Jan  180K  1528  XXXX 118```
```------------2024-----------```
```10Dec  180K  1518  XXXX 119```
```25Nov  170K  1528  XXXX 111```
```15Nov  180K  1518  XXXX 119```
```05Oct  180K  1668  XXXX 108```
_Source: DLD, Databot_
_BUA - built-up area, sq.ft._
_P/sf - price per sq.ft._
_B - bedrooms; O - office_
_M - million, K- thousand_
_S - studio, R - shop_
_*20 latest contracts_
www.trydatabot.com</t>
  </si>
  <si>
    <t>1011504, *SALES*</t>
  </si>
  <si>
    <t>*SALES*
*TRANSACTIONS**
*MADA RESIDENCES*
_Area: Downtown_
_Type: 3 bedroom apartment_
_Gross ROI=6%_
_Median annual rent=240K_
```Date   Price  BUA Type P/sf```
```------------2026-----------```
```12Jan     4M 2107 XX01 1898```
```08Jan  4.45M 2396 XX01 1857```
```------------2025-----------```
```30Dec     4M 2196 XX06 1821```
```16Dec     4M 2254 XX03 1775```
```12Dec  3.83M 2101 XX01 1823```
```27Oct  3.65M 2010 XX03 1816```
```24Oct     4M 2196 XX06 1821```
```08Oct     5M 3199 XX04 1563```
```18Aug  4.75M 2409 XX01 1972```
```03Jun   3.9M 2093 XX01 1863```
```01May   3.9M 2196 XX06 1776```
```19Mar  3.95M 2103 XX01 1878```
```25Feb  4.05M 2196 XX06 1844```
```------------2024-----------```
```22Oct     4M 2196 XX06 1821```
```07Oct   3.7M 2108 XX01 1755```
```02Jul  3.65M 2106 XX01 1733```
```25Apr  3.55M 2101 XX01 1690```
```25Mar 3.725M 2196 XX06 1696```
```01Feb     3M 2103 XX01 1427```
```------------2023-----------```
```11Dec  3.98M 2097 XX01 1898```
```30Nov 3.425M 2196 XX06 1560```
```07Nov   3.5M 2093 XX01 1672```
```16Oct   3.2M 2196 XX06 1457```
```04Aug 2.133M 7892 XX02  270```
```24Mar   5.3M 4660 XX03 1137```
```31Jan  3.45M 2196 XX06 1571```
```11Jan   2.5M 2097 XX01 1192```
```------------2022-----------```
```01Sep     3M 2196 XX06 1366```
```------------2021-----------```
```29Dec 2.775M 2196 XX06 1264```
```17Aug 2.656M 2101 XX01 1264```
_Source: DLD, Databot_
_BUA - built-up area, sq.ft._
_P/sf - price per sq.ft._
_B - bedrooms; O - office_
_M - million, K- thousand_
_S - studio, R - shop_
_*Max 30 latest transactions_
www.trydatabot.com</t>
  </si>
  <si>
    <t>1011505, *MARKET</t>
  </si>
  <si>
    <t>*MARKET*
*SNAPSHOT*
*MADA RESIDENCES*
_Area: Downtown_
_Type: 3 bedroom apartment_
*Price dynamics, Dirham/sq.ft.*
_(M - median value)_
```1972|             *        ```
```    |  *                  *```
```    |         ** *       * ```
```1819|---------------------M```
```    |        *      *** *  ```
```    |      **   *      *   ```
```    |*   **                ```
```    |                      ```
```    | *            *       ```
```    |                      ```
```1427|   *                  ```
```____|______________________```
```    |Nov2023        Jan2026```
_Source: see table below_
*Latest sales transactions*
```Date   Price  BUA Type P/sf```
```------------2026-----------```
```12Jan     4M 2107 XX01 1898```
```08Jan  4.45M 2396 XX01 1857```
```------------2025-----------```
```30Dec     4M 2196 XX06 1821```
```16Dec     4M 2254 XX03 1775```
```12Dec  3.83M 2101 XX01 1823```
```27Oct  3.65M 2010 XX03 1816```
```24Oct     4M 2196 XX06 1821```
```08Oct     5M 3199 XX04 1563```
```18Aug  4.75M 2409 XX01 1972```
```03Jun   3.9M 2093 XX01 1863```
```01May   3.9M 2196 XX06 1776```
```19Mar  3.95M 2103 XX01 1878```
```25Feb  4.05M 2196 XX06 1844```
```------------2024-----------```
```22Oct     4M 2196 XX06 1821```
```07Oct   3.7M 2108 XX01 1755```
```02Jul  3.65M 2106 XX01 1733```
```25Apr  3.55M 2101 XX01 1690```
```25Mar 3.725M 2196 XX06 1696```
```01Feb     3M 2103 XX01 1427```
```------------2023-----------```
```11Dec  3.98M 2097 XX01 1898```
```30Nov 3.425M 2196 XX06 1560```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</si>
  <si>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1011506, *NEW RE</t>
  </si>
  <si>
    <t>*NEW RENT*
*CONTRACTS**
_(renewals are not included)_
*MADA RESIDENCES*
_Area: Downtown_
_Type: 3 bedroom apartment_
```Date  Price   BUA  Type D/s```
```------------2025-----------```
```16Dec  300K  2250  XXXX 133```
```15Oct  285K  2088  XXXX 136```
```07Oct  260K  2099  XXXX 124```
```15Jul  235K  2196  XXXX 107```
```20May  240K  2196  XXXX 109```
```02May  240K  2400  XXXX 100```
```01May  240K  2196  XXXX 109```
```------------2024-----------```
```05Nov  240K  2099  XXXX 114```
```05Oct  270K  2088  XXXX 129```
```05Oct  270K  2088  XXXX 129```
```01Aug  240K  2196  XXXX 109```
```15Jul  235K  2196  XXXX 107```
```20May  240K  2196  XXXX 109```
```14Mar  230K  2196  XXXX 105```
```------------2023-----------```
```19Sep  220K  2196  XXXX 100```
```01Sep  235K  2400  XXXX  98```
```20Aug  138K  2099  XXXX  66```
```07May  149K  2390  XXXX  62```
```04May  195K  2400  XXXX  81```
```01Apr  230K  2196  XXXX 105```
_Source: DLD, Databot_
_BUA - built-up area, sq.ft._
_P/sf - price per sq.ft._
_B - bedrooms; O - office_
_M - million, K- thousand_
_S - studio, R - shop_
_*20 latest contracts_
www.trydatabot.com</t>
  </si>
  <si>
    <t>1011508, *SALES*</t>
  </si>
  <si>
    <t>*SALES*
*TRANSACTIONS (RESALE)**
*MADA RESIDENCES*
_Area: Downtown_
_Type: 4 bedroom apartment_
```Date   Price  BUA Type P/sf```
```------------2024-----------```
```30Dec   6.1M 3306 XX02 1845```
```11Nov 5.289M 3306 XX02 1600```
```18Apr  5.15M 2888 XX01 1783```
```15Feb   5.7M 3251 XX03 1753```
```06Feb  5.75M 3253 XX03 1768```
```------------2021-----------```
```24Mar  3.15M  12K XX04  254```
```15Mar     3M 5895 XX01  509```
```11Mar   3.5M 5760 XX03  608```
```11Mar 5.657M 3251 XX03 1740```
```------------2018-----------```
```30Dec   4.3M 2884 XX01 1491```
```30Dec 5.657M 3251 XX03 1740```
_Source: DLD, Databot_
_BUA - built-up area, sq.ft._
_P/sf - price per sq.ft._
_B - bedrooms; O - office_
_M - million, K- thousand_
_S - studio, R - shop_
_*Max 30 latest transactions_
www.trydatabot.com</t>
  </si>
  <si>
    <t>1011509, *MARKET</t>
  </si>
  <si>
    <t>*MARKET*
*SNAPSHOT*
*MADA RESIDENCES*
_Area: Downtown_
_Type: 4 bedroom apartment_
*Price dynamics, Dirham/sq.ft.*
_(M - median value)_
```1845|                 * * *```
```1740|----------------------```
```    |           * *    *   ```
```    |            *       * ```
```    |                      ```
```    |                      ```
```    |                      ```
```    |                      ```
```    |                      ```
```    |              **      ```
```254 |                *     ```
```____|______________________```
```    |Dec2018        Dec2024```
_Source: see table below_
*Latest sales transactions*
```Date   Price  BUA Type P/sf```
```------------2024-----------```
```30Dec   6.1M 3306 XX02 1845```
```11Nov 5.289M 3306 XX02 1600```
```18Apr  5.15M 2888 XX01 1783```
```15Feb   5.7M 3251 XX03 1753```
```06Feb  5.75M 3253 XX03 1768```
```------------2021-----------```
```24Mar  3.15M  12K XX04  254```
```15Mar     3M 5895 XX01  509```
```11Mar   3.5M 5760 XX03  608```
```11Mar 5.657M 3251 XX03 1740```
```------------2018-----------```
```30Dec   4.3M 2884 XX01 1491```
```30Dec 5.657M 3251 XX03 1740```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</si>
  <si>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1011510, *NEW RE</t>
  </si>
  <si>
    <t>*NEW RENT*
*CONTRACTS**
_(renewals are not included)_
*MADA RESIDENCES*
_Area: Downtown_
_Type: 4 bedroom apartment_
```Date  Price   BUA  Type D/s```
```------------2025-----------```
```18Sep  350K  2885  XXXX 121```
```------------2024-----------```
```10Sep   50K  3294  XXXX  15```
```------------2023-----------```
```13Oct  400K  2885  XXXX 139```
```------------2022-----------```
```20Jun  280K  3305  XXXX  85```
```14Feb  285K  2885  XXXX  99```
```------------2021-----------```
```27Sep  174K 12400  XXXX  14```
```01Feb  175K  2885  XXXX  61```
```25Jan  170K  3294  XXXX  52```
```------------2020-----------```
```01Nov  180K  2885  XXXX  62```
```27Sep  175K 12400  XXXX  14```
```15May  185K  3251  XXXX  57```
```01Apr  200K  3305  XXXX  61```
```------------2019-----------```
```20Dec  200K  3294  XXXX  61```
```15Dec  200K  2885  XXXX  69```
```01Apr  240K  2885  XXXX  83```
_Source: DLD, Databot_
_BUA - built-up area, sq.ft._
_P/sf - price per sq.ft._
_B - bedrooms; O - office_
_M - million, K- thousand_
_S - studio, R - shop_
_*20 latest contracts_
www.trydatabot.com</t>
  </si>
  <si>
    <t>1011511, *RESELL</t>
  </si>
  <si>
    <t>*RESELL*
*VS PRIMARY*
*MADA RESIDENCES*
_Area: Downtown_
_Type: 4 bedroom apartment_
*Price dynamics, Dirham/sq.ft.*
_(x - primary; * - resell)_
```1845|                 * * *```
```    |          x* *    *   ```
```    |            *       * ```
```    |                      ```
```1209|                      ```
```    |                      ```
```    |                      ```
```    |                      ```
```    |              **      ```
```254 |                *     ```
```____|______________________```
```    |Dec1899        Dec2024```
_Source: see a table below_
*Latest resell transactions*
```Date   Price  BUA Type P/sf```
```------------2024-----------```
```30Dec   6.1M 3306 XX02 1845```
```11Nov 5.289M 3306 XX02 1600```
```18Apr  5.15M 2888 XX01 1783```
```15Feb   5.7M 3251 XX03 1753```
```06Feb  5.75M 3253 XX03 1768```
```------------2021-----------```
```24Mar  3.15M  12K XX04  254```
```15Mar     3M 5895 XX01  509```
```11Mar   3.5M 5760 XX03  608```
```11Mar 5.657M 3251 XX03 1740```
```------------2018-----------```
```30Dec   4.3M 2884 XX01 1491```
```30Dec 5.657M 3251 XX03 1740```
*Latest primary transactions*
```------------2024-----------```
```29Aug 5.455M 3296 XX02 1655```</t>
  </si>
  <si>
    <t>1011540, *NEW RE</t>
  </si>
  <si>
    <t>*NEW RENT*
*CONTRACTS**
_(renewals are not included)_
*MADA RESIDENCES*
_Area: Downtown_
_All types/bedrooms_
```Date    Price   BUA Type  B```
```------------2025-----------```
```16Dec    300K  2250 XXXX  3```
```27Nov    145K  1119 XXXX  1```
```20Nov    115K  1141 XXXX  1```
```01Nov    100K   904 XXXX  1```
```29Oct    170K  1119 XXXX  1```
```15Oct    285K  2088 XXXX  3```
```07Oct    260K  2099 XXXX  3```
```04Oct     99K   904 XXXX  1```
```01Oct    110K  1141 XXXX  1```
```26Sep    160K  1119 XXXX  1```
```22Sep    150K  1087 XXXX  1```
```22Sep  146.4K  1528 XXXX  2```
```18Sep    350K  2885 XXXX  4```
```15Sep    110K  1044 XXXX  1```
```08Sep    180K  1625 XXXX  2```
```04Sep    195K  1658 XXXX  2```
```01Sep    210K  1615 XXXX  2```
```01Sep    170K  1528 XXXX  2```
```01Aug    150K  1528 XXXX  2```
```23Jul    145K  1098 XXXX  1```
_Source: DLD, Databot_
_BUA - built-up area, sq.ft._
_P/sf - price per sq.ft._
_B - bedrooms; O - office_
_M - million, K- thousand_
_S - studio, R - shop_
_*20 latest contracts_
www.trydatabot.com</t>
  </si>
  <si>
    <t>1011541, *SALES*</t>
  </si>
  <si>
    <t>*SALES*
*TRANSACTIONS (RESALE)**
*MADA RESIDENCES*
_Area: Downtown_
_All types/bedrooms_
```Date    Price   BUA  Type B```
```------------2026-----------```
```12Jan      4M  2107  XX01 3```
```08Jan   4.45M  2396  XX01 3```
```------------2025-----------```
```30Dec      4M  2196  XX06 3```
```16Dec      4M  2254  XX03 3```
```12Dec  3.158M  1620  XX02 2```
```12Dec   3.83M  2101  XX01 3```
```13Nov   3.05M  1614  XX02 2```
```27Oct   3.65M  2010  XX03 3```
```24Oct      4M  2196  XX06 3```
```08Oct      5M  3199  XX04 3```
```18Aug   4.75M  2409  XX01 3```
```28Jul      2M  1101  XX05 1```
```14Jul   2.15M  1114  XX06 1```
```03Jul   2.85M  1620  XX02 2```
```12Jun    1.6M   903  XX04 1```
```03Jun    3.9M  2093  XX01 3```
```02Jun      3M  1656  XX05 2```
```27May   2.09M  1085  XX08 1```
```12May  2.603M  1656  XX05 2```
```07May    2.6M  1530  XX03 2```
```01May    3.9M  2196  XX06 3```
```11Apr      2M  1101  XX05 1```
```03Apr  1.725M   904  XX01 1```
```27Mar   2.35M  1040  XX09 1```
```24Mar   1.63M   904  XX04 1```
```19Mar   3.95M  2103  XX01 3```
```05Mar   2.15M  1101  XX05 1```
```25Feb   4.05M  2196  XX06 3```
```------------2024-----------```
```30Dec    6.1M  3306  XX02 4```
```24Dec   1.65M  1085  XX08 1```
_Source: DLD, Databot_
_BUA - built-up area, sq.ft._
_P/sf - price per sq.ft._
_B - bedrooms; O - office_
_M - million, K- thousand_
_S - studio, R - shop_
_*Max 30 latest transactions_
www.trydatabot.com</t>
  </si>
  <si>
    <t>1011542, Mada, *BUILDI</t>
  </si>
  <si>
    <t xml:space="preserve">*BUILDING*
*PROFILE*
*MADA RESIDENCES*
_Area: Downtown_
_Tap&amp;hold to copy a reply_
```-------------------------```
```Report              Reply```
```-------------------------```
*1 B/R*
```Sales, ROI        1011496```
```Price chart       1011497```
```Rentals           1011498```
*2 B/R*
```Sales, ROI        1011500```
```Price chart       1011501```
```Rentals           1011502```
*3 B/R*
```Sales, ROI        1011504```
```Price chart       1011505```
```Rentals           1011506```
*4 B/R*
```Resell, ROI       1011508```
```Primary sales     1011547```
```Price chart       1011509```
```Rentals           1011510```
```Appreciation      1011511```
*All types/bedrooms*
```Resell, ROI       1011541```
```Primary sales     1011555```
```Rentals           1011540```
</t>
  </si>
  <si>
    <t>1011547, *SALES*</t>
  </si>
  <si>
    <t>*SALES*
*TRANSACTIONS (PRIMARY)**
*MADA RESIDENCES*
_Area: Downtown_
_Type: 4 bedroom apartment_
```Date   Price  BUA Type P/sf```
```------------2024-----------```
```29Aug 5.455M 3296 XX02 1655```
_Source: DLD, Databot_
_BUA - built-up area, sq.ft._
_P/sf - price per sq.ft._
_B - bedrooms; O - office_
_M - million, K- thousand_
_S - studio, R - shop_
_*Max 20 latest transactions_
www.trydatabot.com</t>
  </si>
  <si>
    <t>1011555, *SALES*</t>
  </si>
  <si>
    <t>*SALES*
*TRANSACTIONS (PRIMARY)**
*MADA RESIDENCES*
_Area: Downtown_
_All types/bedrooms_
```Date    Price   BUA  Type B```
```------------2024-----------```
```29Aug  5.455M  3296  XX02 4```
_Source: DLD, Databot_
_BUA - built-up area, sq.ft._
_P/sf - price per sq.ft._
_B - bedrooms; O - office_
_M - million, K- thousand_
_S - studio, R - shop_
_*Max 20 latest transactions_
www.trydatabot.com</t>
  </si>
  <si>
    <t>1011564, *SALES*</t>
  </si>
  <si>
    <r>
      <rPr/>
      <t xml:space="preserve">*SALES*
*TRANSACTIONS (RESALE)**
*MERCEDES-BENZ PLACES*
_Area: Downtown_
_Type: 2 bedroom apartment_
```Date   Price  BUA Type P/sf```
```------------2025-----------```
```24Nov 2.275M 4390 XX02  518```
```17Nov 7.805M 2535 XXXX 3079```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</si>
  <si>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Mercedes-Benz Places</t>
  </si>
  <si>
    <t>1011565, *MARKET</t>
  </si>
  <si>
    <t>*MARKET*
*SNAPSHOT*
*MERCEDES-BENZ PLACES*
_Area: Downtown_
_Type: 2 bedroom apartment_
*Price dynamics, Dirham/sq.ft.*
_(M - median value)_
```3079|                    * ```
```    |                      ```
```    |                      ```
```    |                      ```
```    |                      ```
```1799|---------------------M```
```    |                      ```
```    |                      ```
```    |                      ```
```    |                      ```
```518 |                     *```
```____|______________________```
```    |Nov2025        Nov2025```
_Source: see table below_
*Latest sales transactions*
```Date   Price  BUA Type P/sf```
```------------2025-----------```
```24Nov 2.275M 4390 XX02  518```
```17Nov 7.805M 2535 XXXX 3079```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</si>
  <si>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1011567, *RESELL</t>
  </si>
  <si>
    <t>*RESELL*
*VS PRIMARY*
*MERCEDES-BENZ PLACES*
_Area: Downtown_
_Type: 2 bedroom apartment_
*Price dynamics, Dirham/sq.ft.*
_(x - primary; * - resell)_
```6532|  x x  x              ```
```    |                      ```
```    |     x                ```
```    |xx    x   x           ```
```4128|   x                  ```
```    |                      ```
```    |                    * ```
```    |        xx            ```
```    |                      ```
```518 |                     *```
```____|______________________```
```    |Dec1899        Dec2025```
_Source: see a table below_
*Latest resell transactions*
```Date   Price  BUA Type P/sf```
```------------2025-----------```
```24Nov 2.275M 4390 XX02  518```
```17Nov 7.805M 2535 XXXX 3079```
*Latest primary transactions*
```------------2025-----------```
```26Dec    14M 2884 XX01 4854```
```10Nov   9.1M 4390 XX02 2073```
```10Nov   9.1M 4390 XXXX 2073```
```24Oct  16.1M 2535 XXXX 6351```
```23Oct    15M 3075 XX01 4878```
```15Oct   9.5M 1837 XX01 5171```
```10Oct    12M 1837 XX04 6532```
```08Oct    10M 2535 XXXX 3945```
```07Oct  11.5M 1837 XX04 6260```
```06Oct  14.8M 3075 XXXX 4813```
```30Sep    14M 2884 XX02 4854```
```11Sep   9.2M 1837 XX04 5008```
```14Aug     9M 1837 XX04 4899```
```13Aug    11M 1837 XX04 5988```
```11Aug  14.8M 1837 XX04 8057```
_Source: DLD, Databot_
_BUA - built-up area, sq.ft._
_P/sf - price per sq.ft._
_B - bedrooms; O - office_
_M - million, K- thousand_
_S - studio, R - shop_
www.trydatabot.com</t>
  </si>
  <si>
    <t>1011606, Mercedes, Mersedes, *BUILDI</t>
  </si>
  <si>
    <t xml:space="preserve">*BUILDING*
*PROFILE*
*MERCEDES-BENZ PLACES*
_Area: Downtown_
_Tap&amp;hold to copy a reply_
```-------------------------```
```Report              Reply```
```-------------------------```
*2 B/R*
```Resell, ROI       1011564```
```Primary sales     1011609```
```Price chart       1011565```
```Rentals               n/a```
```Appreciation      1011567```
*3 B/R*
```Primary sales     1011610```
*4 B/R*
```Primary sales     1011611```
*All types/bedrooms*
```Resell, ROI       1011605```
```Primary sales     1011619```
```Rentals               n/a```
</t>
  </si>
  <si>
    <t>1011609, *SALES*</t>
  </si>
  <si>
    <t>*SALES*
*TRANSACTIONS (PRIMARY)**
*MERCEDES-BENZ PLACES*
_Area: Downtown_
_Type: 2 bedroom apartment_
```Date   Price  BUA Type P/sf```
```------------2025-----------```
```26Dec    14M 2884 XX01 4854```
```10Nov   9.1M 4390 XX02 2073```
```10Nov   9.1M 4390 XXXX 2073```
```24Oct  16.1M 2535 XXXX 6351```
```23Oct    15M 3075 XX01 4878```
```15Oct   9.5M 1837 XX01 5171```
```10Oct    12M 1837 XX04 6532```
```08Oct    10M 2535 XXXX 3945```
```07Oct  11.5M 1837 XX04 6260```
```06Oct  14.8M 3075 XXXX 4813```
```30Sep    14M 2884 XX02 4854```
```11Sep   9.2M 1837 XX04 5008```
```14Aug     9M 1837 XX04 4899```
```13Aug    11M 1837 XX04 5988```
```11Aug  14.8M 1837 XX04 8057```
```21Jul     9M 1837 XX01 4899```
```11Jun  15.8M 2535 XXXX 6233```
```16Apr   8.5M 2535 XXXX 3353```
```07Mar  10.5M 2535 XXXX 4142```
```09Jan    12M 2535 XXXX 4734```
_Source: DLD, Databot_
_BUA - built-up area, sq.ft._
_P/sf - price per sq.ft._
_B - bedrooms; O - office_
_M - million, K- thousand_
_S - studio, R - shop_
_*Max 20 latest transactions_
www.trydatabot.com</t>
  </si>
  <si>
    <t>1011610, *SALES*</t>
  </si>
  <si>
    <t>*SALES*
*TRANSACTIONS (PRIMARY)**
*MERCEDES-BENZ PLACES*
_Area: Downtown_
_Type: 3 bedroom apartment_
```Date   Price  BUA Type P/sf```
```------------2025-----------```
```16Dec 17.48M 3287 XXXX 5318```
```10Dec  17.6M 3428 XX01 5134```
```17Nov    18M 3269 XXXX 5506```
```07Oct    17M 3269 XXXX 5200```
```23Sep    15M 2711 XX01 5533```
```11Sep    19M 3178 XX02 5979```
```10Sep  17.5M 2705 XX03 6470```
```25Aug    19M 3219 XX02 5902```
```22Aug  20.3M 2708 XX03 7496```
```13Aug    24M 3448 XX01 6961```
```05Mar    19M 3286 XX02 5782```
```------------2024-----------```
```14Nov  22.5M 3286 XX02 6847```
```29Oct 14.75M 3286 XX02 4489```
```25Oct  22.5M 3286 XX02 6847```
```03Oct 22.11M 2711 XX01 8156```
```03Oct 26.37M 3286 XX02 8025```
```03Oct 21.42M 2708 XX03 7910```
```25Jul  21.7M 2711 XX01 8003```
```25Jul 21.98M 2708 XX03 8118```
```12Jul 20.74M 3286 XX02 6311```
_Source: DLD, Databot_
_BUA - built-up area, sq.ft._
_P/sf - price per sq.ft._
_B - bedrooms; O - office_
_M - million, K- thousand_
_S - studio, R - shop_
_*Max 20 latest transactions_
www.trydatabot.com</t>
  </si>
  <si>
    <t>1011611, *SALES*</t>
  </si>
  <si>
    <t>*SALES*
*TRANSACTIONS (PRIMARY)**
*MERCEDES-BENZ PLACES*
_Area: Downtown_
_Type: 4 bedroom apartment_
```Date   Price  BUA Type P/sf```
```------------2026-----------```
```07Jan    50M 5602 XX01 8925```
```------------2025-----------```
```13Aug  36.2M 3786 XX01 9562```
```04Aug    29M 3786 XX02 7660```
```06Mar    30M 3664 XXXX 8188```
```------------2024-----------```
```17Dec 36.06M 3906 XX01 9233```
```17Dec 35.57M 3907 XX02 9105```
_Source: DLD, Databot_
_BUA - built-up area, sq.ft._
_P/sf - price per sq.ft._
_B - bedrooms; O - office_
_M - million, K- thousand_
_S - studio, R - shop_
_*Max 20 latest transactions_
www.trydatabot.com</t>
  </si>
  <si>
    <t>1011619, *SALES*</t>
  </si>
  <si>
    <t>*SALES*
*TRANSACTIONS (PRIMARY)**
*MERCEDES-BENZ PLACES*
_Area: Downtown_
_All types/bedrooms_
```Date    Price   BUA  Type B```
```------------2026-----------```
```07Jan     50M  5602  XX01 4```
```------------2025-----------```
```26Dec     14M  2884  XX01 2```
```16Dec  17.48M  3287  XXXX 3```
```10Dec   17.6M  3428  XX01 3```
```17Nov     18M  3269  XXXX 3```
```10Nov    9.1M  4390  XX02 2```
```10Nov    9.1M  4390  XXXX 2```
```24Oct   16.1M  2535  XXXX 2```
```23Oct     15M  3075  XX01 2```
```15Oct    9.5M  1837  XX01 2```
```10Oct     12M  1837  XX04 2```
```08Oct     10M  2535  XXXX 2```
```07Oct     17M  3269  XXXX 3```
```07Oct   11.5M  1837  XX04 2```
```06Oct   14.8M  3075  XXXX 2```
```30Sep     14M  2884  XX02 2```
```23Sep     15M  2711  XX01 3```
```11Sep    9.2M  1837  XX04 2```
```11Sep     19M  3178  XX02 3```
```10Sep   17.5M  2705  XX03 3```
_Source: DLD, Databot_
_BUA - built-up area, sq.ft._
_P/sf - price per sq.ft._
_B - bedrooms; O - office_
_M - million, K- thousand_
_S - studio, R - shop_
_*Max 20 latest transactions_
www.trydatabot.com</t>
  </si>
  <si>
    <t>1011624, *SALES*</t>
  </si>
  <si>
    <r>
      <rPr/>
      <t xml:space="preserve">*SALES*
*TRANSACTIONS**
*MISKA 1*
_Area: Downtown_
_Type: 1 bedroom apartment_
```Date   Price  BUA Type P/sf```
```------------2024-----------```
```09Dec   2.3M 1203 XXXX 1912```
```19Nov   2.4M 1203 XXXX 1995```
```29May   2.4M 2198 XXXX 1092```
```------------2023-----------```
```06Jul 1.425M  904 XX01 1576```
```04Jul   1.9M 1203 XX03 1579```
```16May  1.47M  904 XX01 1626```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</si>
  <si>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Miska 1</t>
  </si>
  <si>
    <t>1011625, *MARKET</t>
  </si>
  <si>
    <t>*MARKET*
*SNAPSHOT*
*MISKA 1*
_Area: Downtown_
_Type: 1 bedroom apartment_
*Price dynamics, Dirham/sq.ft.*
_(M - median value)_
```1995|                    * ```
```    |                     *```
```    |                      ```
```    |                      ```
```1603|---------------------M```
```    |                *     ```
```    |                 **   ```
```    |                      ```
```    |                      ```
```    |                      ```
```1092|                   *  ```
```____|______________________```
```    |May2023        Dec2024```
_Source: see table below_
*Latest sales transactions*
```Date   Price  BUA Type P/sf```
```------------2024-----------```
```09Dec   2.3M 1203 XXXX 1912```
```19Nov   2.4M 1203 XXXX 1995```
```29May   2.4M 2198 XXXX 1092```
```------------2023-----------```
```06Jul 1.425M  904 XX01 1576```
```04Jul   1.9M 1203 XX03 1579```
```16May  1.47M  904 XX01 1626```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</si>
  <si>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1011628, *SALES*</t>
  </si>
  <si>
    <t>*SALES*
*TRANSACTIONS**
*MISKA 1*
_Area: Downtown_
_Type: 2 bedroom apartment_
```Date   Price  BUA Type P/sf```
```------------2025-----------```
```10Jan  3.25M 1427 XXXX 2278```
```------------2024-----------```
```23Apr   3.1M 1427 XX02 2172```
```02Feb   2.8M 1404 XX05 1994```
```------------2023-----------```
```20Sep   2.7M 1404 XX05 1923```
```------------2022-----------```
```15Sep   2.1M 1404 XX05 1496```
```31Aug   2.2M 1404 XX05 1567```
```------------2021-----------```
```06May   1.5M 1404 XX05 1068```
```------------2019-----------```
```14Jan  1.89M 1404 XX05 1346```
```------------2018-----------```
```06Dec   2.1M 1404 XX05 1496```
_Source: DLD, Databot_
_BUA - built-up area, sq.ft._
_P/sf - price per sq.ft._
_B - bedrooms; O - office_
_M - million, K- thousand_
_S - studio, R - shop_
_*Max 30 latest transactions_
www.trydatabot.com</t>
  </si>
  <si>
    <t>1011629, *MARKET</t>
  </si>
  <si>
    <t>*MARKET*
*SNAPSHOT*
*MISKA 1*
_Area: Downtown_
_Type: 2 bedroom apartment_
*Price dynamics, Dirham/sq.ft.*
_(M - median value)_
```2278|                     *```
```    |                    * ```
```    |                   *  ```
```    |                  *   ```
```    |                      ```
```    |                      ```
```1567|---------------------M```
```    |             *  **    ```
```    |                      ```
```    |              *       ```
```1068|               *      ```
```____|______________________```
```    |Dec2018        Jan2025```
_Source: see table below_
*Latest sales transactions*
```Date   Price  BUA Type P/sf```
```------------2025-----------```
```10Jan  3.25M 1427 XXXX 2278```
```------------2024-----------```
```23Apr   3.1M 1427 XX02 2172```
```02Feb   2.8M 1404 XX05 1994```
```------------2023-----------```
```20Sep   2.7M 1404 XX05 1923```
```------------2022-----------```
```15Sep   2.1M 1404 XX05 1496```
```31Aug   2.2M 1404 XX05 1567```
```------------2021-----------```
```06May   1.5M 1404 XX05 1068```
```------------2019-----------```
```14Jan  1.89M 1404 XX05 1346```
```------------2018-----------```
```06Dec   2.1M 1404 XX05 1496```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</si>
  <si>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1011632, *SALES*</t>
  </si>
  <si>
    <t>*SALES*
*TRANSACTIONS**
*MISKA 1*
_Area: Downtown_
_Type: 3 bedroom apartment_
```Date   Price  BUA Type P/sf```
```------------2025-----------```
```15Sep   5.9M 1966 XXXX 3001```
```------------2022-----------```
```15Aug     4M 1966 XX04 2035```
```09Feb  3.25M 1966 XX04 1653```
```------------2021-----------```
```15Feb   2.2M 1966 XX04 1119```
_Source: DLD, Databot_
_BUA - built-up area, sq.ft._
_P/sf - price per sq.ft._
_B - bedrooms; O - office_
_M - million, K- thousand_
_S - studio, R - shop_
_*Max 30 latest transactions_
www.trydatabot.com</t>
  </si>
  <si>
    <t>1011633, *MARKET</t>
  </si>
  <si>
    <t>*MARKET*
*SNAPSHOT*
*MISKA 1*
_Area: Downtown_
_Type: 3 bedroom apartment_
*Price dynamics, Dirham/sq.ft.*
_(M - median value)_
```3001|                     *```
```    |                      ```
```    |                      ```
```    |                      ```
```    |                      ```
```    |                    * ```
```1844|---------------------M```
```    |                      ```
```    |                   *  ```
```    |                      ```
```1119|                  *   ```
```____|______________________```
```    |Feb2021        Sep2025```
_Source: see table below_
*Latest sales transactions*
```Date   Price  BUA Type P/sf```
```------------2025-----------```
```15Sep   5.9M 1966 XXXX 3001```
```------------2022-----------```
```15Aug     4M 1966 XX04 2035```
```09Feb  3.25M 1966 XX04 1653```
```------------2021-----------```
```15Feb   2.2M 1966 XX04 1119```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</si>
  <si>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1011636, *SALES*</t>
  </si>
  <si>
    <t>*SALES*
*TRANSACTIONS**
*MISKA 1*
_Area: Downtown_
_Type: 4 bedroom apartment_
```Date   Price  BUA Type P/sf```
```------------2023-----------```
```01Feb     7M 3134 XX02 2234```
_Source: DLD, Databot_
_BUA - built-up area, sq.ft._
_P/sf - price per sq.ft._
_B - bedrooms; O - office_
_M - million, K- thousand_
_S - studio, R - shop_
_*Max 30 latest transactions_
www.trydatabot.com</t>
  </si>
  <si>
    <t>1011637, *MARKET</t>
  </si>
  <si>
    <t>*MARKET*
*SNAPSHOT*
*MISKA 1*
_Area: Downtown_
_Type: 4 bedroom apartment_
*Price dynamics, Dirham/sq.ft.*
_(M - median value)_
```2234|                     *```
```2234|----------------------```
```    |                     *```
```2234|---------------------M```
```    |                     *```
```2234|---------------------M```
```    |                     *```
```2234|---------------------M```
```    |                     *```
```2234|---------------------M```
```    |                     *```
```____|______________________```
```    |Feb2023        Feb2023```
_Source: see table below_
*Latest sales transactions*
```Date   Price  BUA Type P/sf```
```------------2023-----------```
```01Feb     7M 3134 XX02 2234```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</si>
  <si>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1011669, *SALES*</t>
  </si>
  <si>
    <t>*SALES*
*TRANSACTIONS**
*MISKA 1*
_Area: Downtown_
_All types/bedrooms_
```Date    Price   BUA  Type B```
```------------2025-----------```
```15Sep    5.9M  1966  XXXX 3```
```10Jan   3.25M  1427  XXXX 2```
```------------2024-----------```
```09Dec    2.3M  1203  XXXX 1```
```19Nov    2.4M  1203  XXXX 1```
```29May    2.4M  2198  XXXX 1```
```23Apr    3.1M  1427  XX02 2```
```02Feb    2.8M  1404  XX05 2```
```------------2023-----------```
```20Sep    2.7M  1404  XX05 2```
```06Jul  1.425M   904  XX01 1```
```04Jul    1.9M  1203  XX03 1```
```16May   1.47M   904  XX01 1```
```01Feb      7M  3134  XX02 4```
```------------2022-----------```
```15Sep    2.1M  1404  XX05 2```
```31Aug    2.2M  1404  XX05 2```
```15Aug      4M  1966  XX04 3```
```09Feb   3.25M  1966  XX04 3```
```------------2021-----------```
```06May    1.5M  1404  XX05 2```
```15Feb    2.2M  1966  XX04 3```
```------------2019-----------```
```14Jan   1.89M  1404  XX05 2```
```------------2018-----------```
```06Dec    2.1M  1404  XX05 2```
_Source: DLD, Databot_
_BUA - built-up area, sq.ft._
_P/sf - price per sq.ft._
_B - bedrooms; O - office_
_M - million, K- thousand_
_S - studio, R - shop_
_*Max 30 latest transactions_
www.trydatabot.com</t>
  </si>
  <si>
    <t>1011670, by code, *BUILDI</t>
  </si>
  <si>
    <t xml:space="preserve">*BUILDING*
*PROFILE*
*MISKA 1*
_Area: Downtown_
_Tap&amp;hold to copy a reply_
```-------------------------```
```Report              Reply```
```-------------------------```
*1 B/R*
```Sales, ROI        1011624```
```Price chart       1011625```
```Rentals               n/a```
*2 B/R*
```Sales, ROI        1011628```
```Price chart       1011629```
```Rentals               n/a```
*3 B/R*
```Sales, ROI        1011632```
```Price chart       1011633```
```Rentals               n/a```
*4 B/R*
```Sales, ROI        1011636```
```Price chart       1011637```
```Rentals               n/a```
*All types/bedrooms*
```Sales, ROI        1011669```
```Rentals               n/a```
</t>
  </si>
  <si>
    <t>1011688, *SALES*</t>
  </si>
  <si>
    <t>*SALES*
*TRANSACTIONS**
*MISKA 2*
_Area: Downtown_
_Type: 1 bedroom apartment_
```Date   Price  BUA Type P/sf```
```------------2026-----------```
```22Jan 2.825M 1981 XXXX 1426```
```------------2025-----------```
```15Dec   1.9M  916 XXXX 2074```
```18Jun  1.95M  919 XXXX 2122```
```14Apr  1.92M  880 XXXX 2182```
```12Feb  2.05M  931 XXXX 2202```
```------------2024-----------```
```17Dec  1.95M  880 XXXX 2216```
```20Nov   2.2M 1351 XXXX 1628```
```01Oct   2.1M  933 XXXX 2251```
```09Aug   1.6M  880 XXXX 1818```
```14Mar  2.05M 1947 XXXX 1053```
```07Mar  2.45M 1253 XXXX 1955```
```------------2023-----------```
```06Dec   1.7M  916 XX06 1856```
```06Dec  1.65M  976 XX02 1691```
```15Nov   1.8M  866 XX03 2079```
```09Nov  1.51M  880 XX07 1716```
```20Jul  1.65M  916 XX06 1801```
```------------2022-----------```
```25Feb   1.4M  976 XX02 1434```
```28Jan  1.35M  948 XX12 1424```
```------------2021-----------```
```14Nov  1.25M  916 XX06 1365```
```13Jun  1.03M  854 XX10 1206```
```30Mar  1.18M  866 XX03 1363```
```08Feb 1.063M 1253 XXXX  848```
```------------2019-----------```
```25Mar   975K  919 XX09 1061```
```------------2018-----------```
```23Oct 1.075M  854 XX10 1259```
_Source: DLD, Databot_
_BUA - built-up area, sq.ft._
_P/sf - price per sq.ft._
_B - bedrooms; O - office_
_M - million, K- thousand_
_S - studio, R - shop_
_*Max 30 latest transactions_
www.trydatabot.com</t>
  </si>
  <si>
    <t>Miska 2</t>
  </si>
  <si>
    <t>1011689, *MARKET</t>
  </si>
  <si>
    <t>*MARKET*
*SNAPSHOT*
*MISKA 2*
_Area: Downtown_
_Type: 1 bedroom apartment_
*Price dynamics, Dirham/sq.ft.*
_(M - median value)_
```2251|              * ***   ```
```    |        *          ** ```
```    |           *          ```
```    |      *   *  *        ```
```1759|---------------------M```
```    |       * *     *      ```
```    |                      ```
```    | * ***               *```
```    |  *                   ```
```    |            *         ```
```848 |*                     ```
```____|______________________```
```    |Feb2021        Jan2026```
_Source: see table below_
*Latest sales transactions*
```Date   Price  BUA Type P/sf```
```------------2026-----------```
```22Jan 2.825M 1981 XXXX 1426```
```------------2025-----------```
```15Dec   1.9M  916 XXXX 2074```
```18Jun  1.95M  919 XXXX 2122```
```14Apr  1.92M  880 XXXX 2182```
```12Feb  2.05M  931 XXXX 2202```
```------------2024-----------```
```17Dec  1.95M  880 XXXX 2216```
```20Nov   2.2M 1351 XXXX 1628```
```01Oct   2.1M  933 XXXX 2251```
```09Aug   1.6M  880 XXXX 1818```
```14Mar  2.05M 1947 XXXX 1053```
```07Mar  2.45M 1253 XXXX 1955```
```------------2023-----------```
```06Dec   1.7M  916 XX06 1856```
```06Dec  1.65M  976 XX02 1691```
```15Nov   1.8M  866 XX03 2079```
```09Nov  1.51M  880 XX07 1716```
```20Jul  1.65M  916 XX06 1801```
```------------2022-----------```
```25Feb   1.4M  976 XX02 1434```
```28Jan  1.35M  948 XX12 1424```
```------------2021-----------```
```14Nov  1.25M  916 XX06 1365```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</si>
  <si>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1011692, *SALES*</t>
  </si>
  <si>
    <t>*SALES*
*TRANSACTIONS**
*MISKA 2*
_Area: Downtown_
_Type: 2 bedroom apartment_
```Date   Price  BUA Type P/sf```
```------------2025-----------```
```26Aug  4.98M 2120 XXXX 2349```
```14Jul   3.2M 1417 XX26 2258```
```19May 2.925M 1337 XXXX 2188```
```------------2024-----------```
```12Sep   3.4M 1398 XXXX 2432```
```20Mar  3.05M 1758 XXXX 1735```
```------------2023-----------```
```28Dec  2.45M 1417 XX05 1729```
```24Oct   2.1M 1331 XX08 1578```
```------------2022-----------```
```18Aug   1.9M 1331 XX08 1427```
```05Apr  2.65M 2120 XXXX 1250```
```03Feb   250K 2120 XXXX  118```
```05Jan 1.566M 1331 XX08 1176```
```------------2019-----------```
```05Nov 1.475M 1417 XX05 1041```
```18Sep   1.8M 1331 XX08 1352```
```------------2018-----------```
```10Oct   1.7M 1337 XX14 1272```
```06Jun   2.2M 1331 XX08 1653```
_Source: DLD, Databot_
_BUA - built-up area, sq.ft._
_P/sf - price per sq.ft._
_B - bedrooms; O - office_
_M - million, K- thousand_
_S - studio, R - shop_
_*Max 30 latest transactions_
www.trydatabot.com</t>
  </si>
  <si>
    <t>1011693, *MARKET</t>
  </si>
  <si>
    <t>*MARKET*
*SNAPSHOT*
*MISKA 2*
_Area: Downtown_
_Type: 2 bedroom apartment_
*Price dynamics, Dirham/sq.ft.*
_(M - median value)_
```2432|                  *  *```
```    |                   ** ```
```    |                      ```
```    |       *        **    ```
```1578|---------------------M```
```    |              **      ```
```    |        ** * *        ```
```    |          *           ```
```    |                      ```
```    |                      ```
```118 |            *         ```
```____|______________________```
```    |Jun2018        Aug2025```
_Source: see table below_
*Latest sales transactions*
```Date   Price  BUA Type P/sf```
```------------2025-----------```
```26Aug  4.98M 2120 XXXX 2349```
```14Jul   3.2M 1417 XX26 2258```
```19May 2.925M 1337 XXXX 2188```
```------------2024-----------```
```12Sep   3.4M 1398 XXXX 2432```
```20Mar  3.05M 1758 XXXX 1735```
```------------2023-----------```
```28Dec  2.45M 1417 XX05 1729```
```24Oct   2.1M 1331 XX08 1578```
```------------2022-----------```
```18Aug   1.9M 1331 XX08 1427```
```05Apr  2.65M 2120 XXXX 1250```
```03Feb   250K 2120 XXXX  118```
```05Jan 1.566M 1331 XX08 1176```
```------------2019-----------```
```05Nov 1.475M 1417 XX05 1041```
```18Sep   1.8M 1331 XX08 1352```
```------------2018-----------```
```10Oct   1.7M 1337 XX14 1272```
```06Jun   2.2M 1331 XX08 1653```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</si>
  <si>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1011733, *SALES*</t>
  </si>
  <si>
    <t>*SALES*
*TRANSACTIONS**
*MISKA 2*
_Area: Downtown_
_All types/bedrooms_
```Date    Price   BUA  Type B```
```------------2026-----------```
```22Jan  2.825M  1981  XXXX 1```
```------------2025-----------```
```15Dec    1.9M   916  XXXX 1```
```26Aug   4.98M  2120  XXXX 2```
```14Jul    3.2M  1417  XX26 2```
```18Jun   1.95M   919  XXXX 1```
```19May  2.925M  1337  XXXX 2```
```14Apr   1.92M   880  XXXX 1```
```12Feb   2.05M   931  XXXX 1```
```------------2024-----------```
```17Dec   1.95M   880  XXXX 1```
```20Nov    2.2M  1351  XXXX 1```
```01Oct    2.1M   933  XXXX 1```
```12Sep    3.4M  1398  XXXX 2```
```09Aug    1.6M   880  XXXX 1```
```20Mar   3.05M  1758  XXXX 2```
```14Mar   2.05M  1947  XXXX 1```
```07Mar   2.45M  1253  XXXX 1```
```------------2023-----------```
```28Dec   2.45M  1417  XX05 2```
```06Dec    1.7M   916  XX06 1```
```06Dec   1.65M   976  XX02 1```
```15Nov    1.8M   866  XX03 1```
```09Nov   1.51M   880  XX07 1```
```24Oct    2.1M  1331  XX08 2```
```20Jul   1.65M   916  XX06 1```
```------------2022-----------```
```18Aug    1.9M  1331  XX08 2```
```05Apr   2.65M  2120  XXXX 2```
```25Feb    1.4M   976  XX02 1```
```03Feb    250K  2120  XXXX 2```
```28Jan   1.35M   948  XX12 1```
```05Jan  1.566M  1331  XX08 2```
```------------2021-----------```
```14Nov   1.25M   916  XX06 1```
_Source: DLD, Databot_
_BUA - built-up area, sq.ft._
_P/sf - price per sq.ft._
_B - bedrooms; O - office_
_M - million, K- thousand_
_S - studio, R - shop_
_*Max 30 latest transactions_
www.trydatabot.com</t>
  </si>
  <si>
    <t>1011734, by code, *BUILDI</t>
  </si>
  <si>
    <t xml:space="preserve">*BUILDING*
*PROFILE*
*MISKA 2*
_Area: Downtown_
_Tap&amp;hold to copy a reply_
```-------------------------```
```Report              Reply```
```-------------------------```
*1 B/R*
```Sales, ROI        1011688```
```Price chart       1011689```
```Rentals               n/a```
*2 B/R*
```Sales, ROI        1011692```
```Price chart       1011693```
```Rentals               n/a```
*All types/bedrooms*
```Sales, ROI        1011733```
```Rentals               n/a```
</t>
  </si>
  <si>
    <t>1011752, *SALES*</t>
  </si>
  <si>
    <t>*SALES*
*TRANSACTIONS**
*MISKA 3*
_Area: Downtown_
_Type: 1 bedroom apartment_
```Date   Price  BUA Type P/sf```
```------------2025-----------```
```29Oct   2.2M 1012 XXXX 2174```
```25Jun  2.05M  934 XXXX 2195```
```02Jun  1.75M  955 XXXX 1832```
```------------2024-----------```
```15Nov   1.7M  934 XXXX 1820```
```29Oct  2.15M 1449 XX01 1484```
```12Jun  1.77M  959 XX02 1846```
```29May   1.5M  875 XXXX 1714```
```23Jan   1.6M  918 XXXX 1743```
```10Jan  1.56M  918 XXXX 1699```
```02Jan  1.87M  861 XXXX 2172```
```------------2023-----------```
```26Dec 2.001M  875 XXXX 2287```
```28Nov   2.2M 2355 XXXX  934```
```29May  2.67M 2494 XXXX 1071```
```------------2022-----------```
```17Nov  1.46M 1012 XX08 1443```
```16Nov   1.3M 1012 XX08 1285```
```23May 1.325M  947 XX07 1399```
```23May 1.325M  947 XX07 1399```
```13Jan   1.2M  875 XX12 1371```
```------------2021-----------```
```10Mar   960K  875 XX12 1097```
```------------2020-----------```
```15Oct  1.25M 2397 XXXX  521```
```------------2018-----------```
```25Mar  1.45M 1012 XX08 1433```
```06Mar   1.8M 2033 XXXX  885```
_Source: DLD, Databot_
_BUA - built-up area, sq.ft._
_P/sf - price per sq.ft._
_B - bedrooms; O - office_
_M - million, K- thousand_
_S - studio, R - shop_
_*Max 30 latest transactions_
www.trydatabot.com</t>
  </si>
  <si>
    <t>Miska 3</t>
  </si>
  <si>
    <t>1011753, *MARKET</t>
  </si>
  <si>
    <t>*MARKET*
*SNAPSHOT*
*MISKA 3*
_Area: Downtown_
_Type: 1 bedroom apartment_
*Price dynamics, Dirham/sq.ft.*
_(M - median value)_
```2287|           *          ```
```    |            *       **```
```    |                *     ```
```    |             ***  **  ```
```    |                      ```
```1464|---------------------M```
```    | *  *** *        *    ```
```    |       *              ```
```    |   *     *            ```
```    |*         *           ```
```521 |  *                   ```
```____|______________________```
```    |Mar2018        Oct2025```
_Source: see table below_
*Latest sales transactions*
```Date   Price  BUA Type P/sf```
```------------2025-----------```
```29Oct   2.2M 1012 XXXX 2174```
```25Jun  2.05M  934 XXXX 2195```
```02Jun  1.75M  955 XXXX 1832```
```------------2024-----------```
```15Nov   1.7M  934 XXXX 1820```
```29Oct  2.15M 1449 XX01 1484```
```12Jun  1.77M  959 XX02 1846```
```29May   1.5M  875 XXXX 1714```
```23Jan   1.6M  918 XXXX 1743```
```10Jan  1.56M  918 XXXX 1699```
```02Jan  1.87M  861 XXXX 2172```
```------------2023-----------```
```26Dec 2.001M  875 XXXX 2287```
```28Nov   2.2M 2355 XXXX  934```
```29May  2.67M 2494 XXXX 1071```
```------------2022-----------```
```17Nov  1.46M 1012 XX08 1443```
```16Nov   1.3M 1012 XX08 1285```
```23May 1.325M  947 XX07 1399```
```23May 1.325M  947 XX07 1399```
```13Jan   1.2M  875 XX12 1371```
```------------2021-----------```
```10Mar   960K  875 XX12 1097```
```------------2020-----------```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</si>
  <si>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1011756, *SALES*</t>
  </si>
  <si>
    <t>*SALES*
*TRANSACTIONS**
*MISKA 3*
_Area: Downtown_
_Type: 2 bedroom apartment_
```Date   Price  BUA Type P/sf```
```------------2024-----------```
```11Nov  4.15M 2638 XXXX 1573```
```08Oct  3.15M 1419 XXXX 2220```
```04Jul     3M 1324 XXXX 2266```
```------------2023-----------```
```30Nov  2.45M 1419 XXXX 1727```
```23Oct 2.625M 1396 XXXX 1880```
```30Mar   3.2M 2372 XXXX 1349```
```------------2022-----------```
```20Dec   2.6M 2372 XXXX 1096```
```27Apr  1.92M 1324 XX03 1450```
```------------2021-----------```
```04Feb  1.25M 1262 XX09  990```
_Source: DLD, Databot_
_BUA - built-up area, sq.ft._
_P/sf - price per sq.ft._
_B - bedrooms; O - office_
_M - million, K- thousand_
_S - studio, R - shop_
_*Max 30 latest transactions_
www.trydatabot.com</t>
  </si>
  <si>
    <t>1011757, *MARKET</t>
  </si>
  <si>
    <t>*MARKET*
*SNAPSHOT*
*MISKA 3*
_Area: Downtown_
_Type: 2 bedroom apartment_
*Price dynamics, Dirham/sq.ft.*
_(M - median value)_
```2266|                   ** ```
```    |                      ```
```    |                      ```
```    |                 *    ```
```    |                  *   ```
```1573|---------------------M```
```    |                     *```
```    |              *       ```
```    |                *     ```
```    |                      ```
```990 |             * *      ```
```____|______________________```
```    |Feb2021        Nov2024```
_Source: see table below_
*Latest sales transactions*
```Date   Price  BUA Type P/sf```
```------------2024-----------```
```11Nov  4.15M 2638 XXXX 1573```
```08Oct  3.15M 1419 XXXX 2220```
```04Jul     3M 1324 XXXX 2266```
```------------2023-----------```
```30Nov  2.45M 1419 XXXX 1727```
```23Oct 2.625M 1396 XXXX 1880```
```30Mar   3.2M 2372 XXXX 1349```
```------------2022-----------```
```20Dec   2.6M 2372 XXXX 1096```
```27Apr  1.92M 1324 XX03 1450```
```------------2021-----------```
```04Feb  1.25M 1262 XX09  990```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</si>
  <si>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1011797, *SALES*</t>
  </si>
  <si>
    <t>*SALES*
*TRANSACTIONS**
*MISKA 3*
_Area: Downtown_
_All types/bedrooms_
```Date    Price   BUA  Type B```
```------------2025-----------```
```29Oct    2.2M  1012  XXXX 1```
```25Jun   2.05M   934  XXXX 1```
```02Jun   1.75M   955  XXXX 1```
```------------2024-----------```
```15Nov    1.7M   934  XXXX 1```
```11Nov   4.15M  2638  XXXX 2```
```29Oct   2.15M  1449  XX01 1```
```08Oct   3.15M  1419  XXXX 2```
```04Jul      3M  1324  XXXX 2```
```12Jun   1.77M   959  XX02 1```
```29May    1.5M   875  XXXX 1```
```23Jan    1.6M   918  XXXX 1```
```10Jan   1.56M   918  XXXX 1```
```02Jan   1.87M   861  XXXX 1```
```------------2023-----------```
```26Dec  2.001M   875  XXXX 1```
```30Nov   2.45M  1419  XXXX 2```
```28Nov    2.2M  2355  XXXX 1```
```23Oct  2.625M  1396  XXXX 2```
```29May   2.67M  2494  XXXX 1```
```30Mar    3.2M  2372  XXXX 2```
```------------2022-----------```
```20Dec    2.6M  2372  XXXX 2```
```17Nov   1.46M  1012  XX08 1```
```16Nov    1.3M  1012  XX08 1```
```23May  1.325M   947  XX07 1```
```23May  1.325M   947  XX07 1```
```27Apr   1.92M  1324  XX03 2```
```13Jan    1.2M   875  XX12 1```
```------------2021-----------```
```10Mar    960K   875  XX12 1```
```04Feb   1.25M  1262  XX09 2```
```------------2020-----------```
```15Oct   1.25M  2397  XXXX 1```
```------------2018-----------```
```25Mar   1.45M  1012  XX08 1```
_Source: DLD, Databot_
_BUA - built-up area, sq.ft._
_P/sf - price per sq.ft._
_B - bedrooms; O - office_
_M - million, K- thousand_
_S - studio, R - shop_
_*Max 30 latest transactions_
www.trydatabot.com</t>
  </si>
  <si>
    <t>1011798, by code, *BUILDI</t>
  </si>
  <si>
    <t xml:space="preserve">*BUILDING*
*PROFILE*
*MISKA 3*
_Area: Downtown_
_Tap&amp;hold to copy a reply_
```-------------------------```
```Report              Reply```
```-------------------------```
*1 B/R*
```Sales, ROI        1011752```
```Price chart       1011753```
```Rentals               n/a```
*2 B/R*
```Sales, ROI        1011756```
```Price chart       1011757```
```Rentals               n/a```
*All types/bedrooms*
```Sales, ROI        1011797```
```Rentals               n/a```
</t>
  </si>
  <si>
    <t>1011816, *SALES*</t>
  </si>
  <si>
    <t>*SALES*
*TRANSACTIONS**
*MISKA 4*
_Area: Downtown_
_Type: 1 bedroom apartment_
```Date   Price  BUA Type P/sf```
```------------2025-----------```
```17Mar     2M  982 XXXX 2037```
```------------2024-----------```
```26Dec   2.1M  882 XXXX 2381```
```14Nov     2M  884 XXXX 2262```
```------------2023-----------```
```14Jun  1.77M 1188 XX03 1490```
```------------2022-----------```
```01Mar   1.6M 1215 XX03 1317```
```10Feb 1.341M  884 XX01 1517```
```07Jan  1.05M  884 XX01 1188```
```------------2021-----------```
```24Feb   975K 1215 XX03  802```
```------------2019-----------```
```28Oct   970K  884 XX01 1097```
```------------2018-----------```
```23Apr  1.05M 1185 XX03  886```
_Source: DLD, Databot_
_BUA - built-up area, sq.ft._
_P/sf - price per sq.ft._
_B - bedrooms; O - office_
_M - million, K- thousand_
_S - studio, R - shop_
_*Max 30 latest transactions_
www.trydatabot.com</t>
  </si>
  <si>
    <t>Miska 4</t>
  </si>
  <si>
    <t>1011817, *MARKET</t>
  </si>
  <si>
    <t>*MARKET*
*SNAPSHOT*
*MISKA 4*
_Area: Downtown_
_Type: 1 bedroom apartment_
*Price dynamics, Dirham/sq.ft.*
_(M - median value)_
```2381|                    * ```
```    |                   *  ```
```    |                     *```
```    |                      ```
```    |                      ```
```    |                *     ```
```1404|---------------------M```
```    |                  *   ```
```    |                 *    ```
```    |             * *      ```
```802 |            * *       ```
```____|______________________```
```    |Apr2018        Mar2025```
_Source: see table below_
*Latest sales transactions*
```Date   Price  BUA Type P/sf```
```------------2025-----------```
```17Mar     2M  982 XXXX 2037```
```------------2024-----------```
```26Dec   2.1M  882 XXXX 2381```
```14Nov     2M  884 XXXX 2262```
```------------2023-----------```
```14Jun  1.77M 1188 XX03 1490```
```------------2022-----------```
```01Mar   1.6M 1215 XX03 1317```
```10Feb 1.341M  884 XX01 1517```
```07Jan  1.05M  884 XX01 1188```
```------------2021-----------```
```24Feb   975K 1215 XX03  802```
```------------2019-----------```
```28Oct   970K  884 XX01 1097```
```------------2018-----------```
```23Apr  1.05M 1185 XX03  886```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</si>
  <si>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1011820, *SALES*</t>
  </si>
  <si>
    <t>*SALES*
*TRANSACTIONS**
*MISKA 4*
_Area: Downtown_
_Type: 2 bedroom apartment_
```Date   Price  BUA Type P/sf```
```------------2025-----------```
```20Oct   3.2M 1379 XXXX 2321```
```14Jan     3M 1387 XXXX 2163```
```------------2024-----------```
```19Apr   2.1M 1427 XXXX 1472```
```------------2023-----------```
```26Jul  2.33M 1410 XX02 1652```
```------------2022-----------```
```26Sep   1.9M 1404 XX05 1353```
_Source: DLD, Databot_
_BUA - built-up area, sq.ft._
_P/sf - price per sq.ft._
_B - bedrooms; O - office_
_M - million, K- thousand_
_S - studio, R - shop_
_*Max 30 latest transactions_
www.trydatabot.com</t>
  </si>
  <si>
    <t>1011821, *MARKET</t>
  </si>
  <si>
    <t>*MARKET*
*SNAPSHOT*
*MISKA 4*
_Area: Downtown_
_Type: 2 bedroom apartment_
*Price dynamics, Dirham/sq.ft.*
_(M - median value)_
```2321|                     *```
```    |                      ```
```    |                    * ```
```    |                      ```
```    |                      ```
```    |                      ```
```    |                      ```
```1652|---------------------M```
```    |                  *   ```
```    |                   *  ```
```1353|                 *    ```
```____|______________________```
```    |Sep2022        Oct2025```
_Source: see table below_
*Latest sales transactions*
```Date   Price  BUA Type P/sf```
```------------2025-----------```
```20Oct   3.2M 1379 XXXX 2321```
```14Jan     3M 1387 XXXX 2163```
```------------2024-----------```
```19Apr   2.1M 1427 XXXX 1472```
```------------2023-----------```
```26Jul  2.33M 1410 XX02 1652```
```------------2022-----------```
```26Sep   1.9M 1404 XX05 1353```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</si>
  <si>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1011824, *SALES*</t>
  </si>
  <si>
    <t>*SALES*
*TRANSACTIONS**
*MISKA 4*
_Area: Downtown_
_Type: 3 bedroom apartment_
```Date   Price  BUA Type P/sf```
```------------2025-----------```
```11Nov 4.825M 1950 XXXX 2474```
```13Aug 4.403M 1950 XXXX 2258```
```07Aug   4.8M 1941 XXXX 2473```
```20Feb  4.75M 1966 XXXX 2416```
```------------2023-----------```
```06Sep 4.971M 4280 XXXX 1161```
_Source: DLD, Databot_
_BUA - built-up area, sq.ft._
_P/sf - price per sq.ft._
_B - bedrooms; O - office_
_M - million, K- thousand_
_S - studio, R - shop_
_*Max 30 latest transactions_
www.trydatabot.com</t>
  </si>
  <si>
    <t>1011825, *MARKET</t>
  </si>
  <si>
    <t>*MARKET*
*SNAPSHOT*
*MISKA 4*
_Area: Downtown_
_Type: 3 bedroom apartment_
*Price dynamics, Dirham/sq.ft.*
_(M - median value)_
```2474|                  ** *```
```    |                      ```
```    |                    * ```
```    |                      ```
```    |                      ```
```    |                      ```
```    |                      ```
```    |                      ```
```    |                      ```
```1161|                 *    ```
```1161|                 *    ```
```____|______________________```
```    |Sep2023        Nov2025```
_Source: see table below_
*Latest sales transactions*
```Date   Price  BUA Type P/sf```
```------------2025-----------```
```11Nov 4.825M 1950 XXXX 2474```
```13Aug 4.403M 1950 XXXX 2258```
```07Aug   4.8M 1941 XXXX 2473```
```20Feb  4.75M 1966 XXXX 2416```
```------------2023-----------```
```06Sep 4.971M 4280 XXXX 1161```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</si>
  <si>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1011828, *SALES*</t>
  </si>
  <si>
    <t>*SALES*
*TRANSACTIONS**
*MISKA 4*
_Area: Downtown_
_Type: 4 bedroom apartment_
```Date   Price  BUA Type P/sf```
```------------2023-----------```
```18Dec  4.95M 3182 XX01 1556```
```------------2020-----------```
```04Nov  3.65M 3182 XX01 1147```
_Source: DLD, Databot_
_BUA - built-up area, sq.ft._
_P/sf - price per sq.ft._
_B - bedrooms; O - office_
_M - million, K- thousand_
_S - studio, R - shop_
_*Max 30 latest transactions_
www.trydatabot.com</t>
  </si>
  <si>
    <t>1011829, *MARKET</t>
  </si>
  <si>
    <t>*MARKET*
*SNAPSHOT*
*MISKA 4*
_Area: Downtown_
_Type: 4 bedroom apartment_
*Price dynamics, Dirham/sq.ft.*
_(M - median value)_
```1556|                     *```
```    |                      ```
```    |                      ```
```    |                      ```
```    |                      ```
```1352|---------------------M```
```    |                      ```
```    |                      ```
```    |                      ```
```    |                      ```
```1147|                    * ```
```____|______________________```
```    |Nov2020        Dec2023```
_Source: see table below_
*Latest sales transactions*
```Date   Price  BUA Type P/sf```
```------------2023-----------```
```18Dec  4.95M 3182 XX01 1556```
```------------2020-----------```
```04Nov  3.65M 3182 XX01 1147```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</si>
  <si>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1011861, *SALES*</t>
  </si>
  <si>
    <t>*SALES*
*TRANSACTIONS**
*MISKA 4*
_Area: Downtown_
_All types/bedrooms_
```Date    Price   BUA  Type B```
```------------2025-----------```
```11Nov  4.825M  1950  XXXX 3```
```20Oct    3.2M  1379  XXXX 2```
```13Aug  4.403M  1950  XXXX 3```
```07Aug    4.8M  1941  XXXX 3```
```17Mar      2M   982  XXXX 1```
```20Feb   4.75M  1966  XXXX 3```
```14Jan      3M  1387  XXXX 2```
```------------2024-----------```
```26Dec    2.1M   882  XXXX 1```
```14Nov      2M   884  XXXX 1```
```19Apr    2.1M  1427  XXXX 2```
```------------2023-----------```
```18Dec   4.95M  3182  XX01 4```
```06Sep  4.971M  4280  XXXX 3```
```26Jul   2.33M  1410  XX02 2```
```14Jun   1.77M  1188  XX03 1```
```------------2022-----------```
```26Sep    1.9M  1404  XX05 2```
```01Mar    1.6M  1215  XX03 1```
```10Feb  1.341M   884  XX01 1```
```07Jan   1.05M   884  XX01 1```
```------------2021-----------```
```24Feb    975K  1215  XX03 1```
```------------2020-----------```
```04Nov   3.65M  3182  XX01 4```
```------------2019-----------```
```28Oct    970K   884  XX01 1```
```------------2018-----------```
```23Apr   1.05M  1185  XX03 1```
_Source: DLD, Databot_
_BUA - built-up area, sq.ft._
_P/sf - price per sq.ft._
_B - bedrooms; O - office_
_M - million, K- thousand_
_S - studio, R - shop_
_*Max 30 latest transactions_
www.trydatabot.com</t>
  </si>
  <si>
    <t>1011862, by code, *BUILDI</t>
  </si>
  <si>
    <t xml:space="preserve">*BUILDING*
*PROFILE*
*MISKA 4*
_Area: Downtown_
_Tap&amp;hold to copy a reply_
```-------------------------```
```Report              Reply```
```-------------------------```
*1 B/R*
```Sales, ROI        1011816```
```Price chart       1011817```
```Rentals               n/a```
*2 B/R*
```Sales, ROI        1011820```
```Price chart       1011821```
```Rentals               n/a```
*3 B/R*
```Sales, ROI        1011824```
```Price chart       1011825```
```Rentals               n/a```
*4 B/R*
```Sales, ROI        1011828```
```Price chart       1011829```
```Rentals               n/a```
*All types/bedrooms*
```Sales, ROI        1011861```
```Rentals               n/a```
</t>
  </si>
  <si>
    <t>1011880, *SALES*</t>
  </si>
  <si>
    <t>*SALES*
*TRANSACTIONS**
*MISKA 5*
_Area: Downtown_
_Type: 1 bedroom apartment_
```Date   Price  BUA Type P/sf```
```------------2026-----------```
```19Jan  2.05M  967 XXXX 2120```
```------------2024-----------```
```16Dec  1.85M  819 XXXX 2259```
```09Sep   1.5M  819 XXXX 1832```
```------------2023-----------```
```02Nov  1.92M 1107 XX01 1734```
```19Jun 1.685M 1091 XXXX 1544```
```17May  1.45M  888 XXXX 1633```
```19Apr 2.075M 2514 XXXX  825```
```------------2022-----------```
```14Dec 1.725M 1107 XX01 1558```
```------------2021-----------```
```10Nov  1.45M 1371 XXXX 1058```
```21Mar 1.162M 1107 XX01 1050```
```------------2020-----------```
```03May 1.075M  888 XX10 1211```
```------------2019-----------```
```04Aug 1.025M  972 XX09 1055```
```30Jan   900K  888 XX10 1014```
_Source: DLD, Databot_
_BUA - built-up area, sq.ft._
_P/sf - price per sq.ft._
_B - bedrooms; O - office_
_M - million, K- thousand_
_S - studio, R - shop_
_*Max 30 latest transactions_
www.trydatabot.com</t>
  </si>
  <si>
    <t>Miska 5</t>
  </si>
  <si>
    <t>1011881, *MARKET</t>
  </si>
  <si>
    <t>*MARKET*
*SNAPSHOT*
*MISKA 5*
_Area: Downtown_
_Type: 1 bedroom apartment_
*Price dynamics, Dirham/sq.ft.*
_(M - median value)_
```2259|                    * ```
```    |                     *```
```    |                      ```
```    |                   *  ```
```    |                * *   ```
```1544|---------------------M```
```    |              *  *    ```
```    |                      ```
```    |           *          ```
```    |         ** **        ```
```825 |               *      ```
```____|______________________```
```    |Jan2019        Jan2026```
_Source: see table below_
*Latest sales transactions*
```Date   Price  BUA Type P/sf```
```------------2026-----------```
```19Jan  2.05M  967 XXXX 2120```
```------------2024-----------```
```16Dec  1.85M  819 XXXX 2259```
```09Sep   1.5M  819 XXXX 1832```
```------------2023-----------```
```02Nov  1.92M 1107 XX01 1734```
```19Jun 1.685M 1091 XXXX 1544```
```17May  1.45M  888 XXXX 1633```
```19Apr 2.075M 2514 XXXX  825```
```------------2022-----------```
```14Dec 1.725M 1107 XX01 1558```
```------------2021-----------```
```10Nov  1.45M 1371 XXXX 1058```
```21Mar 1.162M 1107 XX01 1050```
```------------2020-----------```
```03May 1.075M  888 XX10 1211```
```------------2019-----------```
```04Aug 1.025M  972 XX09 1055```
```30Jan   900K  888 XX10 1014```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</si>
  <si>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1011884, *SALES*</t>
  </si>
  <si>
    <t>*SALES*
*TRANSACTIONS**
*MISKA 5*
_Area: Downtown_
_Type: 2 bedroom apartment_
```Date   Price  BUA Type P/sf```
```------------2024-----------```
```17Dec   2.7M 1309 XX03 2063```
```------------2023-----------```
```10May   2.2M 1405 XXXX 1566```
```------------2022-----------```
```08Dec  1.85M 1335 XX11 1386```
```28Jan 1.925M 1405 XX03 1370```
```------------2021-----------```
```19Dec  1.67M 1544 XX11 1082```
```------------2020-----------```
```05Feb   1.4M 1405 XX03  996```
```------------2019-----------```
```04Apr   1.8M 1309 XX08 1375```
_Source: DLD, Databot_
_BUA - built-up area, sq.ft._
_P/sf - price per sq.ft._
_B - bedrooms; O - office_
_M - million, K- thousand_
_S - studio, R - shop_
_*Max 30 latest transactions_
www.trydatabot.com</t>
  </si>
  <si>
    <t>1011885, *MARKET</t>
  </si>
  <si>
    <t>*MARKET*
*SNAPSHOT*
*MISKA 5*
_Area: Downtown_
_Type: 2 bedroom apartment_
*Price dynamics, Dirham/sq.ft.*
_(M - median value)_
```2063|                     *```
```    |                      ```
```    |                      ```
```    |                      ```
```    |                      ```
```    |                    * ```
```1375|---------------------M```
```    |               *  **  ```
```    |                      ```
```    |                      ```
```996 |                **    ```
```____|______________________```
```    |Apr2019        Dec2024```
_Source: see table below_
*Latest sales transactions*
```Date   Price  BUA Type P/sf```
```------------2024-----------```
```17Dec   2.7M 1309 XX03 2063```
```------------2023-----------```
```10May   2.2M 1405 XXXX 1566```
```------------2022-----------```
```08Dec  1.85M 1335 XX11 1386```
```28Jan 1.925M 1405 XX03 1370```
```------------2021-----------```
```19Dec  1.67M 1544 XX11 1082```
```------------2020-----------```
```05Feb   1.4M 1405 XX03  996```
```------------2019-----------```
```04Apr   1.8M 1309 XX08 1375```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</si>
  <si>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1011925, *SALES*</t>
  </si>
  <si>
    <t>*SALES*
*TRANSACTIONS**
*MISKA 5*
_Area: Downtown_
_All types/bedrooms_
```Date    Price   BUA  Type B```
```------------2026-----------```
```19Jan   2.05M   967  XXXX 1```
```------------2024-----------```
```17Dec    2.7M  1309  XX03 2```
```16Dec   1.85M   819  XXXX 1```
```09Sep    1.5M   819  XXXX 1```
```------------2023-----------```
```02Nov   1.92M  1107  XX01 1```
```19Jun  1.685M  1091  XXXX 1```
```17May   1.45M   888  XXXX 1```
```10May    2.2M  1405  XXXX 2```
```19Apr  2.075M  2514  XXXX 1```
```------------2022-----------```
```14Dec  1.725M  1107  XX01 1```
```08Dec   1.85M  1335  XX11 2```
```28Jan  1.925M  1405  XX03 2```
```------------2021-----------```
```19Dec   1.67M  1544  XX11 2```
```10Nov   1.45M  1371  XXXX 1```
```21Mar  1.162M  1107  XX01 1```
```------------2020-----------```
```03May  1.075M   888  XX10 1```
```05Feb    1.4M  1405  XX03 2```
```------------2019-----------```
```04Aug  1.025M   972  XX09 1```
```04Apr    1.8M  1309  XX08 2```
```30Jan    900K   888  XX10 1```
_Source: DLD, Databot_
_BUA - built-up area, sq.ft._
_P/sf - price per sq.ft._
_B - bedrooms; O - office_
_M - million, K- thousand_
_S - studio, R - shop_
_*Max 30 latest transactions_
www.trydatabot.com</t>
  </si>
  <si>
    <t>1011926, by code, *BUILDI</t>
  </si>
  <si>
    <t xml:space="preserve">*BUILDING*
*PROFILE*
*MISKA 5*
_Area: Downtown_
_Tap&amp;hold to copy a reply_
```-------------------------```
```Report              Reply```
```-------------------------```
*1 B/R*
```Sales, ROI        1011880```
```Price chart       1011881```
```Rentals               n/a```
*2 B/R*
```Sales, ROI        1011884```
```Price chart       1011885```
```Rentals               n/a```
*All types/bedrooms*
```Sales, ROI        1011925```
```Rentals               n/a```
</t>
  </si>
  <si>
    <t>1011944, *SALES*</t>
  </si>
  <si>
    <t>*SALES*
*TRANSACTIONS**
*MISKA 1-5*
_Area: Downtown_
_Type: 1 bedroom apartment_
```Date   Price  BUA Type P/sf```
```------------2026-----------```
```22Jan 2.825M 1981 XXXX 1426```
```19Jan  2.05M  967 XXXX 2120```
```------------2025-----------```
```15Dec   1.9M  916 XXXX 2074```
```29Oct   2.2M 1012 XXXX 2174```
```25Jun  2.05M  934 XXXX 2195```
```18Jun  1.95M  919 XXXX 2122```
```02Jun  1.75M  955 XXXX 1832```
```14Apr  1.92M  880 XXXX 2182```
```17Mar     2M  982 XXXX 2037```
```12Feb  2.05M  931 XXXX 2202```
```------------2024-----------```
```26Dec   2.1M  882 XXXX 2381```
```17Dec  1.95M  880 XXXX 2216```
```16Dec  1.85M  819 XXXX 2259```
```09Dec   2.3M 1203 XXXX 1912```
```20Nov   2.2M 1351 XXXX 1628```
```19Nov   2.4M 1203 XXXX 1995```
```15Nov   1.7M  934 XXXX 1820```
```14Nov     2M  884 XXXX 2262```
```29Oct  2.15M 1449 XX01 1484```
```01Oct   2.1M  933 XXXX 2251```
```09Sep   1.5M  819 XXXX 1832```
```09Aug   1.6M  880 XXXX 1818```
```12Jun  1.77M  959 XX02 1846```
```29May   2.4M 2198 XXXX 1092```
```29May   1.5M  875 XXXX 1714```
```14Mar  2.05M 1947 XXXX 1053```
```07Mar  2.45M 1253 XXXX 1955```
```23Jan   1.6M  918 XXXX 1743```
```10Jan  1.56M  918 XXXX 1699```
```02Jan  1.87M  861 XXXX 2172```
_Source: DLD, Databot_
_BUA - built-up area, sq.ft._
_P/sf - price per sq.ft._
_B - bedrooms; O - office_
_M - million, K- thousand_
_S - studio, R - shop_
_*Max 30 latest transactions_
www.trydatabot.com</t>
  </si>
  <si>
    <t>Miska 1-5</t>
  </si>
  <si>
    <t>1011945, *MARKET</t>
  </si>
  <si>
    <t>*MARKET*
*SNAPSHOT*
*MISKA 1-5*
_Area: Downtown_
_Type: 1 bedroom apartment_
*Price dynamics, Dirham/sq.ft.*
_(M - median value)_
```2381|           *          ```
```    |  * *    *            ```
```    |          * * *  **   ```
```2097|---------------------M```
```    |                *  ** ```
```    |      *      *        ```
```    |        *             ```
```    |**   *         *      ```
```    |                      ```
```    |       *              ```
```1426|   *                 *```
```____|______________________```
```    |Aug2024        Jan2026```
_Source: see table below_
*Latest sales transactions*
```Date   Price  BUA Type P/sf```
```------------2026-----------```
```22Jan 2.825M 1981 XXXX 1426```
```19Jan  2.05M  967 XXXX 2120```
```------------2025-----------```
```15Dec   1.9M  916 XXXX 2074```
```29Oct   2.2M 1012 XXXX 2174```
```25Jun  2.05M  934 XXXX 2195```
```18Jun  1.95M  919 XXXX 2122```
```02Jun  1.75M  955 XXXX 1832```
```14Apr  1.92M  880 XXXX 2182```
```17Mar     2M  982 XXXX 2037```
```12Feb  2.05M  931 XXXX 2202```
```------------2024-----------```
```26Dec   2.1M  882 XXXX 2381```
```17Dec  1.95M  880 XXXX 2216```
```16Dec  1.85M  819 XXXX 2259```
```09Dec   2.3M 1203 XXXX 1912```
```20Nov   2.2M 1351 XXXX 1628```
```19Nov   2.4M 1203 XXXX 1995```
```15Nov   1.7M  934 XXXX 1820```
```14Nov     2M  884 XXXX 2262```
```29Oct  2.15M 1449 XX01 1484```
```01Oct   2.1M  933 XXXX 2251```
```09Sep   1.5M  819 XXXX 1832```
```09Aug   1.6M  880 XXXX 1818```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</si>
  <si>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1011948, *SALES*</t>
  </si>
  <si>
    <t>*SALES*
*TRANSACTIONS**
*MISKA 1-5*
_Area: Downtown_
_Type: 2 bedroom apartment_
```Date   Price  BUA Type P/sf```
```------------2025-----------```
```20Oct   3.2M 1379 XXXX 2321```
```26Aug  4.98M 2120 XXXX 2349```
```14Jul   3.2M 1417 XX26 2258```
```19May 2.925M 1337 XXXX 2188```
```14Jan     3M 1387 XXXX 2163```
```10Jan  3.25M 1427 XXXX 2278```
```------------2024-----------```
```17Dec   2.7M 1309 XX03 2063```
```11Nov  4.15M 2638 XXXX 1573```
```08Oct  3.15M 1419 XXXX 2220```
```12Sep   3.4M 1398 XXXX 2432```
```04Jul     3M 1324 XXXX 2266```
```23Apr   3.1M 1427 XX02 2172```
```19Apr   2.1M 1427 XXXX 1472```
```20Mar  3.05M 1758 XXXX 1735```
```02Feb   2.8M 1404 XX05 1994```
```------------2023-----------```
```28Dec  2.45M 1417 XX05 1729```
```30Nov  2.45M 1419 XXXX 1727```
```24Oct   2.1M 1331 XX08 1578```
```23Oct 2.625M 1396 XXXX 1880```
```20Sep   2.7M 1404 XX05 1923```
```26Jul  2.33M 1410 XX02 1652```
```10May   2.2M 1405 XXXX 1566```
```30Mar   3.2M 2372 XXXX 1349```
```------------2022-----------```
```20Dec   2.6M 2372 XXXX 1096```
```08Dec  1.85M 1335 XX11 1386```
```26Sep   1.9M 1404 XX05 1353```
```15Sep   2.1M 1404 XX05 1496```
```31Aug   2.2M 1404 XX05 1567```
```18Aug   1.9M 1331 XX08 1427```
```27Apr  1.92M 1324 XX03 1450```
_Source: DLD, Databot_
_BUA - built-up area, sq.ft._
_P/sf - price per sq.ft._
_B - bedrooms; O - office_
_M - million, K- thousand_
_S - studio, R - shop_
_*Max 30 latest transactions_
www.trydatabot.com</t>
  </si>
  <si>
    <t>1011949, *MARKET</t>
  </si>
  <si>
    <t>*MARKET*
*SNAPSHOT*
*MISKA 1-5*
_Area: Downtown_
_Type: 2 bedroom apartment_
*Price dynamics, Dirham/sq.ft.*
_(M - median value)_
```2432|            *         ```
```    |                    **```
```    |           * *  *  *  ```
```    |          *      **   ```
```2029|---------------------M```
```    |               *      ```
```    |  *    *              ```
```    |   *                  ```
```    |     ** *             ```
```    | *  *         *       ```
```1472|*        *            ```
```____|______________________```
```    |May2023        Oct2025```
_Source: see table below_
*Latest sales transactions*
```Date   Price  BUA Type P/sf```
```------------2025-----------```
```20Oct   3.2M 1379 XXXX 2321```
```26Aug  4.98M 2120 XXXX 2349```
```14Jul   3.2M 1417 XX26 2258```
```19May 2.925M 1337 XXXX 2188```
```14Jan     3M 1387 XXXX 2163```
```10Jan  3.25M 1427 XXXX 2278```
```------------2024-----------```
```17Dec   2.7M 1309 XX03 2063```
```11Nov  4.15M 2638 XXXX 1573```
```08Oct  3.15M 1419 XXXX 2220```
```12Sep   3.4M 1398 XXXX 2432```
```04Jul     3M 1324 XXXX 2266```
```23Apr   3.1M 1427 XX02 2172```
```19Apr   2.1M 1427 XXXX 1472```
```20Mar  3.05M 1758 XXXX 1735```
```02Feb   2.8M 1404 XX05 1994```
```------------2023-----------```
```28Dec  2.45M 1417 XX05 1729```
```30Nov  2.45M 1419 XXXX 1727```
```24Oct   2.1M 1331 XX08 1578```
```23Oct 2.625M 1396 XXXX 1880```
```20Sep   2.7M 1404 XX05 1923```
```26Jul  2.33M 1410 XX02 1652```
```10May   2.2M 1405 XXXX 1566```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</si>
  <si>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1011952, *SALES*</t>
  </si>
  <si>
    <t>*SALES*
*TRANSACTIONS**
*MISKA 1-5*
_Area: Downtown_
_Type: 3 bedroom apartment_
```Date   Price  BUA Type P/sf```
```------------2025-----------```
```11Nov 4.825M 1950 XXXX 2474```
```15Sep   5.9M 1966 XXXX 3001```
```13Aug 4.403M 1950 XXXX 2258```
```07Aug   4.8M 1941 XXXX 2473```
```20Feb  4.75M 1966 XXXX 2416```
```------------2023-----------```
```06Sep 4.971M 4280 XXXX 1161```
```------------2022-----------```
```15Aug     4M 1966 XX04 2035```
```09Feb  3.25M 1966 XX04 1653```
```------------2021-----------```
```15Feb   2.2M 1966 XX04 1119```
_Source: DLD, Databot_
_BUA - built-up area, sq.ft._
_P/sf - price per sq.ft._
_B - bedrooms; O - office_
_M - million, K- thousand_
_S - studio, R - shop_
_*Max 30 latest transactions_
www.trydatabot.com</t>
  </si>
  <si>
    <t>1011953, *MARKET</t>
  </si>
  <si>
    <t>*MARKET*
*SNAPSHOT*
*MISKA 1-5*
_Area: Downtown_
_Type: 3 bedroom apartment_
*Price dynamics, Dirham/sq.ft.*
_(M - median value)_
```3001|                    * ```
```    |                      ```
```    |                      ```
```    |                 **  *```
```2258|---------------------M```
```    |                   *  ```
```    |               *      ```
```    |                      ```
```    |              *       ```
```    |                      ```
```1119|             *  *     ```
```____|______________________```
```    |Feb2021        Nov2025```
_Source: see table below_
*Latest sales transactions*
```Date   Price  BUA Type P/sf```
```------------2025-----------```
```11Nov 4.825M 1950 XXXX 2474```
```15Sep   5.9M 1966 XXXX 3001```
```13Aug 4.403M 1950 XXXX 2258```
```07Aug   4.8M 1941 XXXX 2473```
```20Feb  4.75M 1966 XXXX 2416```
```------------2023-----------```
```06Sep 4.971M 4280 XXXX 1161```
```------------2022-----------```
```15Aug     4M 1966 XX04 2035```
```09Feb  3.25M 1966 XX04 1653```
```------------2021-----------```
```15Feb   2.2M 1966 XX04 1119```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</si>
  <si>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1011956, *SALES*</t>
  </si>
  <si>
    <t>*SALES*
*TRANSACTIONS**
*MISKA 1-5*
_Area: Downtown_
_Type: 4 bedroom apartment_
```Date   Price  BUA Type P/sf```
```------------2023-----------```
```18Dec  4.95M 3182 XX01 1556```
```01Feb     7M 3134 XX02 2234```
```------------2020-----------```
```04Nov  3.65M 3182 XX01 1147```
_Source: DLD, Databot_
_BUA - built-up area, sq.ft._
_P/sf - price per sq.ft._
_B - bedrooms; O - office_
_M - million, K- thousand_
_S - studio, R - shop_
_*Max 30 latest transactions_
www.trydatabot.com</t>
  </si>
  <si>
    <t>1011957, *MARKET</t>
  </si>
  <si>
    <t>*MARKET*
*SNAPSHOT*
*MISKA 1-5*
_Area: Downtown_
_Type: 4 bedroom apartment_
*Price dynamics, Dirham/sq.ft.*
_(M - median value)_
```2234|                    * ```
```    |                      ```
```    |                      ```
```    |                      ```
```    |                      ```
```    |                      ```
```1556|---------------------M```
```    |                     *```
```    |                      ```
```    |                      ```
```1147|                   *  ```
```____|______________________```
```    |Nov2020        Dec2023```
_Source: see table below_
*Latest sales transactions*
```Date   Price  BUA Type P/sf```
```------------2023-----------```
```18Dec  4.95M 3182 XX01 1556```
```01Feb     7M 3134 XX02 2234```
```------------2020-----------```
```04Nov  3.65M 3182 XX01 1147```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</si>
  <si>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1011989, *SALES*</t>
  </si>
  <si>
    <t>*SALES*
*TRANSACTIONS**
*MISKA 1-5*
_Area: Downtown_
_All types/bedrooms_
```Date    Price   BUA  Type B```
```------------2026-----------```
```22Jan  2.825M  1981  XXXX 1```
```19Jan   2.05M   967  XXXX 1```
```------------2025-----------```
```15Dec    1.9M   916  XXXX 1```
```11Nov  4.825M  1950  XXXX 3```
```29Oct    2.2M  1012  XXXX 1```
```20Oct    3.2M  1379  XXXX 2```
```15Sep    5.9M  1966  XXXX 3```
```26Aug   4.98M  2120  XXXX 2```
```13Aug  4.403M  1950  XXXX 3```
```07Aug    4.8M  1941  XXXX 3```
```14Jul    3.2M  1417  XX26 2```
```25Jun   2.05M   934  XXXX 1```
```18Jun   1.95M   919  XXXX 1```
```02Jun   1.75M   955  XXXX 1```
```19May  2.925M  1337  XXXX 2```
```14Apr   1.92M   880  XXXX 1```
```17Mar      2M   982  XXXX 1```
```20Feb   4.75M  1966  XXXX 3```
```12Feb   2.05M   931  XXXX 1```
```14Jan      3M  1387  XXXX 2```
```10Jan   3.25M  1427  XXXX 2```
```------------2024-----------```
```26Dec    2.1M   882  XXXX 1```
```17Dec   1.95M   880  XXXX 1```
```17Dec    2.7M  1309  XX03 2```
```16Dec   1.85M   819  XXXX 1```
```09Dec    2.3M  1203  XXXX 1```
```20Nov    2.2M  1351  XXXX 1```
```19Nov    2.4M  1203  XXXX 1```
```15Nov    1.7M   934  XXXX 1```
```14Nov      2M   884  XXXX 1```
_Source: DLD, Databot_
_BUA - built-up area, sq.ft._
_P/sf - price per sq.ft._
_B - bedrooms; O - office_
_M - million, K- thousand_
_S - studio, R - shop_
_*Max 30 latest transactions_
www.trydatabot.com</t>
  </si>
  <si>
    <t>1011990, by code, *BUILDI</t>
  </si>
  <si>
    <t xml:space="preserve">*BUILDING*
*PROFILE*
*MISKA 1-5*
_Area: Downtown_
_Tap&amp;hold to copy a reply_
```-------------------------```
```Report              Reply```
```-------------------------```
*1 B/R*
```Sales, ROI        1011944```
```Price chart       1011945```
```Rentals               n/a```
*2 B/R*
```Sales, ROI        1011948```
```Price chart       1011949```
```Rentals               n/a```
*3 B/R*
```Sales, ROI        1011952```
```Price chart       1011953```
```Rentals               n/a```
*4 B/R*
```Sales, ROI        1011956```
```Price chart       1011957```
```Rentals               n/a```
*All types/bedrooms*
```Sales, ROI        1011989```
```Rentals               n/a```
</t>
  </si>
  <si>
    <t>1012008, *SALES*</t>
  </si>
  <si>
    <r>
      <rPr/>
      <t xml:space="preserve">*SALES*
*TRANSACTIONS**
*MON REVE*
_Area: Downtown_
_Type: 1 bedroom apartment_
_Gross ROI=6.8% (confidence: low)_
_Median annual rent=105.5K_
```Date   Price  BUA Type P/sf```
```------------2025-----------```
```12Jun   1.5M  870 XX08 1724```
```11Jun   1.6M  854 XX08 1874```
```------------2024-----------```
```12Nov 1.475M  870 XX08 1695```
```------------2023-----------```
```26Oct  1.25M  870 XX08 1437```
```27Jul  1.36M  824 XX09 1650```
```20Jun 1.485M  824 XX09 1802```
```21Mar   1.5M  854 XX08 1756```
```11Jan   1.3M  852 XX09 1526```
```------------2020-----------```
```24Aug 1.225M  854 XX08 1434```
```------------2018-----------```
```03May 1.294M  868 XX07 1490```
```19Apr 1.636M  870 XX08 1880```
```19Apr  1.55M  852 XX07 1819```
```18Apr 1.565M  824 XX09 1900```
```15Apr 1.236M  908 XX09 1361```
```15Apr 1.308M  910 XX08 1437```
```08Apr 1.308M  874 XX07 1496```
```28Mar  1.36M  868 XX07 1567```
```28Mar  1.36M  870 XX08 1563```
```28Mar 1.285M  824 XX09 1560```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</si>
  <si>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Mon Reve</t>
  </si>
  <si>
    <t>1012009, *MARKET</t>
  </si>
  <si>
    <t>*MARKET*
*SNAPSHOT*
*MON REVE*
_Area: Downtown_
_Type: 1 bedroom apartment_
*Price dynamics, Dirham/sq.ft.*
_(M - median value)_
```1900|         * *        * ```
```    |                      ```
```    |                *     ```
```    |               *     *```
```    |                   *  ```
```    |                 *    ```
```1567|---------------------M```
```    |   ***                ```
```    |      *       *       ```
```    |       *    **    *   ```
```1361|        *             ```
```____|______________________```
```    |Mar2018        Jun2025```
_Source: see table below_
*Latest sales transactions*
```Date   Price  BUA Type P/sf```
```------------2025-----------```
```12Jun   1.5M  870 XX08 1724```
```11Jun   1.6M  854 XX08 1874```
```------------2024-----------```
```12Nov 1.475M  870 XX08 1695```
```------------2023-----------```
```26Oct  1.25M  870 XX08 1437```
```27Jul  1.36M  824 XX09 1650```
```20Jun 1.485M  824 XX09 1802```
```21Mar   1.5M  854 XX08 1756```
```11Jan   1.3M  852 XX09 1526```
```------------2020-----------```
```24Aug 1.225M  854 XX08 1434```
```------------2018-----------```
```03May 1.294M  868 XX07 1490```
```19Apr 1.636M  870 XX08 1880```
```19Apr  1.55M  852 XX07 1819```
```18Apr 1.565M  824 XX09 1900```
```15Apr 1.236M  908 XX09 1361```
```15Apr 1.308M  910 XX08 1437```
```08Apr 1.308M  874 XX07 1496```
```28Mar  1.36M  868 XX07 1567```
```28Mar  1.36M  870 XX08 1563```
```28Mar 1.285M  824 XX09 1560```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</si>
  <si>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1012010, *NEW RE</t>
  </si>
  <si>
    <t>*NEW RENT*
*CONTRACTS**
_(renewals are not included)_
*MON REVE*
_Area: Downtown_
_Type: 1 bedroom apartment_
```Date  Price   BUA  Type D/s```
```------------2025-----------```
```01Dec  110K   850  XXXX 129```
```01Sep  110K   850  XXXX 129```
```29Aug   95K   829  XXXX 115```
```28Aug  112K   915  XXXX 122```
```15Mar   45K   850  XXXX  53```
```04Jan  105K   872  XXXX 120```
```------------2024-----------```
```01Dec  105K   872  XXXX 120```
```29Nov  125K   850  XXXX 147```
```20Nov  110K   872  XXXX 126```
```07Oct  110K   829  XXXX 133```
```03Oct 49.7K   872  XXXX  57```
```28Aug  105K   915  XXXX 115```
```07Aug  117K   904  XXXX 129```
```12Jul   95K   850  XXXX 112```
```23Mar  105K   872  XXXX 120```
```15Mar   45K   850  XXXX  53```
```------------2023-----------```
```22Nov  120K   850  XXXX 141```
```03Nov  120K   829  XXXX 145```
```01Oct  106K   829  XXXX 128```
```12May   80K   850  XXXX  94```
_Source: DLD, Databot_
_BUA - built-up area, sq.ft._
_P/sf - price per sq.ft._
_B - bedrooms; O - office_
_M - million, K- thousand_
_S - studio, R - shop_
_*20 latest contracts_
www.trydatabot.com</t>
  </si>
  <si>
    <t>1012012, *SALES*</t>
  </si>
  <si>
    <t>*SALES*
*TRANSACTIONS (RESALE)**
*MON REVE*
_Area: Downtown_
_Type: 2 bedroom apartment_
_Gross ROI=6.51% (confidence: low)_
_Median annual rent=157.5K_
```Date   Price  BUA Type P/sf```
```------------2025-----------```
```03Jun 2.237M 1864 XX08 1200```
```17Feb  2.35M 1198 XX06 1962```
```------------2024-----------```
```30Jul  2.55M 1356 XX01 1881```
```13Mar   2.3M 1383 XX02 1663```
```------------2023-----------```
```11Dec   2.3M 1458 XX07 1578```
```01Dec  2.35M 1468 XX05 1601```
```10Nov  2.55M 1379 XX02 1849```
```12Oct     2M 1356 XX01 1475```
```09Oct  2.13M 1356 XX01 1571```
```03Oct  2.17M 1400 XX04 1550```
```05Jun   2.2M 1377 XX02 1598```
```09May   2.2M 1354 XX01 1625```
```------------2022-----------```
```09Nov 2.225M 1403 XX07 1586```
```18May 2.175M 1404 XX01 1549```
```25Mar   1.7M 1197 XX06 1420```
```20Jan     2M 1380 XX02 1449```
```------------2021-----------```
```29Aug 2.084M 1377 XX02 1513```
```29Aug  2.34M 1537 XX03 1523```
```26Aug 2.119M 1400 XX04 1514```
```26Aug 2.216M 1469 XX05 1509```
```26Aug 2.362M 1553 XX06 1521```
```25Aug 2.068M 1356 XX01 1525```
```------------2019-----------```
```30Jun   1.9M 1198 XX06 1586```
```------------2018-----------```
```21Oct  2.89M 1537 XX03 1880```
```15Apr 2.111M 1354 XX01 1559```
```15Apr 2.111M 1381 XX02 1528```
```15Apr 1.842M 1197 XX06 1539```
```15Apr  2.22M 1405 XX07 1580```
```15Apr 2.152M 1354 XX01 1590```
```15Apr 2.152M 1379 XX02 1561```
_Source: DLD, Databot_
_BUA - built-up area, sq.ft._
_P/sf - price per sq.ft._
_B - bedrooms; O - office_
_M - million, K- thousand_
_S - studio, R - shop_
_*Max 30 latest transactions_
www.trydatabot.com</t>
  </si>
  <si>
    <t>1012013, *MARKET</t>
  </si>
  <si>
    <t>*MARKET*
*SNAPSHOT*
*MON REVE*
_Area: Downtown_
_Type: 2 bedroom apartment_
*Price dynamics, Dirham/sq.ft.*
_(M - median value)_
```1962|                    * ```
```    |               *   *  ```
```    |                      ```
```    |                      ```
```    |          *       *   ```
```1550|---------------------M```
```    |        ** ***  **    ```
```    |******        *       ```
```    |      **              ```
```    |                      ```
```1200|                     *```
```____|______________________```
```    |Aug2021        Jun2025```
_Source: see table below_
*Latest sales transactions*
```Date   Price  BUA Type P/sf```
```------------2025-----------```
```03Jun 2.237M 1864 XX08 1200```
```17Feb  2.35M 1198 XX06 1962```
```------------2024-----------```
```30Jul  2.55M 1356 XX01 1881```
```13Mar   2.3M 1383 XX02 1663```
```------------2023-----------```
```11Dec   2.3M 1458 XX07 1578```
```01Dec  2.35M 1468 XX05 1601```
```10Nov  2.55M 1379 XX02 1849```
```12Oct     2M 1356 XX01 1475```
```09Oct  2.13M 1356 XX01 1571```
```03Oct  2.17M 1400 XX04 1550```
```05Jun   2.2M 1377 XX02 1598```
```09May   2.2M 1354 XX01 1625```
```------------2022-----------```
```09Nov 2.225M 1403 XX07 1586```
```18May 2.175M 1404 XX01 1549```
```25Mar   1.7M 1197 XX06 1420```
```20Jan     2M 1380 XX02 1449```
```------------2021-----------```
```29Aug 2.084M 1377 XX02 1513```
```29Aug  2.34M 1537 XX03 1523```
```26Aug 2.119M 1400 XX04 1514```
```26Aug 2.216M 1469 XX05 1509```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</si>
  <si>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1012014, *NEW RE</t>
  </si>
  <si>
    <t>*NEW RENT*
*CONTRACTS**
_(renewals are not included)_
*MON REVE*
_Area: Downtown_
_Type: 2 bedroom apartment_
```Date  Price   BUA  Type D/s```
```------------2025-----------```
```10Oct  145K  1195  XXXX 121```
```10Oct  155K  1195  XXXX 130```
```01Oct  160K  1378  XXXX 116```
```01Sep  155K  1550  XXXX 100```
```15Aug  150K  1356  XXXX 111```
```03Jul  165K  1464  XXXX 113```
```01Jul  150K  1399  XXXX 107```
```15Jun  150K  1399  XXXX 107```
```24May  160K  1550  XXXX 103```
```02May  150K  1356  XXXX 111```
```10Mar  138K  1356  XXXX 102```
```12Feb  170K  1399  XXXX 122```
```08Feb  165K  1862  XXXX  89```
```03Feb  155K  1378  XXXX 112```
```19Jan  160K  1550  XXXX 103```
```13Jan  114K  1464  XXXX  78```
```------------2024-----------```
```13Dec  160K  2013  XXXX  79```
```10Dec  170K  1378  XXXX 123```
```07Dec  165K  1356  XXXX 122```
```07Dec  165K  1464  XXXX 113```
_Source: DLD, Databot_
_BUA - built-up area, sq.ft._
_P/sf - price per sq.ft._
_B - bedrooms; O - office_
_M - million, K- thousand_
_S - studio, R - shop_
_*20 latest contracts_
www.trydatabot.com</t>
  </si>
  <si>
    <t>1012015, *RESELL</t>
  </si>
  <si>
    <t>*RESELL*
*VS PRIMARY*
*MON REVE*
_Area: Downtown_
_Type: 2 bedroom apartment_
*Price dynamics, Dirham/sq.ft.*
_(x - primary; * - resell)_
```1962|                    * ```
```    |               *   *  ```
```    |                      ```
```    |                      ```
```1658|                  *   ```
```    |           ***  **    ```
```    |              *       ```
```    |                      ```
```    |                      ```
```1200|          x          *```
```____|______________________```
```    |Dec1899        Jun2025```
_Source: see a table below_
*Latest resell transactions*
```Date   Price  BUA Type P/sf```
```------------2025-----------```
```03Jun 2.237M 1864 XX08 1200```
```17Feb  2.35M 1198 XX06 1962```
```------------2024-----------```
```30Jul  2.55M 1356 XX01 1881```
```13Mar   2.3M 1383 XX02 1663```
```------------2023-----------```
```11Dec   2.3M 1458 XX07 1578```
```01Dec  2.35M 1468 XX05 1601```
```10Nov  2.55M 1379 XX02 1849```
```12Oct     2M 1356 XX01 1475```
```09Oct  2.13M 1356 XX01 1571```
```03Oct  2.17M 1400 XX04 1550```
```05Jun   2.2M 1377 XX02 1598```
```09May   2.2M 1354 XX01 1625```
```------------2022-----------```
```09Nov 2.225M 1403 XX07 1586```
```18May 2.175M 1404 XX01 1549```
```25Mar   1.7M 1197 XX06 1420```
*Latest primary transactions*
```------------2025-----------```
```02Jun 2.439M 2033 XX10 1200```</t>
  </si>
  <si>
    <t>1012016, *SALES*</t>
  </si>
  <si>
    <t>*SALES*
*TRANSACTIONS**
*MON REVE*
_Area: Downtown_
_Type: 3 bedroom apartment_
```Date   Price  BUA Type P/sf```
```------------2025-----------```
```30May 2.628M 2190 XX09 1200```
```------------2024-----------```
```08May   3.8M 2100 XX04 1810```
```26Mar 3.256M 2100 XX04 1550```
```26Mar 2.888M 1850 XX05 1561```
```------------2023-----------```
```06Jul  3.35M 2223 XX04 1507```
```------------2022-----------```
```23Aug  2.83M 1873 XX03 1511```
```11Aug  2.94M 1855 XX05 1585```
```------------2019-----------```
```22Jan 3.256M 2101 XX04 1550```
```22Jan 2.888M 1851 XX05 1560```
```------------2018-----------```
```07Oct  3.32M 2221 XX04 1495```
```02Oct 2.899M 1875 XX03 1546```
```02Oct 2.956M 1874 XX03 1578```
```02Oct 2.945M 1850 XX05 1592```
_Source: DLD, Databot_
_BUA - built-up area, sq.ft._
_P/sf - price per sq.ft._
_B - bedrooms; O - office_
_M - million, K- thousand_
_S - studio, R - shop_
_*Max 30 latest transactions_
www.trydatabot.com</t>
  </si>
  <si>
    <t>1012017, *MARKET</t>
  </si>
  <si>
    <t>*MARKET*
*SNAPSHOT*
*MON REVE*
_Area: Downtown_
_Type: 3 bedroom apartment_
*Price dynamics, Dirham/sq.ft.*
_(M - median value)_
```1810|                    * ```
```    |                      ```
```    |                      ```
```    |                      ```
```1550|---------------------M```
```    |         *** ***  **  ```
```    |            *   **    ```
```    |                      ```
```    |                      ```
```    |                      ```
```1200|                     *```
```____|______________________```
```    |Oct2018        May2025```
_Source: see table below_
*Latest sales transactions*
```Date   Price  BUA Type P/sf```
```------------2025-----------```
```30May 2.628M 2190 XX09 1200```
```------------2024-----------```
```08May   3.8M 2100 XX04 1810```
```26Mar 3.256M 2100 XX04 1550```
```26Mar 2.888M 1850 XX05 1561```
```------------2023-----------```
```06Jul  3.35M 2223 XX04 1507```
```------------2022-----------```
```23Aug  2.83M 1873 XX03 1511```
```11Aug  2.94M 1855 XX05 1585```
```------------2019-----------```
```22Jan 3.256M 2101 XX04 1550```
```22Jan 2.888M 1851 XX05 1560```
```------------2018-----------```
```07Oct  3.32M 2221 XX04 1495```
```02Oct 2.899M 1875 XX03 1546```
```02Oct 2.956M 1874 XX03 1578```
```02Oct 2.945M 1850 XX05 1592```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</si>
  <si>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1012018, *NEW RE</t>
  </si>
  <si>
    <t>*NEW RENT*
*CONTRACTS**
_(renewals are not included)_
*MON REVE*
_Area: Downtown_
_Type: 3 bedroom apartment_
```Date  Price   BUA  Type D/s```
```------------2025-----------```
```01Oct  200K  1851  XXXX 108```
```01Mar  219K  1851  XXXX 119```
```------------2024-----------```
```23Dec  209K  2443  XXXX  86```
```16Oct   90K  2099  XXXX  43```
```13Oct  247K  1991  XXXX 124```
```06Aug  220K  2185  XXXX 101```
```------------2023-----------```
```18Oct  240K  2217  XXXX 108```
```13Oct  235K  1991  XXXX 118```
```03Feb  190K  1851  XXXX 103```
```------------2022-----------```
```03Oct  190K  1851  XXXX 103```
```------------2021-----------```
```25Aug  155K  1851  XXXX  84```
```20Aug  160K  2099  XXXX  76```
```01Jul  135K  2443  XXXX  55```
```------------2020-----------```
```01Nov  100K  2099  XXXX  48```
```------------2019-----------```
```11Sep  152K  2443  XXXX  62```
```15Mar  125K  1873  XXXX  67```
```21Feb  125K  1851  XXXX  68```
```21Feb  115K  1851  XXXX  62```
```01Feb  130K  2217  XXXX  59```
```01Feb  125K  2099  XXXX  60```
_Source: DLD, Databot_
_BUA - built-up area, sq.ft._
_P/sf - price per sq.ft._
_B - bedrooms; O - office_
_M - million, K- thousand_
_S - studio, R - shop_
_*20 latest contracts_
www.trydatabot.com</t>
  </si>
  <si>
    <t>1012022, *NEW RE</t>
  </si>
  <si>
    <t>*NEW RENT*
*CONTRACTS**
_(renewals are not included)_
*MON REVE*
_Area: Downtown_
_Type: _
```Date  Price   BUA  Type D/s```
```------------2020-----------```
```28Dec  480K  4327  XXXX 111```
_Source: DLD, Databot_
_BUA - built-up area, sq.ft._
_P/sf - price per sq.ft._
_B - bedrooms; O - office_
_M - million, K- thousand_
_S - studio, R - shop_
_*20 latest contracts_
www.trydatabot.com</t>
  </si>
  <si>
    <t>1012046, *NEW RE</t>
  </si>
  <si>
    <t>*NEW RENT*
*CONTRACTS**
_(renewals are not included)_
*MON REVE*
_Area: Downtown_
_Type: _
```Date  Price   BUA  Type D/s```
```------------2025-----------```
```01Feb  250K  4316  XXXX  58```
```------------2022-----------```
```15Oct  385K  3746  XXXX 103```
_Source: DLD, Databot_
_BUA - built-up area, sq.ft._
_P/sf - price per sq.ft._
_B - bedrooms; O - office_
_M - million, K- thousand_
_S - studio, R - shop_
_*20 latest contracts_
www.trydatabot.com</t>
  </si>
  <si>
    <t>1012052, *NEW RE</t>
  </si>
  <si>
    <t>*NEW RENT*
*CONTRACTS**
_(renewals are not included)_
*MON REVE*
_Area: Downtown_
_All types/bedrooms_
```Date    Price   BUA Type  B```
```------------2025-----------```
```01Dec    110K   850 XXXX  1```
```10Oct    145K  1195 XXXX  2```
```10Oct    155K  1195 XXXX  2```
```01Oct    160K  1378 XXXX  2```
```01Oct    200K  1851 XXXX  3```
```01Sep    110K   850 XXXX  1```
```01Sep    155K  1550 XXXX  2```
```29Aug     95K   829 XXXX  1```
```28Aug    112K   915 XXXX  1```
```15Aug    150K  1356 XXXX  2```
```03Jul    165K  1464 XXXX  2```
```01Jul    150K  1399 XXXX  2```
```15Jun    150K  1399 XXXX  2```
```24May    160K  1550 XXXX  2```
```02May    150K  1356 XXXX  2```
```15Mar     45K   850 XXXX  1```
```10Mar  137.8K  1356 XXXX  2```
```01Mar  219.4K  1851 XXXX  3```
```12Feb    170K  1399 XXXX  2```
```08Feb    165K  1862 XXXX  2```
_Source: DLD, Databot_
_BUA - built-up area, sq.ft._
_P/sf - price per sq.ft._
_B - bedrooms; O - office_
_M - million, K- thousand_
_S - studio, R - shop_
_*20 latest contracts_
www.trydatabot.com</t>
  </si>
  <si>
    <t>1012053, *SALES*</t>
  </si>
  <si>
    <t>*SALES*
*TRANSACTIONS (RESALE)**
*MON REVE*
_Area: Downtown_
_All types/bedrooms_
```Date    Price   BUA  Type B```
```------------2025-----------```
```12Jun    1.5M   870  XX08 1```
```11Jun    1.6M   854  XX08 1```
```03Jun  2.237M  1864  XX08 2```
```30May  2.628M  2190  XX09 3```
```17Feb   2.35M  1198  XX06 2```
```------------2024-----------```
```12Nov  1.475M   870  XX08 1```
```30Jul   2.55M  1356  XX01 2```
```08May    3.8M  2100  XX04 3```
```26Mar  3.256M  2100  XX04 3```
```26Mar  2.888M  1850  XX05 3```
```13Mar    2.3M  1383  XX02 2```
```------------2023-----------```
```11Dec    2.3M  1458  XX07 2```
```01Dec   2.35M  1468  XX05 2```
```10Nov   2.55M  1379  XX02 2```
```26Oct   1.25M   870  XX08 1```
```12Oct      2M  1356  XX01 2```
```09Oct   2.13M  1356  XX01 2```
```03Oct   2.17M  1400  XX04 2```
```27Jul   1.36M   824  XX09 1```
```06Jul   3.35M  2223  XX04 3```
```20Jun  1.485M   824  XX09 1```
```05Jun    2.2M  1377  XX02 2```
```09May    2.2M  1354  XX01 2```
```21Mar    1.5M   854  XX08 1```
```11Jan    1.3M   852  XX09 1```
```------------2022-----------```
```09Nov  2.225M  1403  XX07 2```
```23Aug   2.83M  1873  XX03 3```
```11Aug   2.94M  1855  XX05 3```
```18May  2.175M  1404  XX01 2```
```25Mar    1.7M  1197  XX06 2```
_Source: DLD, Databot_
_BUA - built-up area, sq.ft._
_P/sf - price per sq.ft._
_B - bedrooms; O - office_
_M - million, K- thousand_
_S - studio, R - shop_
_*Max 30 latest transactions_
www.trydatabot.com</t>
  </si>
  <si>
    <t>1012054, Mon, MonReve, MonRive, *BUILDI</t>
  </si>
  <si>
    <t xml:space="preserve">*BUILDING*
*PROFILE*
*MON REVE*
_Area: Downtown_
_Tap&amp;hold to copy a reply_
```-------------------------```
```Report              Reply```
```-------------------------```
*1 B/R*
```Sales, ROI        1012008```
```Price chart       1012009```
```Rentals           1012010```
*2 B/R*
```Resell, ROI       1012012```
```Primary sales     1012057```
```Price chart       1012013```
```Rentals           1012014```
```Appreciation      1012015```
*3 B/R*
```Sales, ROI        1012016```
```Price chart       1012017```
```Rentals           1012018```
*All types/bedrooms*
```Resell, ROI       1012053```
```Primary sales     1012067```
```Rentals           1012052```
</t>
  </si>
  <si>
    <t>1012057, *SALES*</t>
  </si>
  <si>
    <t>*SALES*
*TRANSACTIONS (PRIMARY)**
*MON REVE*
_Area: Downtown_
_Type: 2 bedroom apartment_
```Date   Price  BUA Type P/sf```
```------------2025-----------```
```02Jun 2.439M 2033 XX10 1200```
_Source: DLD, Databot_
_BUA - built-up area, sq.ft._
_P/sf - price per sq.ft._
_B - bedrooms; O - office_
_M - million, K- thousand_
_S - studio, R - shop_
_*Max 20 latest transactions_
www.trydatabot.com</t>
  </si>
  <si>
    <t>1012067, *SALES*</t>
  </si>
  <si>
    <t>*SALES*
*TRANSACTIONS (PRIMARY)**
*MON REVE*
_Area: Downtown_
_All types/bedrooms_
```Date    Price   BUA  Type B```
```------------2025-----------```
```02Jun  2.439M  2033  XX10 2```
_Source: DLD, Databot_
_BUA - built-up area, sq.ft._
_P/sf - price per sq.ft._
_B - bedrooms; O - office_
_M - million, K- thousand_
_S - studio, R - shop_
_*Max 20 latest transactions_
www.trydatabot.com</t>
  </si>
  <si>
    <t>1012068, *SALES*</t>
  </si>
  <si>
    <t>*SALES*
*TRANSACTIONS (RESALE)**
*ONE RESIDENCE*
_Area: Downtown_
_Type: studio apartment_
```Date   Price  BUA Type P/sf```
```------------2025-----------```
```30Dec 1.377M  470 XXXX 2931```
```30Dec 1.377M  470 XXXX 2931```
```08Jan 1.275M  470 XXXX 2713```
_Source: DLD, Databot_
_BUA - built-up area, sq.ft._
_P/sf - price per sq.ft._
_B - bedrooms; O - office_
_M - million, K- thousand_
_S - studio, R - shop_
_*Max 30 latest transactions_
www.trydatabot.com</t>
  </si>
  <si>
    <t>One Residence</t>
  </si>
  <si>
    <t>1012069, *MARKET</t>
  </si>
  <si>
    <t>*MARKET*
*SNAPSHOT*
*ONE RESIDENCE*
_Area: Downtown_
_Type: studio apartment_
*Price dynamics, Dirham/sq.ft.*
_(M - median value)_
```2931|                    **```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```2713|                   *  ```
```2713|                   *  ```
```____|______________________```
```    |Jan2025        Dec2025```
_Source: see table below_
*Latest sales transactions*
```Date   Price  BUA Type P/sf```
```------------2025-----------```
```30Dec 1.377M  470 XXXX 2931```
```30Dec 1.377M  470 XXXX 2931```
```08Jan 1.275M  470 XXXX 2713```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</si>
  <si>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1012071, *RESELL</t>
  </si>
  <si>
    <t>*RESELL*
*VS PRIMARY*
*ONE RESIDENCE*
_Area: Downtown_
_Type: studio apartment_
*Price dynamics, Dirham/sq.ft.*
_(x - primary; * - resell)_
```3357|   x                  ```
```    |                      ```
```    |          x           ```
```    |xx   x                ```
```3073|    x                 ```
```    |                      ```
```    |                    **```
```    |      x               ```
```    |       x              ```
```2651|  x     xx         *  ```
```____|______________________```
```    |Dec1899        Dec2025```
_Source: see a table below_
*Latest resell transactions*
```Date   Price  BUA Type P/sf```
```------------2025-----------```
```30Dec 1.377M  470 XXXX 2931```
```30Dec 1.377M  470 XXXX 2931```
```08Jan 1.275M  470 XXXX 2713```
*Latest primary transactions*
```------------2025-----------```
```19Dec 1.525M  470 XXXX 3245```
```19Nov   1.5M  562 XX17 2669```
```07Nov 1.519M  562 XX17 2703```
```19Sep 1.568M  562 XX17 2790```
```03Sep  1.33M  470 XXXX 2830```
```27Aug 1.487M  470 XXXX 3164```
```13Aug  1.45M  470 XXXX 3085```
```07Aug 1.578M  470 XXXX 3357```
```16Jul  1.49M  562 XX10 2651```
```16Jun 1.465M  470 XXXX 3116```
```16Jun 1.465M  470 XXXX 3116```
```16Jun 1.465M  470 XXXX 3116```
```16Jun 1.465M  470 XXXX 3116```
```29May 1.465M  470 XXXX 3116```
```23May 1.392M  470 XXXX 2961```
_Source: DLD, Databot_
_BUA - built-up area, sq.ft._
_P/sf - price per sq.ft._
_B - bedrooms; O - office_
_M - million, K- thousand_
_S - studio, R - shop_
www.trydatabot.com</t>
  </si>
  <si>
    <t>1012072, *SALES*</t>
  </si>
  <si>
    <t>*SALES*
*TRANSACTIONS (RESALE)**
*ONE RESIDENCE*
_Area: Downtown_
_Type: 1 bedroom apartment_
```Date   Price  BUA Type P/sf```
```------------2025-----------```
```03Sep 2.421M  843 XX07 2871```
```15Jul   2.3M  752 XXXX 3059```
```21Feb  1.96M  749 XXXX 2617```
```16Jan  1.98M  749 XXXX 2644```
```------------2024-----------```
```17Dec 2.241M  843 XX07 2658```
_Source: DLD, Databot_
_BUA - built-up area, sq.ft._
_P/sf - price per sq.ft._
_B - bedrooms; O - office_
_M - million, K- thousand_
_S - studio, R - shop_
_*Max 30 latest transactions_
www.trydatabot.com</t>
  </si>
  <si>
    <t>1012073, *MARKET</t>
  </si>
  <si>
    <t>*MARKET*
*SNAPSHOT*
*ONE RESIDENCE*
_Area: Downtown_
_Type: 1 bedroom apartment_
*Price dynamics, Dirham/sq.ft.*
_(M - median value)_
```3059|                    * ```
```    |                      ```
```    |                      ```
```    |                      ```
```    |                     *```
```    |                      ```
```    |                      ```
```    |                      ```
```    |                      ```
```2617|                 ***  ```
```2617|                 ***  ```
```____|______________________```
```    |Dec2024        Sep2025```
_Source: see table below_
*Latest sales transactions*
```Date   Price  BUA Type P/sf```
```------------2025-----------```
```03Sep 2.421M  843 XX07 2871```
```15Jul   2.3M  752 XXXX 3059```
```21Feb  1.96M  749 XXXX 2617```
```16Jan  1.98M  749 XXXX 2644```
```------------2024-----------```
```17Dec 2.241M  843 XX07 2658```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</si>
  <si>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1012075, *RESELL</t>
  </si>
  <si>
    <t>*RESELL*
*VS PRIMARY*
*ONE RESIDENCE*
_Area: Downtown_
_Type: 1 bedroom apartment_
*Price dynamics, Dirham/sq.ft.*
_(x - primary; * - resell)_
```3146|xx x x  x           * ```
```    |    x                *```
```    |  x   xx         ***  ```
```    |                      ```
```2094|                      ```
```    |                      ```
```    |                      ```
```    |                      ```
```    |                      ```
```515 |         xx           ```
```____|______________________```
```    |Dec1899        Jan2026```
_Source: see a table below_
*Latest resell transactions*
```Date   Price  BUA Type P/sf```
```------------2025-----------```
```03Sep 2.421M  843 XX07 2871```
```15Jul   2.3M  752 XXXX 3059```
```21Feb  1.96M  749 XXXX 2617```
```16Jan  1.98M  749 XXXX 2644```
```------------2024-----------```
```17Dec 2.241M  843 XX07 2658```
*Latest primary transactions*
```------------2026-----------```
```22Jan 434.2K  843 XXXX  515```
```22Jan 450.2K  843 XXXX  534```
```------------2025-----------```
```18Dec 2.332M  752 XXXX 3102```
```03Nov 2.058M  752 XXXX 2737```
```03Nov 2.058M  752 XXXX 2737```
```17Oct 2.568M  843 XXXX 3046```
```13Oct  2.43M  843 XXXX 2883```
```09Oct 2.352M  752 XXXX 3128```
```23Sep 2.313M  843 XXXX 2744```
```23Sep  2.62M  843 XX03 3108```
```10Sep 2.366M  752 XXXX 3146```
```08Sep 2.313M  843 XXXX 2744```
```08Sep 2.058M  752 XXXX 2737```
```27Aug 2.535M  843 XXXX 3007```
_Source: DLD, Databot_
_BUA - built-up area, sq.ft._
_P/sf - price per sq.ft._
_B - bedrooms; O - office_
_M - million, K- thousand_
_S - studio, R - shop_
www.trydatabot.com</t>
  </si>
  <si>
    <t>1012076, *SALES*</t>
  </si>
  <si>
    <t>*SALES*
*TRANSACTIONS (RESALE)**
*ONE RESIDENCE*
_Area: Downtown_
_Type: 2 bedroom apartment_
```Date   Price  BUA Type P/sf```
```------------2025-----------```
```30Dec 2.842M 1053 XXXX 2699```
```20May 3.628M 1345 XX02 2697```
```16Jan 2.525M 1027 XXXX 2458```
_Source: DLD, Databot_
_BUA - built-up area, sq.ft._
_P/sf - price per sq.ft._
_B - bedrooms; O - office_
_M - million, K- thousand_
_S - studio, R - shop_
_*Max 30 latest transactions_
www.trydatabot.com</t>
  </si>
  <si>
    <t>1012077, *MARKET</t>
  </si>
  <si>
    <t>*MARKET*
*SNAPSHOT*
*ONE RESIDENCE*
_Area: Downtown_
_Type: 2 bedroom apartment_
*Price dynamics, Dirham/sq.ft.*
_(M - median value)_
```2699|                    **```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```2458|                   *  ```
```2458|                   *  ```
```____|______________________```
```    |Jan2025        Dec2025```
_Source: see table below_
*Latest sales transactions*
```Date   Price  BUA Type P/sf```
```------------2025-----------```
```30Dec 2.842M 1053 XXXX 2699```
```20May 3.628M 1345 XX02 2697```
```16Jan 2.525M 1027 XXXX 2458```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</si>
  <si>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1012079, *RESELL</t>
  </si>
  <si>
    <t>*RESELL*
*VS PRIMARY*
*ONE RESIDENCE*
_Area: Downtown_
_Type: 2 bedroom apartment_
*Price dynamics, Dirham/sq.ft.*
_(x - primary; * - resell)_
```3287|          x           ```
```    |                      ```
```    |                      ```
```    |                      ```
```2955|                      ```
```    |x                     ```
```    | x      x             ```
```    |  xxxxxx            **```
```    |         x            ```
```2458|                   *  ```
```____|______________________```
```    |Dec1899        Dec2025```
_Source: see a table below_
*Latest resell transactions*
```Date   Price  BUA Type P/sf```
```------------2025-----------```
```30Dec 2.842M 1053 XXXX 2699```
```20May 3.628M 1345 XX02 2697```
```16Jan 2.525M 1027 XXXX 2458```
*Latest primary transactions*
```------------2025-----------```
```22Dec 3.376M 1027 XXXX 3287```
```18Dec 3.744M 1412 XXXX 2651```
```12Dec  3.45M 1220 XXXX 2828```
```21Nov 3.861M 1412 XXXX 2735```
```21Nov 2.783M 1027 XXXX 2710```
```21Nov 3.667M 1345 XX02 2726```
```20Nov 2.783M 1027 XXXX 2710```
```30Oct 3.686M 1345 XXXX 2740```
```24Oct 3.861M 1412 XXXX 2735```
```05Aug   3.7M 1345 XXXX 2751```
```16Jun  3.55M 1220 XXXX 2910```
```16Jun 3.056M 1053 XXXX 2902```
```16Jun 3.899M 1345 XXXX 2899```
```20May 2.842M 1053 XXXX 2699```
```20May 3.317M 1220 XXXX 2719```
_Source: DLD, Databot_
_BUA - built-up area, sq.ft._
_P/sf - price per sq.ft._
_B - bedrooms; O - office_
_M - million, K- thousand_
_S - studio, R - shop_
www.trydatabot.com</t>
  </si>
  <si>
    <t>1012117, *SALES*</t>
  </si>
  <si>
    <t>*SALES*
*TRANSACTIONS (RESALE)**
*ONE RESIDENCE*
_Area: Downtown_
_All types/bedrooms_
```Date    Price   BUA  Type B```
```------------2025-----------```
```30Dec  2.842M  1053  XXXX 2```
```30Dec  1.377M   470  XXXX S```
```30Dec  1.377M   470  XXXX S```
```03Sep  2.421M   843  XX07 1```
```15Jul    2.3M   752  XXXX 1```
```20May  3.628M  1345  XX02 2```
```21Feb   1.96M   749  XXXX 1```
```16Jan  2.525M  1027  XXXX 2```
```16Jan   1.98M   749  XXXX 1```
```08Jan  1.275M   470  XXXX S```
```------------2024-----------```
```17Dec  2.241M   843  XX07 1```
_Source: DLD, Databot_
_BUA - built-up area, sq.ft._
_P/sf - price per sq.ft._
_B - bedrooms; O - office_
_M - million, K- thousand_
_S - studio, R - shop_
_*Max 30 latest transactions_
www.trydatabot.com</t>
  </si>
  <si>
    <t>1012118, One Residence, 1 Residence, Oneresidence, 1 Residences, One Residences, *BUILDI</t>
  </si>
  <si>
    <t xml:space="preserve">*BUILDING*
*PROFILE*
*ONE RESIDENCE*
_Area: Downtown_
_Tap&amp;hold to copy a reply_
```-------------------------```
```Report              Reply```
```-------------------------```
*Studio*
```Resell, ROI       1012068```
```Primary sales     1012119```
```Price chart       1012069```
```Rentals               n/a```
```Appreciation      1012071```
*1 B/R*
```Resell, ROI       1012072```
```Primary sales     1012120```
```Price chart       1012073```
```Rentals               n/a```
```Appreciation      1012075```
*2 B/R*
```Resell, ROI       1012076```
```Primary sales     1012121```
```Price chart       1012077```
```Rentals               n/a```
```Appreciation      1012079```
*3 B/R*
```Primary sales     1012122```
*4 B/R*
```Primary sales     1012123```
*All types/bedrooms*
```Resell, ROI       1012117```
```Primary sales     1012131```
```Rentals               n/a```
</t>
  </si>
  <si>
    <t>1012119, *SALES*</t>
  </si>
  <si>
    <t>*SALES*
*TRANSACTIONS (PRIMARY)**
*ONE RESIDENCE*
_Area: Downtown_
_Type: studio apartment_
```Date   Price  BUA Type P/sf```
```------------2025-----------```
```19Dec 1.525M  470 XXXX 3245```
```19Nov   1.5M  562 XX17 2669```
```07Nov 1.519M  562 XX17 2703```
```19Sep 1.568M  562 XX17 2790```
```03Sep  1.33M  470 XXXX 2830```
```27Aug 1.487M  470 XXXX 3164```
```13Aug  1.45M  470 XXXX 3085```
```07Aug 1.578M  470 XXXX 3357```
```16Jul  1.49M  562 XX10 2651```
```16Jun 1.465M  470 XXXX 3116```
```16Jun 1.465M  470 XXXX 3116```
```16Jun 1.465M  470 XXXX 3116```
```16Jun 1.465M  470 XXXX 3116```
```29May 1.465M  470 XXXX 3116```
```23May 1.392M  470 XXXX 2961```
```23May 1.392M  470 XXXX 2961```
```23May 1.392M  470 XXXX 2961```
```23May 1.392M  470 XXXX 2961```
```23May 1.539M  562 XX10 2738```
```23May 1.539M  562 XX17 2738```
_Source: DLD, Databot_
_BUA - built-up area, sq.ft._
_P/sf - price per sq.ft._
_B - bedrooms; O - office_
_M - million, K- thousand_
_S - studio, R - shop_
_*Max 20 latest transactions_
www.trydatabot.com</t>
  </si>
  <si>
    <t>1012120, *SALES*</t>
  </si>
  <si>
    <t>*SALES*
*TRANSACTIONS (PRIMARY)**
*ONE RESIDENCE*
_Area: Downtown_
_Type: 1 bedroom apartment_
```Date   Price  BUA Type P/sf```
```------------2026-----------```
```22Jan 434.2K  843 XXXX  515```
```22Jan 450.2K  843 XXXX  534```
```------------2025-----------```
```18Dec 2.332M  752 XXXX 3102```
```03Nov 2.058M  752 XXXX 2737```
```03Nov 2.058M  752 XXXX 2737```
```17Oct 2.568M  843 XXXX 3046```
```13Oct  2.43M  843 XXXX 2883```
```09Oct 2.352M  752 XXXX 3128```
```23Sep 2.313M  843 XXXX 2744```
```23Sep  2.62M  843 XX03 3108```
```10Sep 2.366M  752 XXXX 3146```
```08Sep 2.313M  843 XXXX 2744```
```08Sep 2.058M  752 XXXX 2737```
```27Aug 2.535M  843 XXXX 3007```
```04Aug 2.352M  752 XXXX 3128```
```11Jul  2.35M  752 XXXX 3125```
```18Jun 2.426M  843 XX07 2877```
```16Jun 2.444M  843 XX07 2900```
```16Jun 2.173M  749 XXXX 2901```
```16Jun 2.173M  749 XX14 2901```
_Source: DLD, Databot_
_BUA - built-up area, sq.ft._
_P/sf - price per sq.ft._
_B - bedrooms; O - office_
_M - million, K- thousand_
_S - studio, R - shop_
_*Max 20 latest transactions_
www.trydatabot.com</t>
  </si>
  <si>
    <t>1012121, *SALES*</t>
  </si>
  <si>
    <t>*SALES*
*TRANSACTIONS (PRIMARY)**
*ONE RESIDENCE*
_Area: Downtown_
_Type: 2 bedroom apartment_
```Date   Price  BUA Type P/sf```
```------------2025-----------```
```22Dec 3.376M 1027 XXXX 3287```
```18Dec 3.744M 1412 XXXX 2651```
```12Dec  3.45M 1220 XXXX 2828```
```21Nov 3.861M 1412 XXXX 2735```
```21Nov 2.783M 1027 XXXX 2710```
```21Nov 3.667M 1345 XX02 2726```
```20Nov 2.783M 1027 XXXX 2710```
```30Oct 3.686M 1345 XXXX 2740```
```24Oct 3.861M 1412 XXXX 2735```
```05Aug   3.7M 1345 XXXX 2751```
```16Jun  3.55M 1220 XXXX 2910```
```16Jun 3.056M 1053 XXXX 2902```
```16Jun 3.899M 1345 XXXX 2899```
```20May 2.842M 1053 XXXX 2699```
```20May 3.317M 1220 XXXX 2719```
```20May 3.638M 1345 XXXX 2704```
```20May 2.842M 1053 XXXX 2699```
```22Apr 3.269M 1053 XXXX 3104```
```22Apr 3.899M 1345 XX02 2899```
```17Apr  4.15M 1345 XXXX 3086```
_Source: DLD, Databot_
_BUA - built-up area, sq.ft._
_P/sf - price per sq.ft._
_B - bedrooms; O - office_
_M - million, K- thousand_
_S - studio, R - shop_
_*Max 20 latest transactions_
www.trydatabot.com</t>
  </si>
  <si>
    <t>1012122, *SALES*</t>
  </si>
  <si>
    <t>*SALES*
*TRANSACTIONS (PRIMARY)**
*ONE RESIDENCE*
_Area: Downtown_
_Type: 3 bedroom apartment_
```Date   Price  BUA Type P/sf```
```------------2025-----------```
```08Aug 8.838M 2076 XX03 4257```
```07Aug 9.074M 2076 XX02 4371```
_Source: DLD, Databot_
_BUA - built-up area, sq.ft._
_P/sf - price per sq.ft._
_B - bedrooms; O - office_
_M - million, K- thousand_
_S - studio, R - shop_
_*Max 20 latest transactions_
www.trydatabot.com</t>
  </si>
  <si>
    <t>1012123, *SALES*</t>
  </si>
  <si>
    <t>*SALES*
*TRANSACTIONS (PRIMARY)**
*ONE RESIDENCE*
_Area: Downtown_
_Type: 4 bedroom apartment_
```Date   Price  BUA Type P/sf```
```------------2025-----------```
```14May  10.4M 2393 XX01 4346```
```25Apr 11.56M 2394 XXXX 4829```
```25Apr 11.29M 2395 XX04 4714```
```14Mar 10.88M 2435 XX04 4467```
_Source: DLD, Databot_
_BUA - built-up area, sq.ft._
_P/sf - price per sq.ft._
_B - bedrooms; O - office_
_M - million, K- thousand_
_S - studio, R - shop_
_*Max 20 latest transactions_
www.trydatabot.com</t>
  </si>
  <si>
    <t>1012131, *SALES*</t>
  </si>
  <si>
    <t>*SALES*
*TRANSACTIONS (PRIMARY)**
*ONE RESIDENCE*
_Area: Downtown_
_All types/bedrooms_
```Date    Price   BUA  Type B```
```------------2026-----------```
```22Jan  434.2K   843  XXXX 1```
```22Jan  450.2K   843  XXXX 1```
```------------2025-----------```
```22Dec  3.376M  1027  XXXX 2```
```19Dec  1.525M   470  XXXX S```
```18Dec  3.744M  1412  XXXX 2```
```18Dec  2.332M   752  XXXX 1```
```12Dec   3.45M  1220  XXXX 2```
```21Nov  3.861M  1412  XXXX 2```
```21Nov  2.783M  1027  XXXX 2```
```21Nov  3.667M  1345  XX02 2```
```20Nov  2.783M  1027  XXXX 2```
```19Nov    1.5M   562  XX17 S```
```07Nov  1.519M   562  XX17 S```
```03Nov  2.058M   752  XXXX 1```
```03Nov  2.058M   752  XXXX 1```
```30Oct  3.686M  1345  XXXX 2```
```24Oct  3.861M  1412  XXXX 2```
```17Oct  2.568M   843  XXXX 1```
```13Oct   2.43M   843  XXXX 1```
```09Oct  2.352M   752  XXXX 1```
_Source: DLD, Databot_
_BUA - built-up area, sq.ft._
_P/sf - price per sq.ft._
_B - bedrooms; O - office_
_M - million, K- thousand_
_S - studio, R - shop_
_*Max 20 latest transactions_
www.trydatabot.com</t>
  </si>
  <si>
    <t>1012136, *SALES*</t>
  </si>
  <si>
    <r>
      <rPr/>
      <t xml:space="preserve">*SALES*
*TRANSACTIONS (RESALE)**
*OPERA GRAND*
_Area: Downtown_
_Type: 1 bedroom apartment_
_Gross ROI=5.94% (confidence: low)_
_Median annual rent=142.5K_
```Date   Price  BUA Type P/sf```
```------------2025-----------```
```17Jun   2.7M  741 XXXX 3644```
```22Apr   2.4M  741 XXXX 3239```
```14Apr  2.35M  741 XXXX 3171```
```------------2024-----------```
```12Dec  2.36M  716 XXXX 3296```
```07Oct   2.3M  741 XXXX 3104```
```06Mar  2.35M  741 XXXX 3171```
```------------2023-----------```
```21Dec  2.35M  741 XXXX 3171```
```22Nov  2.05M  741 XXXX 2767```
```18May 2.013M  741 XXXX 2717```
```12May 2.175M  741 XXXX 2935```
```12May 2.172M  741 XXXX 2931```
```17Mar  2.15M  741 XXXX 2901```
```------------2022-----------```
```22Dec  2.35M  741 XX05 3171```
```20Oct  2.22M  741 XX06 2996```
```29Sep  2.45M  717 XX02 3417```
```02Aug  2.29M  741 XX05 3090```
```15Jun  2.12M  716 XX02 2961```
```02Jun 2.205M  741 XX05 2976```
```29Mar  2.15M  741 XX05 2901```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</si>
  <si>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Opera Grand</t>
  </si>
  <si>
    <t>1012137, *MARKET</t>
  </si>
  <si>
    <t>*MARKET*
*SNAPSHOT*
*OPERA GRAND*
_Area: Downtown_
_Type: 1 bedroom apartment_
*Price dynamics, Dirham/sq.ft.*
_(M - median value)_
```3644|                     *```
```    |                      ```
```    |       *              ```
```    |                      ```
```    |                  * * ```
```    |         *     **  *  ```
```3090|---------------------M```
```    |      *          *    ```
```    |    **  *             ```
```    |   *      ***         ```
```2717|             **       ```
```____|______________________```
```    |Mar2022        Jun2025```
_Source: see table below_
*Latest sales transactions*
```Date   Price  BUA Type P/sf```
```------------2025-----------```
```17Jun   2.7M  741 XXXX 3644```
```22Apr   2.4M  741 XXXX 3239```
```14Apr  2.35M  741 XXXX 3171```
```------------2024-----------```
```12Dec  2.36M  716 XXXX 3296```
```07Oct   2.3M  741 XXXX 3104```
```06Mar  2.35M  741 XXXX 3171```
```------------2023-----------```
```21Dec  2.35M  741 XXXX 3171```
```22Nov  2.05M  741 XXXX 2767```
```18May 2.013M  741 XXXX 2717```
```12May 2.175M  741 XXXX 2935```
```12May 2.172M  741 XXXX 2931```
```17Mar  2.15M  741 XXXX 2901```
```------------2022-----------```
```22Dec  2.35M  741 XX05 3171```
```20Oct  2.22M  741 XX06 2996```
```29Sep  2.45M  717 XX02 3417```
```02Aug  2.29M  741 XX05 3090```
```15Jun  2.12M  716 XX02 2961```
```02Jun 2.205M  741 XX05 2976```
```29Mar  2.15M  741 XX05 2901```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</si>
  <si>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1012138, *NEW RE</t>
  </si>
  <si>
    <t>*NEW RENT*
*CONTRACTS**
_(renewals are not included)_
*OPERA GRAND*
_Area: Downtown_
_Type: 1 bedroom apartment_
```Date  Price   BUA  Type D/s```
```------------2025-----------```
```01Dec  145K   743  XXXX 195```
```24Nov  140K   743  XXXX 188```
```20Nov  180K   721  XXXX 250```
```16Oct  145K   743  XXXX 195```
```14May  140K   743  XXXX 188```
```12May  140K   743  XXXX 188```
```01Apr  130K   743  XXXX 175```
```21Feb  198K   743  XXXX 266```
```------------2024-----------```
```30Nov  145K   743  XXXX 195```
```20Nov  139K   743  XXXX 187```
```06Oct  115K   743  XXXX 155```
```19Sep  170K   721  XXXX 236```
```16Aug  165K   743  XXXX 222```
```15Aug  150K   743  XXXX 202```
```14Aug  120K   743  XXXX 162```
```01Jul  150K   743  XXXX 202```
```01Apr  130K   743  XXXX 175```
```06Mar  140K   743  XXXX 188```
```05Mar  190K   743  XXXX 256```
```------------2023-----------```
```27Dec  125K   743  XXXX 168```
_Source: DLD, Databot_
_BUA - built-up area, sq.ft._
_P/sf - price per sq.ft._
_B - bedrooms; O - office_
_M - million, K- thousand_
_S - studio, R - shop_
_*20 latest contracts_
www.trydatabot.com</t>
  </si>
  <si>
    <t>1012139, *RESELL</t>
  </si>
  <si>
    <t>*RESELL*
*VS PRIMARY*
*OPERA GRAND*
_Area: Downtown_
_Type: 1 bedroom apartment_
*Price dynamics, Dirham/sq.ft.*
_(x - primary; * - resell)_
```3644|                     *```
```    |                      ```
```    |                      ```
```    |                      ```
```3272|                  * * ```
```    |               **  *  ```
```    |    xxx xx       *    ```
```    |  xx   x  x           ```
```    |xx         **         ```
```2717|             **       ```
```____|______________________```
```    |Feb2020        Jun2025```
_Source: see a table below_
*Latest resell transactions*
```Date   Price  BUA Type P/sf```
```------------2025-----------```
```17Jun   2.7M  741 XXXX 3644```
```22Apr   2.4M  741 XXXX 3239```
```14Apr  2.35M  741 XXXX 3171```
```------------2024-----------```
```12Dec  2.36M  716 XXXX 3296```
```07Oct   2.3M  741 XXXX 3104```
```06Mar  2.35M  741 XXXX 3171```
```------------2023-----------```
```21Dec  2.35M  741 XXXX 3171```
```22Nov  2.05M  741 XXXX 2767```
```18May 2.013M  741 XXXX 2717```
```12May 2.175M  741 XXXX 2935```
```12May 2.172M  741 XXXX 2931```
```17Mar  2.15M  741 XXXX 2901```
```------------2022-----------```
```22Dec  2.35M  741 XX05 3171```
```20Oct  2.22M  741 XX06 2996```
```29Sep  2.45M  717 XX02 3417```
*Latest primary transactions*
```------------2022-----------```
```29Nov 2.193M  741 XX05 2959```
```10Aug  2.29M  741 XX05 3090```
```18Jul 2.286M  741 XX05 3085```
```17May 2.193M  741 XX05 2959```
```18Apr 2.299M  741 XX04 3102```
```14Apr 2.269M  741 XX05 3062```
```------------2021-----------```
```15Aug 2.294M  741 XX04 3096```
```------------2020-----------```
```16Nov 2.162M  716 XX02 3019```
```26Oct 2.156M  716 XX03 3011```
```08Mar 2.136M  741 XX06 2882```
```27Feb 2.151M  741 XX05 2903```
```13Feb 2.167M  741 XX05 2924```
```13Feb 2.149M  741 XX05 2900```
_Source: DLD, Databot_
_BUA - built-up area, sq.ft._
_P/sf - price per sq.ft._
_B - bedrooms; O - office_
_M - million, K- thousand_
_S - studio, R - shop_
www.trydatabot.com</t>
  </si>
  <si>
    <t>1012140, *SALES*</t>
  </si>
  <si>
    <r>
      <rPr/>
      <t xml:space="preserve">*SALES*
*TRANSACTIONS (RESALE)**
*OPERA GRAND*
_Area: Downtown_
_Type: 2 bedroom apartment_
_Gross ROI=5.53%_
_Median annual rent=265.6K_
```Date   Price  BUA Type P/sf```
```------------2026-----------```
```19Jan   5.1M 1713 XX01 2977```
```------------2025-----------```
```15Dec   4.8M 1713 XX01 2802```
```27Nov     5M 1717 XX05 2912```
```24Nov   4.3M 1713 XX01 2510```
```03Nov  4.87M 1717 XX05 2836```
```03Sep   4.7M 1675 XX04 2806```
```03Sep  4.75M 1717 XX05 2766```
```20Aug 3.582M 1648 XX04 2174```
```20Jun   4.8M 1648 XX04 2913```
```26May     4M 1717 XX01 2330```
```07May  4.75M 1717 XX05 2766```
```02May     7M 1639 XX03 4271```
```01May     5M 1717 XX01 2912```
```24Mar   4.6M 1713 XX01 2685```
```18Mar  4.65M 1713 XX01 2715```
```11Mar   3.8M 1717 XX01 2213```
```03Mar  4.99M 1675 XX04 2979```
```10Feb     5M 1717 XX05 2912```
```10Feb   3.5M 1648 XX04 2124```
```09Jan   4.2M 1717 XX01 2446```
```------------2024-----------```
```20Nov   3.9M 1713 XX01 2277```
```15Oct  4.81M 1676 XX05 2870```
```17Sep   5.7M 1364 XX03 4179```
```17Sep   4.6M 1717 XX01 2679```
```28Aug   4.1M 1717 XX05 2388```
```06Aug   4.2M 1717 XX01 2446```
```12Jul     4M 1713 XX01 2335```
```08Jul  5.56M 1648 XX04 3374```
```28Jun   4.5M 1676 XX05 2685```
```11Jun     2M 1648 XX04 1214```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</si>
  <si>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1012141, *MARKET</t>
  </si>
  <si>
    <t>*MARKET*
*SNAPSHOT*
*OPERA GRAND*
_Area: Downtown_
_Type: 2 bedroom apartment_
*Price dynamics, Dirham/sq.ft.*
_(M - median value)_
```4271|          *           ```
```    |                      ```
```    |                      ```
```    |                      ```
```    |                      ```
```    |                      ```
```    |    **   *   *     * *```
```2784|---------------------M```
```    |*      **  *   ***  * ```
```    |  *               *   ```
```2124| * *  *     * *       ```
```____|______________________```
```    |Oct2024        Jan2026```
_Source: see table below_
*Latest sales transactions*
```Date   Price  BUA Type P/sf```
```------------2026-----------```
```19Jan   5.1M 1713 XX01 2977```
```------------2025-----------```
```15Dec   4.8M 1713 XX01 2802```
```27Nov     5M 1717 XX05 2912```
```24Nov   4.3M 1713 XX01 2510```
```03Nov  4.87M 1717 XX05 2836```
```03Sep   4.7M 1675 XX04 2806```
```03Sep  4.75M 1717 XX05 2766```
```20Aug 3.582M 1648 XX04 2174```
```20Jun   4.8M 1648 XX04 2913```
```26May     4M 1717 XX01 2330```
```07May  4.75M 1717 XX05 2766```
```02May     7M 1639 XX03 4271```
```01May     5M 1717 XX01 2912```
```24Mar   4.6M 1713 XX01 2685```
```18Mar  4.65M 1713 XX01 2715```
```11Mar   3.8M 1717 XX01 2213```
```03Mar  4.99M 1675 XX04 2979```
```10Feb     5M 1717 XX05 2912```
```10Feb   3.5M 1648 XX04 2124```
```09Jan   4.2M 1717 XX01 2446```
```------------2024-----------```
```20Nov   3.9M 1713 XX01 2277```
```15Oct  4.81M 1676 XX05 2870```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</si>
  <si>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1012142, *NEW RE</t>
  </si>
  <si>
    <t>*NEW RENT*
*CONTRACTS**
_(renewals are not included)_
*OPERA GRAND*
_Area: Downtown_
_Type: 2 bedroom apartment_
```Date  Price   BUA  Type D/s```
```------------2025-----------```
```20Dec  295K  1679  XXXX 176```
```19Dec  330K  1647  XXXX 200```
```16Dec  320K  1722  XXXX 186```
```06Dec  270K  1367  XXXX 198```
```26Nov  215K  1722  XXXX 125```
```25Nov  240K  1647  XXXX 146```
```23Nov  255K  1722  XXXX 148```
```20Oct  245K  1679  XXXX 146```
```17Oct  266K  1679  XXXX 159```
```14Oct  285K  1722  XXXX 166```
```10Oct  280K  1636  XXXX 171```
```10Oct  265K  1722  XXXX 154```
```04Oct  280K  1636  XXXX 171```
```02Oct  250K  1647  XXXX 152```
```01Oct  248K  1636  XXXX 152```
```25Sep  210K  1711  XXXX 123```
```23Sep  270K  1636  XXXX 165```
```21Sep  240K  1711  XXXX 140```
```20Sep  230K  1711  XXXX 134```
```08Sep  270K  1711  XXXX 158```
_Source: DLD, Databot_
_BUA - built-up area, sq.ft._
_P/sf - price per sq.ft._
_B - bedrooms; O - office_
_M - million, K- thousand_
_S - studio, R - shop_
_*20 latest contracts_
www.trydatabot.com</t>
  </si>
  <si>
    <t>1012143, *RESELL</t>
  </si>
  <si>
    <t>*RESELL*
*VS PRIMARY*
*OPERA GRAND*
_Area: Downtown_
_Type: 2 bedroom apartment_
*Price dynamics, Dirham/sq.ft.*
_(x - primary; * - resell)_
```5065|    x                 ```
```    |                      ```
```    |                      ```
```    |   x                  ```
```3909|                      ```
```    |                      ```
```    |         x            ```
```    |     x       *     * *```
```    |xxx   xx   *   **** * ```
```2174|        x x * *       ```
```____|______________________```
```    |Jun2022        Jan2026```
_Source: see a table below_
*Latest resell transactions*
```Date   Price  BUA Type P/sf```
```------------2026-----------```
```19Jan   5.1M 1713 XX01 2977```
```------------2025-----------```
```15Dec   4.8M 1713 XX01 2802```
```27Nov     5M 1717 XX05 2912```
```24Nov   4.3M 1713 XX01 2510```
```03Nov  4.87M 1717 XX05 2836```
```03Sep   4.7M 1675 XX04 2806```
```03Sep  4.75M 1717 XX05 2766```
```20Aug 3.582M 1648 XX04 2174```
```20Jun   4.8M 1648 XX04 2913```
```26May     4M 1717 XX01 2330```
```07May  4.75M 1717 XX05 2766```
```02May     7M 1639 XX03 4271```
```01May     5M 1717 XX01 2912```
```24Mar   4.6M 1713 XX01 2685```
```18Mar  4.65M 1713 XX01 2715```
```11Mar   3.8M 1717 XX01 2213```
```03Mar  4.99M 1675 XX04 2979```
*Latest primary transactions*
```------------2024-----------```
```18Jul 3.967M 1646 XX02 2410```
```15Apr   5.5M 1717 XX01 3203```
```------------2023-----------```
```13Nov     4M 1717 XX01 2330```
```02Jan 4.819M 1713 XX01 2813```
```------------2022-----------```
```28Nov 4.885M 1713 XX01 2852```
```11Aug 4.988M 1717 XX01 2905```
```10Aug 6.909M 1364 XX03 5065```
```10Aug 6.677M 1646 XX02 4056```
```21Jul 4.909M 1717 XX01 2859```
```30Jun 4.896M 1717 XX01 2851```
```27Jun 4.933M 1713 XX01 2880```
```27Jun 4.769M 1717 XX01 2777```
```06Jun 5.049M 1713 XX01 2947```
_Source: DLD, Databot_
_BUA - built-up area, sq.ft._
_P/sf - price per sq.ft._
_B - bedrooms; O - office_
_M - million, K- thousand_
_S - studio, R - shop_
www.trydatabot.com</t>
  </si>
  <si>
    <t>1012144, *SALES*</t>
  </si>
  <si>
    <r>
      <rPr/>
      <t xml:space="preserve">*SALES*
*TRANSACTIONS (RESALE)**
*OPERA GRAND*
_Area: Downtown_
_Type: 3 bedroom apartment_
_Gross ROI=5.12%_
_Median annual rent=420K_
```Date   Price  BUA Type P/sf```
```------------2025-----------```
```24Dec     8M 2041 XX02 3920```
```08Dec  9.75M 2554 XX03 3818```
```08Oct   7.9M 2046 XX04 3861```
```22Aug 8.389M 2045 XX04 4102```
```19Mar  8.85M 2040 XX02 4338```
```04Mar 11.62M 2554 XX03 4548```
```------------2024-----------```
```12Dec  7.45M 2040 XX02 3652```
```10Oct    10M 2697 XX03 3708```
```07Aug    11M 2697 XX03 4079```
```15Jul 11.07M 2697 XX03 4105```
```28Jun   9.8M 2507 XX02 3909```
```21Feb    11M 2554 XX03 4307```
```------------2023-----------```
```16Nov     8M 2045 XX04 3912```
```02Nov     8M 2041 XX02 3920```
```31Oct   7.3M 2040 XX02 3578```
```09Jun    10M 2507 XX02 3989```
```05Jun    11M 2554 XX03 4307```
```22May  12.5M 2697 XX03 4635```
```22May  12.5M 2507 XX02 4986```
```28Mar  7.15M 2040 XX02 3505```
```17Mar     6M 2040 XX02 2941```
```------------2022-----------```
```01Nov    10M 2697 XX03 3708```
```28Oct  7.82M 2045 XX04 3824```
```15Aug     9M 2554 XX03 3524```
```28Apr   7.2M 2045 XX04 3521```
```03Feb     7M 2040 XX02 3431```
```------------2021-----------```
```14Jul 6.109M 2554 XX03 2392```
```12Jul     6M 2040 XX02 2941```
```10Feb     6M 2040 XX02 2941```
```------------2018-----------```
```20Nov   8.5M 2697 XX03 3152```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</si>
  <si>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1012145, *MARKET</t>
  </si>
  <si>
    <t>*MARKET*
*SNAPSHOT*
*OPERA GRAND*
_Area: Downtown_
_Type: 3 bedroom apartment_
*Price dynamics, Dirham/sq.ft.*
_(M - median value)_
```4986|   *                  ```
```    |                      ```
```    |    *           *     ```
```    |     *    *      *    ```
```    |            **    *   ```
```3920|---------------------M```
```    |      * ** *       * *```
```    |*             *     * ```
```    |  *    *       *      ```
```    |                      ```
```2941| *                    ```
```____|______________________```
```    |Nov2022        Dec2025```
_Source: see table below_
*Latest sales transactions*
```Date   Price  BUA Type P/sf```
```------------2025-----------```
```24Dec     8M 2041 XX02 3920```
```08Dec  9.75M 2554 XX03 3818```
```08Oct   7.9M 2046 XX04 3861```
```22Aug 8.389M 2045 XX04 4102```
```19Mar  8.85M 2040 XX02 4338```
```04Mar 11.62M 2554 XX03 4548```
```------------2024-----------```
```12Dec  7.45M 2040 XX02 3652```
```10Oct    10M 2697 XX03 3708```
```07Aug    11M 2697 XX03 4079```
```15Jul 11.07M 2697 XX03 4105```
```28Jun   9.8M 2507 XX02 3909```
```21Feb    11M 2554 XX03 4307```
```------------2023-----------```
```16Nov     8M 2045 XX04 3912```
```02Nov     8M 2041 XX02 3920```
```31Oct   7.3M 2040 XX02 3578```
```09Jun    10M 2507 XX02 3989```
```05Jun    11M 2554 XX03 4307```
```22May  12.5M 2697 XX03 4635```
```22May  12.5M 2507 XX02 4986```
```28Mar  7.15M 2040 XX02 3505```
```17Mar     6M 2040 XX02 2941```
```------------2022-----------```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</si>
  <si>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1012146, *NEW RE</t>
  </si>
  <si>
    <t>*NEW RENT*
*CONTRACTS**
_(renewals are not included)_
*OPERA GRAND*
_Area: Downtown_
_Type: 3 bedroom apartment_
```Date  Price   BUA  Type D/s```
```------------2025-----------```
```26Dec  556K  2045  XXXX 272```
```25Dec  500K  2508  XXXX 199```
```22Dec  380K  2045  XXXX 186```
```10Dec  410K  2045  XXXX 200```
```03Dec  380K  2045  XXXX 186```
```01Dec  475K  2702  XXXX 176```
```28Oct  490K  2551  XXXX 192```
```21Oct  350K  2045  XXXX 171```
```15Oct  375K  2045  XXXX 183```
```01Oct  600K  2551  XXXX 235```
```01Oct  470K  2508  XXXX 187```
```01Sep  396K  2045  XXXX 194```
```20Aug  400K  2551  XXXX 157```
```15Aug  460K  2508  XXXX 183```
```01Jul  550K  2702  XXXX 204```
```01Jun  350K  2034  XXXX 172```
```25May  400K  2508  XXXX 159```
```05May  430K  2045  XXXX 210```
```24Jan  410K  2551  XXXX 161```
```------------2024-----------```
```22Dec  550K  2045  XXXX 269```
_Source: DLD, Databot_
_BUA - built-up area, sq.ft._
_P/sf - price per sq.ft._
_B - bedrooms; O - office_
_M - million, K- thousand_
_S - studio, R - shop_
_*20 latest contracts_
www.trydatabot.com</t>
  </si>
  <si>
    <t>1012147, *RESELL</t>
  </si>
  <si>
    <t>*RESELL*
*VS PRIMARY*
*OPERA GRAND*
_Area: Downtown_
_Type: 3 bedroom apartment_
*Price dynamics, Dirham/sq.ft.*
_(x - primary; * - resell)_
```4549|     x    x     *     ```
```    |                      ```
```    | x               *    ```
```    |  x x                 ```
```4189|       xxx            ```
```    |            **    *   ```
```    |   x  x               ```
```    |           *         *```
```    |x                  ** ```
```3652|              **      ```
```____|______________________```
```    |Dec2021        Dec2025```
_Source: see a table below_
*Latest resell transactions*
```Date   Price  BUA Type P/sf```
```------------2025-----------```
```24Dec     8M 2041 XX02 3920```
```08Dec  9.75M 2554 XX03 3818```
```08Oct   7.9M 2046 XX04 3861```
```22Aug 8.389M 2045 XX04 4102```
```19Mar  8.85M 2040 XX02 4338```
```04Mar 11.62M 2554 XX03 4548```
```------------2024-----------```
```12Dec  7.45M 2040 XX02 3652```
```10Oct    10M 2697 XX03 3708```
```07Aug    11M 2697 XX03 4079```
```15Jul 11.07M 2697 XX03 4105```
```28Jun   9.8M 2507 XX02 3909```
```21Feb    11M 2554 XX03 4307```
```------------2023-----------```
```16Nov     8M 2045 XX04 3912```
```02Nov     8M 2041 XX02 3920```
```31Oct   7.3M 2040 XX02 3578```
```09Jun    10M 2507 XX02 3989```
*Latest primary transactions*
```------------2023-----------```
```17Aug 9.221M 2041 XX02 4518```
```------------2022-----------```
```16Jun 8.597M 2041 XX02 4212```
```10Jun 8.487M 2040 XX02 4160```
```30May 8.566M 2041 XX02 4197```
```04Apr 8.176M 2046 XX04 3996```
```29Mar  11.4M 2507 XX02 4549```
```29Mar 11.03M 2554 XX03 4320```
```09Feb 8.231M 2040 XX02 4035```
```------------2021-----------```
```21Dec 10.85M 2554 XX03 4248```
```21Dec 11.05M 2554 XX03 4328```
```20Dec  7.86M 2040 XX02 3853```
```07Nov 11.18M 2697 XX03 4144```
```03Nov 7.977M 2046 XX04 3899```
_Source: DLD, Databot_
_BUA - built-up area, sq.ft._
_P/sf - price per sq.ft._
_B - bedrooms; O - office_
_M - million, K- thousand_
_S - studio, R - shop_
www.trydatabot.com</t>
  </si>
  <si>
    <t>1012148, *SALES*</t>
  </si>
  <si>
    <t>*SALES*
*TRANSACTIONS (RESALE)**
*OPERA GRAND*
_Area: Downtown_
_Type: 4 bedroom apartment_
```Date   Price  BUA Type P/sf```
```------------2024-----------```
```25Dec    15M 3056 XX02 4908```
```22Oct    14M 3012 XX01 4648```
```15Jul  13.5M 3012 XX01 4482```
```28Feb  12.1M 3056 XX02 3959```
```------------2023-----------```
```31Oct  16.9M 3577 XX02 4725```
```25Oct    17M 3957 XX02 4296```
```24Jul   9.5M 3012 XX01 3154```
```12Jul 5.675M 3577 XX02 1587```
```28Feb     9M 3056 XX02 2945```
```23Feb 12.38M 3577 XX02 3461```
_Source: DLD, Databot_
_BUA - built-up area, sq.ft._
_P/sf - price per sq.ft._
_B - bedrooms; O - office_
_M - million, K- thousand_
_S - studio, R - shop_
_*Max 30 latest transactions_
www.trydatabot.com</t>
  </si>
  <si>
    <t>1012149, *MARKET</t>
  </si>
  <si>
    <t>*MARKET*
*SNAPSHOT*
*OPERA GRAND*
_Area: Downtown_
_Type: 4 bedroom apartment_
*Price dynamics, Dirham/sq.ft.*
_(M - median value)_
```4908|                     *```
```    |                 * ** ```
```4128|---------------------M```
```    |                *     ```
```    |                  *   ```
```    |            *         ```
```    |               *      ```
```    |             *        ```
```    |                      ```
```    |                      ```
```1587|              *       ```
```____|______________________```
```    |Feb2023        Dec2024```
_Source: see table below_
*Latest sales transactions*
```Date   Price  BUA Type P/sf```
```------------2024-----------```
```25Dec    15M 3056 XX02 4908```
```22Oct    14M 3012 XX01 4648```
```15Jul  13.5M 3012 XX01 4482```
```28Feb  12.1M 3056 XX02 3959```
```------------2023-----------```
```31Oct  16.9M 3577 XX02 4725```
```25Oct    17M 3957 XX02 4296```
```24Jul   9.5M 3012 XX01 3154```
```12Jul 5.675M 3577 XX02 1587```
```28Feb     9M 3056 XX02 2945```
```23Feb 12.38M 3577 XX02 3461```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</si>
  <si>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1012150, *NEW RE</t>
  </si>
  <si>
    <t>*NEW RENT*
*CONTRACTS**
_(renewals are not included)_
*OPERA GRAND*
_Area: Downtown_
_Type: 4 bedroom apartment_
```Date  Price   BUA  Type D/s```
```------------2025-----------```
```25Jul  1.7M  3897  XXXX 436```
```25Jun  675K  3057  XXXX 221```
```05Jan  680K  3014  XXXX 226```
```------------2024-----------```
```10May  850K  3574  XXXX 238```
```01May  450K  3057  XXXX 147```
```01May  700K  3014  XXXX 232```
```02Apr  650K  3014  XXXX 216```
```------------2023-----------```
```23Oct  700K  3057  XXXX 229```
```20Oct  650K  3057  XXXX 213```
```20Sep  750K  3057  XXXX 245```
```01May  450K  3057  XXXX 147```
```01Feb  675K  3014  XXXX 224```
_Source: DLD, Databot_
_BUA - built-up area, sq.ft._
_P/sf - price per sq.ft._
_B - bedrooms; O - office_
_M - million, K- thousand_
_S - studio, R - shop_
_*20 latest contracts_
www.trydatabot.com</t>
  </si>
  <si>
    <t>1012151, *RESELL</t>
  </si>
  <si>
    <t>*RESELL*
*VS PRIMARY*
*OPERA GRAND*
_Area: Downtown_
_Type: 4 bedroom apartment_
*Price dynamics, Dirham/sq.ft.*
_(x - primary; * - resell)_
```4908|                     *```
```    | xx  x  xx       * ** ```
```    |x      x  x     *     ```
```    |   xx x           *   ```
```3580|            *         ```
```    |               *      ```
```    |             *        ```
```    |                      ```
```    |                      ```
```1587|              *       ```
```____|______________________```
```    |Dec1899        Dec2024```
_Source: see a table below_
*Latest resell transactions*
```Date   Price  BUA Type P/sf```
```------------2024-----------```
```25Dec    15M 3056 XX02 4908```
```22Oct    14M 3012 XX01 4648```
```15Jul  13.5M 3012 XX01 4482```
```28Feb  12.1M 3056 XX02 3959```
```------------2023-----------```
```31Oct  16.9M 3577 XX02 4725```
```25Oct    17M 3957 XX02 4296```
```24Jul   9.5M 3012 XX01 3154```
```12Jul 5.675M 3577 XX02 1587```
```28Feb     9M 3056 XX02 2945```
```23Feb 12.38M 3577 XX02 3461```
*Latest primary transactions*
```------------2024-----------```
```05Dec  18.5M 4272 XX01 4331```
```29Jul 13.52M 3012 XX01 4487```
```------------2023-----------```
```22Feb 13.64M 3056 XX02 4465```
```------------2022-----------```
```10Aug 12.99M 3012 XX01 4312```
```01Jul 15.68M 3957 XX02 3962```
```09Mar 13.56M 3056 XX02 4436```
```08Mar 11.95M 3012 XX01 3966```
```31Jan 12.24M 3056 XX02 4005```
```31Jan 17.18M 3891 XX01 4416```
```31Jan 17.18M 3891 XX01 4414```
```13Jan 13.04M 3056 XX02 4266```
```------------2021-----------```
```15Dec 15.18M 3577 XX02 4243```
_Source: DLD, Databot_
_BUA - built-up area, sq.ft._
_P/sf - price per sq.ft._
_B - bedrooms; O - office_
_M - million, K- thousand_
_S - studio, R - shop_
www.trydatabot.com</t>
  </si>
  <si>
    <t>1012152, *SALES*</t>
  </si>
  <si>
    <t>*SALES*
*TRANSACTIONS (RESALE)**
*OPERA GRAND*
_Area: Downtown_
_Type: 5 bedroom apartment_
```Date   Price  BUA Type P/sf```
```------------2024-----------```
```05Aug  15.5M 3983 XXXX 3892```
_Source: DLD, Databot_
_BUA - built-up area, sq.ft._
_P/sf - price per sq.ft._
_B - bedrooms; O - office_
_M - million, K- thousand_
_S - studio, R - shop_
_*Max 30 latest transactions_
www.trydatabot.com</t>
  </si>
  <si>
    <t>1012153, *MARKET</t>
  </si>
  <si>
    <t>*MARKET*
*SNAPSHOT*
*OPERA GRAND*
_Area: Downtown_
_Type: 5 bedroom apartment_
*Price dynamics, Dirham/sq.ft.*
_(M - median value)_
```3892|                     *```
```3892|----------------------```
```    |                     *```
```3892|---------------------M```
```    |                     *```
```3892|---------------------M```
```    |                     *```
```3892|---------------------M```
```    |                     *```
```3892|---------------------M```
```    |                     *```
```____|______________________```
```    |Aug2024        Aug2024```
_Source: see table below_
*Latest sales transactions*
```Date   Price  BUA Type P/sf```
```------------2024-----------```
```05Aug  15.5M 3983 XXXX 3892```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</si>
  <si>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1012154, *NEW RE</t>
  </si>
  <si>
    <t>*NEW RENT*
*CONTRACTS**
_(renewals are not included)_
*OPERA GRAND*
_Area: Downtown_
_Type: 5 bedroom apartment_
```Date  Price   BUA  Type D/s```
```------------2025-----------```
```15Sep 1.87M  6588  XXXX 284```
```30Aug  1.8M  7459  XXXX 241```
```07Mar  448K  3983  XXXX 112```
```02Feb  461K  3983  XXXX 116```
```------------2024-----------```
```16Aug  1.8M  7459  XXXX 241```
```02Aug  460K  3983  XXXX 115```
```------------2023-----------```
```02Aug  460K  3983  XXXX 115```
_Source: DLD, Databot_
_BUA - built-up area, sq.ft._
_P/sf - price per sq.ft._
_B - bedrooms; O - office_
_M - million, K- thousand_
_S - studio, R - shop_
_*20 latest contracts_
www.trydatabot.com</t>
  </si>
  <si>
    <t>1012155, *RESELL</t>
  </si>
  <si>
    <t>*RESELL*
*VS PRIMARY*
*OPERA GRAND*
_Area: Downtown_
_Type: 5 bedroom apartment_
*Price dynamics, Dirham/sq.ft.*
_(x - primary; * - resell)_
```3930|          x           ```
```    |                     *```
```    |                      ```
```    |                      ```
```3790|                      ```
```    |                      ```
```    |                      ```
```    |                      ```
```    |                      ```
```3576|         x            ```
```____|______________________```
```    |Dec1899        Aug2024```
_Source: see a table below_
*Latest resell transactions*
```Date   Price  BUA Type P/sf```
```------------2024-----------```
```05Aug  15.5M 3983 XXXX 3892```
*Latest primary transactions*
```------------2022-----------```
```01Feb  29.3M 7454 XX01 3930```
```31Jan 23.58M 6593 XX01 3576```
_Source: DLD, Databot_
_BUA - built-up area, sq.ft._
_P/sf - price per sq.ft._
_B - bedrooms; O - office_
_M - million, K- thousand_
_S - studio, R - shop_
www.trydatabot.com</t>
  </si>
  <si>
    <t>1012162, *NEW RE</t>
  </si>
  <si>
    <t>*NEW RENT*
*CONTRACTS**
_(renewals are not included)_
*OPERA GRAND*
_Area: Downtown_
_Type: _
```Date  Price   BUA  Type D/s```
```------------2025-----------```
```05Feb 1.07M 12863  XXXX  83```
```------------2024-----------```
```20Jul 1.06M 12863  XXXX  82```
_Source: DLD, Databot_
_BUA - built-up area, sq.ft._
_P/sf - price per sq.ft._
_B - bedrooms; O - office_
_M - million, K- thousand_
_S - studio, R - shop_
_*20 latest contracts_
www.trydatabot.com</t>
  </si>
  <si>
    <t>1012176, *SALES*</t>
  </si>
  <si>
    <t>*SALES*
*TRANSACTIONS (RESALE)**
*OPERA GRAND*
_Area: Downtown_ 
_Type: villa_
```Date   Price  BUA Type P/sf```
```------------2023-----------```
```10Oct  11.1M 4472 XXXX 2482```
```09May   9.4M 3983 XXXX 2360```
```30Mar 9.009M 3978 XXXX 2265```
_Source: DLD, Databot_
_BUA - built-up area, sq.ft._
_P/sf - price per sq.ft._
_B - bedrooms; O - office_
_M - million, K- thousand_
_S - studio, R - shop_
_*Max 30 latest transactions_
www.trydatabot.com</t>
  </si>
  <si>
    <t>Villa</t>
  </si>
  <si>
    <t>1012177, *MARKET</t>
  </si>
  <si>
    <t>*MARKET*
*SNAPSHOT*
*OPERA GRAND*
_Area: Downtown_
_Type: villa_
*Price dynamics, Dirham/sq.ft.*
_(M - median value)_
```2482|                     *```
```    |                      ```
```    |                      ```
```    |                      ```
```    |                      ```
```    |                      ```
```2360|---------------------M```
```    |                    * ```
```    |                      ```
```    |                      ```
```2265|                   *  ```
```____|______________________```
```    |Mar2023        Oct2023```
_Source: see table below_
*Latest sales transactions*
```Date   Price  BUA Type P/sf```
```------------2023-----------```
```10Oct  11.1M 4472 XXXX 2482```
```09May   9.4M 3983 XXXX 2360```
```30Mar 9.009M 3978 XXXX 2265```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</si>
  <si>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1012179, *RESELL</t>
  </si>
  <si>
    <t>*RESELL*
*VS PRIMARY*
*OPERA GRAND*
_Area: Downtown_
_Type: villa_
*Price dynamics, Dirham/sq.ft.*
_(x - primary; * - resell)_
```2482|                     *```
```    |                      ```
```    |                      ```
```    |                      ```
```2394|                      ```
```    |                      ```
```    |                    * ```
```    |                      ```
```    |                      ```
```2265|          x        *  ```
```____|______________________```
```    |Dec1899        Dec1899```
_Source: see a table below_
*Latest resell transactions*
```Date   Price  BUA Type P/sf```
```------------2023-----------```
```10Oct  11.1M 4472 XXXX 2482```
```09May   9.4M 3983 XXXX 2360```
```30Mar 9.009M 3978 XXXX 2265```
*Latest primary transactions*
```------------2022-----------```
```17Mar 9.009M 3978 XXXX 2265```</t>
  </si>
  <si>
    <t>1012180, *NEW RE</t>
  </si>
  <si>
    <t>*NEW RENT*
*CONTRACTS**
_(renewals are not included)_
*OPERA GRAND*
_Area: Downtown_
_All types/bedrooms_
```Date    Price   BUA Type  B```
```------------2025-----------```
```26Dec  556.2K  2045 XXXX  3```
```25Dec    500K  2508 XXXX  3```
```22Dec    380K  2045 XXXX  3```
```20Dec    295K  1679 XXXX  2```
```19Dec    330K  1647 XXXX  2```
```16Dec    320K  1722 XXXX  2```
```10Dec    410K  2045 XXXX  3```
```06Dec    270K  1367 XXXX  2```
```03Dec    380K  2045 XXXX  3```
```01Dec    145K   743 XXXX  1```
```01Dec    475K  2702 XXXX  3```
```26Nov    215K  1722 XXXX  2```
```25Nov    240K  1647 XXXX  2```
```24Nov    140K   743 XXXX  1```
```23Nov    255K  1722 XXXX  2```
```20Nov    180K   721 XXXX  1```
```28Oct    490K  2551 XXXX  3```
```21Oct    350K  2045 XXXX  3```
```20Oct    245K  1679 XXXX  2```
```17Oct  266.2K  1679 XXXX  2```
_Source: DLD, Databot_
_BUA - built-up area, sq.ft._
_P/sf - price per sq.ft._
_B - bedrooms; O - office_
_M - million, K- thousand_
_S - studio, R - shop_
_*20 latest contracts_
www.trydatabot.com</t>
  </si>
  <si>
    <t>1012181, *SALES*</t>
  </si>
  <si>
    <t>*SALES*
*TRANSACTIONS (RESALE)**
*OPERA GRAND*
_Area: Downtown_
_All types/bedrooms_
```Date    Price   BUA  Type B```
```------------2026-----------```
```19Jan    5.1M  1713  XX01 2```
```------------2025-----------```
```24Dec      8M  2041  XX02 3```
```15Dec    4.8M  1713  XX01 2```
```08Dec   9.75M  2554  XX03 3```
```27Nov      5M  1717  XX05 2```
```24Nov    4.3M  1713  XX01 2```
```03Nov   4.87M  1717  XX05 2```
```08Oct    7.9M  2046  XX04 3```
```03Sep    4.7M  1675  XX04 2```
```03Sep   4.75M  1717  XX05 2```
```22Aug  8.389M  2045  XX04 3```
```20Aug  3.582M  1648  XX04 2```
```20Jun    4.8M  1648  XX04 2```
```17Jun    2.7M   741  XXXX 1```
```26May      4M  1717  XX01 2```
```07May   4.75M  1717  XX05 2```
```02May      7M  1639  XX03 2```
```01May      5M  1717  XX01 2```
```22Apr    2.4M   741  XXXX 1```
```14Apr   2.35M   741  XXXX 1```
```24Mar    4.6M  1713  XX01 2```
```19Mar   8.85M  2040  XX02 3```
```18Mar   4.65M  1713  XX01 2```
```11Mar    3.8M  1717  XX01 2```
```04Mar  11.62M  2554  XX03 3```
```03Mar   4.99M  1675  XX04 2```
```10Feb      5M  1717  XX05 2```
```10Feb    3.5M  1648  XX04 2```
```09Jan    4.2M  1717  XX01 2```
```------------2024-----------```
```25Dec     15M  3056  XX02 4```
_Source: DLD, Databot_
_BUA - built-up area, sq.ft._
_P/sf - price per sq.ft._
_B - bedrooms; O - office_
_M - million, K- thousand_
_S - studio, R - shop_
_*Max 30 latest transactions_
www.trydatabot.com</t>
  </si>
  <si>
    <t>1012182, Opera Grand, *BUILDI</t>
  </si>
  <si>
    <t xml:space="preserve">*BUILDING*
*PROFILE*
*OPERA GRAND*
_Area: Downtown_
_Tap&amp;hold to copy a reply_
```-------------------------```
```Report              Reply```
```-------------------------```
*1 B/R*
```Resell, ROI       1012136```
```Primary sales     1012184```
```Price chart       1012137```
```Rentals           1012138```
```Appreciation      1012139```
*2 B/R*
```Resell, ROI       1012140```
```Primary sales     1012185```
```Price chart       1012141```
```Rentals           1012142```
```Appreciation      1012143```
*3 B/R*
```Resell, ROI       1012144```
```Primary sales     1012186```
```Price chart       1012145```
```Rentals           1012146```
```Appreciation      1012147```
*4 B/R*
```Resell, ROI       1012148```
```Primary sales     1012187```
```Price chart       1012149```
```Rentals           1012150```
```Appreciation      1012151```
*5 B/R*
```Resell, ROI       1012152```
```Primary sales     1012188```
```Price chart       1012153```
```Rentals           1012154```
```Appreciation      1012155```
*Villa*
```Resell, ROI       1012176```
```Primary sales     1012194```
```Price chart       1012177```
```Rentals               n/a```
```Appreciation      1012179```
*All types/bedrooms*
```Resell, ROI       1012181```
```Primary sales     1012195```
```Rentals           1012180```
</t>
  </si>
  <si>
    <t>1012184, *SALES*</t>
  </si>
  <si>
    <r>
      <rPr/>
      <t xml:space="preserve">*SALES*
*TRANSACTIONS (PRIMARY)**
*OPERA GRAND*
_Area: Downtown_
_Type: 1 bedroom apartment_
```Date   Price  BUA Type P/sf```
```------------2022-----------```
```29Nov 2.193M  741 XX05 2959```
```10Aug  2.29M  741 XX05 3090```
```18Jul 2.286M  741 XX05 3085```
```17May 2.193M  741 XX05 2959```
```18Apr 2.299M  741 XX04 3102```
```14Apr 2.269M  741 XX05 3062```
```------------2021-----------```
```15Aug 2.294M  741 XX04 3096```
```------------2020-----------```
```16Nov 2.162M  716 XX02 3019```
```26Oct 2.156M  716 XX03 3011```
```08Mar 2.136M  741 XX06 2882```
```27Feb 2.151M  741 XX05 2903```
```13Feb 2.167M  741 XX05 2924```
```13Feb 2.149M  741 XX05 2900```
```05Jan 2.159M  741 XX05 2913```
```------------2019-----------```
```12Dec 2.144M  741 XX05 2893```
```11Dec 2.133M  741 XX06 2878```
```25Nov 2.153M  716 XX03 3007```
```23Oct 2.158M  717 XX02 3010```
```25Sep 2.125M  741 XX06 2868```
```14Aug 2.148M  716 XX03 3000```
_Source: DLD, Databot_
_BUA - built-up area, sq.ft._
_P/sf - price per sq.ft._
_B - bedrooms; O - office_
_M - million, K- thousand_
_S - studio, R - shop_
_*Max 20 latest transactions_
</t>
    </r>
    <r>
      <rPr>
        <color rgb="FF1155CC"/>
        <u/>
      </rPr>
      <t>www.trydatabot.com</t>
    </r>
  </si>
  <si>
    <t>1012185, *SALES*</t>
  </si>
  <si>
    <t>*SALES*
*TRANSACTIONS (PRIMARY)**
*OPERA GRAND*
_Area: Downtown_
_Type: 2 bedroom apartment_
```Date   Price  BUA Type P/sf```
```------------2024-----------```
```18Jul 3.967M 1646 XX02 2410```
```15Apr   5.5M 1717 XX01 3203```
```------------2023-----------```
```13Nov     4M 1717 XX01 2330```
```02Jan 4.819M 1713 XX01 2813```
```------------2022-----------```
```28Nov 4.885M 1713 XX01 2852```
```11Aug 4.988M 1717 XX01 2905```
```10Aug 6.909M 1364 XX03 5065```
```10Aug 6.677M 1646 XX02 4056```
```21Jul 4.909M 1717 XX01 2859```
```30Jun 4.896M 1717 XX01 2851```
```27Jun 4.933M 1713 XX01 2880```
```27Jun 4.769M 1717 XX01 2777```
```06Jun 5.049M 1713 XX01 2947```
```25May   6.5M 1646 XX02 3949```
```12May 6.702M 1646 XX02 4072```
```09May 7.089M 1639 XX03 4325```
```29Apr 6.809M 1648 XX04 4132```
```26Apr 6.938M 1364 XX03 5086```
```21Apr 5.057M 1713 XX01 2952```
```20Apr 6.693M 1646 XX02 4066```
_Source: DLD, Databot_
_BUA - built-up area, sq.ft._
_P/sf - price per sq.ft._
_B - bedrooms; O - office_
_M - million, K- thousand_
_S - studio, R - shop_
_*Max 20 latest transactions_
www.trydatabot.com</t>
  </si>
  <si>
    <t>1012186, *SALES*</t>
  </si>
  <si>
    <t>*SALES*
*TRANSACTIONS (PRIMARY)**
*OPERA GRAND*
_Area: Downtown_
_Type: 3 bedroom apartment_
```Date   Price  BUA Type P/sf```
```------------2023-----------```
```17Aug 9.221M 2041 XX02 4518```
```------------2022-----------```
```16Jun 8.597M 2041 XX02 4212```
```10Jun 8.487M 2040 XX02 4160```
```30May 8.566M 2041 XX02 4197```
```04Apr 8.176M 2046 XX04 3996```
```29Mar  11.4M 2507 XX02 4549```
```29Mar 11.03M 2554 XX03 4320```
```09Feb 8.231M 2040 XX02 4035```
```------------2021-----------```
```21Dec 10.85M 2554 XX03 4248```
```21Dec 11.05M 2554 XX03 4328```
```20Dec  7.86M 2040 XX02 3853```
```07Nov 11.18M 2697 XX03 4144```
```03Nov 7.977M 2046 XX04 3899```
```27Oct  8.35M 2046 XX04 4081```
```20Oct 8.327M 2040 XX02 4082```
```18Jul 9.945M 2507 XX02 3967```
```------------2020-----------```
```26Nov 8.026M 2046 XX04 3923```
```24Sep 11.33M 2697 XX03 4202```
```07Jul 11.28M 2697 XX03 4182```
```19Mar 7.748M 2045 XX04 3789```
_Source: DLD, Databot_
_BUA - built-up area, sq.ft._
_P/sf - price per sq.ft._
_B - bedrooms; O - office_
_M - million, K- thousand_
_S - studio, R - shop_
_*Max 20 latest transactions_
www.trydatabot.com</t>
  </si>
  <si>
    <t>1012187, *SALES*</t>
  </si>
  <si>
    <t>*SALES*
*TRANSACTIONS (PRIMARY)**
*OPERA GRAND*
_Area: Downtown_
_Type: 4 bedroom apartment_
```Date   Price  BUA Type P/sf```
```------------2024-----------```
```05Dec  18.5M 4272 XX01 4331```
```29Jul 13.52M 3012 XX01 4487```
```------------2023-----------```
```22Feb 13.64M 3056 XX02 4465```
```------------2022-----------```
```10Aug 12.99M 3012 XX01 4312```
```01Jul 15.68M 3957 XX02 3962```
```09Mar 13.56M 3056 XX02 4436```
```08Mar 11.95M 3012 XX01 3966```
```31Jan 12.24M 3056 XX02 4005```
```31Jan 17.18M 3891 XX01 4416```
```31Jan 17.18M 3891 XX01 4414```
```13Jan 13.04M 3056 XX02 4266```
```------------2021-----------```
```15Dec 15.18M 3577 XX02 4243```
```23Nov 15.01M 3577 XX02 4197```
```14Jul 14.03M 4272 XX01 3283```
```------------2020-----------```
```30Apr 12.95M 3056 XX02 4238```
```------------2019-----------```
```22Dec 12.91M 3056 XX02 4225```
_Source: DLD, Databot_
_BUA - built-up area, sq.ft._
_P/sf - price per sq.ft._
_B - bedrooms; O - office_
_M - million, K- thousand_
_S - studio, R - shop_
_*Max 20 latest transactions_
www.trydatabot.com</t>
  </si>
  <si>
    <t>1012188, *SALES*</t>
  </si>
  <si>
    <t>*SALES*
*TRANSACTIONS (PRIMARY)**
*OPERA GRAND*
_Area: Downtown_
_Type: 5 bedroom apartment_
```Date   Price  BUA Type P/sf```
```------------2022-----------```
```01Feb  29.3M 7454 XX01 3930```
```31Jan 23.58M 6593 XX01 3576```
_Source: DLD, Databot_
_BUA - built-up area, sq.ft._
_P/sf - price per sq.ft._
_B - bedrooms; O - office_
_M - million, K- thousand_
_S - studio, R - shop_
_*Max 20 latest transactions_
www.trydatabot.com</t>
  </si>
  <si>
    <t>1012194, *SALES*</t>
  </si>
  <si>
    <t>*SALES*
*TRANSACTIONS (PRIMARY)**
*OPERA GRAND*
_Area: Downtown_
_Type: villa_
```Date   Price  BUA Type P/sf```
```------------2022-----------```
```17Mar 9.009M 3978 XXXX 2265```
_Source: DLD, Databot_
_BUA - built-up area, sq.ft._
_P/sf - price per sq.ft._
_B - bedrooms; O - office_
_M - million, K- thousand_
_S - studio, R - shop_
_*Max 20 latest transactions_
www.trydatabot.com</t>
  </si>
  <si>
    <t>1012195, *SALES*</t>
  </si>
  <si>
    <t>*SALES*
*TRANSACTIONS (PRIMARY)**
*OPERA GRAND*
_Area: Downtown_
_All types/bedrooms_
```Date    Price   BUA  Type B```
```------------2024-----------```
```05Dec   18.5M  4272  XX01 4```
```29Jul  13.52M  3012  XX01 4```
```18Jul  3.967M  1646  XX02 2```
```15Apr    5.5M  1717  XX01 2```
```------------2023-----------```
```13Nov      4M  1717  XX01 2```
```17Aug  9.221M  2041  XX02 3```
```22Feb  13.64M  3056  XX02 4```
```02Jan  4.819M  1713  XX01 2```
```------------2022-----------```
```29Nov  2.193M   741  XX05 1```
```28Nov  4.885M  1713  XX01 2```
```11Aug  4.988M  1717  XX01 2```
```10Aug  12.99M  3012  XX01 4```
```10Aug   2.29M   741  XX05 1```
```10Aug  6.909M  1364  XX03 2```
```10Aug  6.677M  1646  XX02 2```
```21Jul  4.909M  1717  XX01 2```
```18Jul  2.286M   741  XX05 1```
```01Jul  15.68M  3957  XX02 4```
```30Jun  4.896M  1717  XX01 2```
```27Jun  4.933M  1713  XX01 2```
_Source: DLD, Databot_
_BUA - built-up area, sq.ft._
_P/sf - price per sq.ft._
_B - bedrooms; O - office_
_M - million, K- thousand_
_S - studio, R - shop_
_*Max 20 latest transactions_
www.trydatabot.com</t>
  </si>
  <si>
    <t>1012200, *SALES*</t>
  </si>
  <si>
    <t>*SALES*
*TRANSACTIONS**
*REEHAN 1*
_Area: Downtown_
_Type: 1 bedroom apartment_
```Date   Price  BUA Type P/sf```
```------------2024-----------```
```06Aug  1.55M  773 XXXX 2005```
```01Jul   1.6M  826 XXXX 1937```
```20Mar   1.6M  826 XX04 1937```
```27Feb   1.8M  826 XX04 2179```
```------------2023-----------```
```28Sep  1.48M  826 XX04 1792```
```25Aug   1.5M  773 XX05 1940```
```07Jul  1.38M  826 XX04 1671```
```28Apr 1.596M  826 XX04 1932```
```18Apr   1.5M  773 XX05 1940```
```27Feb 1.275M  826 XX04 1544```
```09Jan 1.245M  826 XX04 1507```
```------------2022-----------```
```04Oct  1.35M  773 XX05 1746```
```11Apr  1.25M  773 XX05 1617```
```21Mar 1.165M  826 XX04 1410```
```08Mar 1.175M  773 XX05 1520```
```------------2021-----------```
```08Aug   800K  826 XX04  969```
```------------2020-----------```
```18Feb  1.06M  828 XXXX 1280```
```------------2019-----------```
```05Sep   950K  773 XX05 1229```
```------------2018-----------```
```27Mar  1.52M  767 XXXX 1982```
_Source: DLD, Databot_
_BUA - built-up area, sq.ft._
_P/sf - price per sq.ft._
_B - bedrooms; O - office_
_M - million, K- thousand_
_S - studio, R - shop_
_*Max 30 latest transactions_
www.trydatabot.com</t>
  </si>
  <si>
    <t>Reehan 1</t>
  </si>
  <si>
    <t>1012201, *MARKET</t>
  </si>
  <si>
    <t>*MARKET*
*SNAPSHOT*
*REEHAN 1*
_Area: Downtown_
_Type: 1 bedroom apartment_
*Price dynamics, Dirham/sq.ft.*
_(M - median value)_
```2179|                  *   ```
```    |                     *```
```    |   *         ** *  ** ```
```    |                 *    ```
```1746|---------------------M```
```    |          *    *      ```
```    |       * *  *         ```
```    |        *  *          ```
```    |     *                ```
```    |    *                 ```
```969 |      *               ```
```____|______________________```
```    |Mar2018        Aug2024```
_Source: see table below_
*Latest sales transactions*
```Date   Price  BUA Type P/sf```
```------------2024-----------```
```06Aug  1.55M  773 XXXX 2005```
```01Jul   1.6M  826 XXXX 1937```
```20Mar   1.6M  826 XX04 1937```
```27Feb   1.8M  826 XX04 2179```
```------------2023-----------```
```28Sep  1.48M  826 XX04 1792```
```25Aug   1.5M  773 XX05 1940```
```07Jul  1.38M  826 XX04 1671```
```28Apr 1.596M  826 XX04 1932```
```18Apr   1.5M  773 XX05 1940```
```27Feb 1.275M  826 XX04 1544```
```09Jan 1.245M  826 XX04 1507```
```------------2022-----------```
```04Oct  1.35M  773 XX05 1746```
```11Apr  1.25M  773 XX05 1617```
```21Mar 1.165M  826 XX04 1410```
```08Mar 1.175M  773 XX05 1520```
```------------2021-----------```
```08Aug   800K  826 XX04  969```
```------------2020-----------```
```18Feb  1.06M  828 XXXX 1280```
```------------2019-----------```
```05Sep   950K  773 XX05 1229```
```------------2018-----------```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</si>
  <si>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1012204, *SALES*</t>
  </si>
  <si>
    <t>*SALES*
*TRANSACTIONS**
*REEHAN 1*
_Area: Downtown_
_Type: 2 bedroom apartment_
```Date   Price  BUA Type P/sf```
```------------2026-----------```
```14Jan 2.958M 1258 XXXX 2351```
```------------2025-----------```
```10Jul  2.85M 1258 XXXX 2266```
```06May   4.1M 2416 XXXX 1697```
```13Feb 4.275M 1517 XXXX 2818```
```07Jan  3.47M 1354 XX34 2563```
```------------2024-----------```
```11Nov   3.2M 1405 XXXX 2278```
```23Aug  2.65M 1258 XXXX 2107```
```27May  2.72M 1221 XX03 2228```
```14Feb 3.375M 1517 XX02 2225```
```------------2023-----------```
```21Dec     3M 1517 XX02 1978```
```30Oct  2.85M 1354 XX01 2105```
```23Aug  2.65M 1517 XX02 1747```
```22Aug 2.125M 1258 XX06 1689```
```11Aug 2.362M 1354 XX01 1745```
```11Aug     2M 1354 XX01 1477```
```03Aug   2.4M 1221 XX03 1966```
```25Apr   2.7M 1517 XX02 1780```
```03Feb  2.25M 1405 XX07 1601```
```------------2022-----------```
```12Sep  2.52M 1405 XX07 1794```
```11Apr  2.95M 1248 XXXX 2364```
```28Feb  1.85M 1258 XX06 1471```
```15Feb  2.35M 1405 XX07 1673```
```03Feb   250K 1258 XX06  199```
```------------2021-----------```
```11Nov 2.275M 1354 XX01 1680```
```14Sep  3.65M 1221 XX03 2989```
```25Aug 1.825M 1221 XX03 1495```
```06Jul 1.775M 1221 XX03 1454```
```17May   1.9M 1221 XX03 1556```
```17Mar   2.1M 1517 XX02 1384```
```------------2020-----------```
```05Nov  1.42M 1221 XX03 1163```
_Source: DLD, Databot_
_BUA - built-up area, sq.ft._
_P/sf - price per sq.ft._
_B - bedrooms; O - office_
_M - million, K- thousand_
_S - studio, R - shop_
_*Max 30 latest transactions_
www.trydatabot.com</t>
  </si>
  <si>
    <t>1012205, *MARKET</t>
  </si>
  <si>
    <t>*MARKET*
*SNAPSHOT*
*REEHAN 1*
_Area: Downtown_
_Type: 2 bedroom apartment_
*Price dynamics, Dirham/sq.ft.*
_(M - median value)_
```2818|                  *   ```
```    |                      ```
```    |                 *    ```
```    |  *                  *```
```    |             ** *   * ```
```    |           *   *      ```
```1972|---------------------M```
```    |      *     *         ```
```    |                      ```
```    |*  * *  ***        *  ```
```1471| *  *  *              ```
```____|______________________```
```    |Feb2022        Jan2026```
_Source: see table below_
*Latest sales transactions*
```Date   Price  BUA Type P/sf```
```------------2026-----------```
```14Jan 2.958M 1258 XXXX 2351```
```------------2025-----------```
```10Jul  2.85M 1258 XXXX 2266```
```06May   4.1M 2416 XXXX 1697```
```13Feb 4.275M 1517 XXXX 2818```
```07Jan  3.47M 1354 XX34 2563```
```------------2024-----------```
```11Nov   3.2M 1405 XXXX 2278```
```23Aug  2.65M 1258 XXXX 2107```
```27May  2.72M 1221 XX03 2228```
```14Feb 3.375M 1517 XX02 2225```
```------------2023-----------```
```21Dec     3M 1517 XX02 1978```
```30Oct  2.85M 1354 XX01 2105```
```23Aug  2.65M 1517 XX02 1747```
```22Aug 2.125M 1258 XX06 1689```
```11Aug 2.362M 1354 XX01 1745```
```11Aug     2M 1354 XX01 1477```
```03Aug   2.4M 1221 XX03 1966```
```25Apr   2.7M 1517 XX02 1780```
```03Feb  2.25M 1405 XX07 1601```
```------------2022-----------```
```12Sep  2.52M 1405 XX07 1794```
```11Apr  2.95M 1248 XXXX 2364```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</si>
  <si>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1012208, *SALES*</t>
  </si>
  <si>
    <t>*SALES*
*TRANSACTIONS**
*REEHAN 1*
_Area: Downtown_
_Type: 3 bedroom apartment_
```Date   Price  BUA Type P/sf```
```------------2022-----------```
```25Apr 995.2K 1817 XXXX  548```
_Source: DLD, Databot_
_BUA - built-up area, sq.ft._
_P/sf - price per sq.ft._
_B - bedrooms; O - office_
_M - million, K- thousand_
_S - studio, R - shop_
_*Max 30 latest transactions_
www.trydatabot.com</t>
  </si>
  <si>
    <t>1012209, *MARKET</t>
  </si>
  <si>
    <t>*MARKET*
*SNAPSHOT*
*REEHAN 1*
_Area: Downtown_
_Type: 3 bedroom apartment_
*Price dynamics, Dirham/sq.ft.*
_(M - median value)_
```548 |                     *```
```548 |----------------------```
```    |                     *```
```548 |---------------------M```
```    |                     *```
```548 |---------------------M```
```    |                     *```
```548 |---------------------M```
```    |                     *```
```548 |---------------------M```
```    |                     *```
```____|______________________```
```    |Apr2022        Apr2022```
_Source: see table below_
*Latest sales transactions*
```Date   Price  BUA Type P/sf```
```------------2022-----------```
```25Apr 995.2K 1817 XXXX  548```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</si>
  <si>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1012245, *SALES*</t>
  </si>
  <si>
    <t>*SALES*
*TRANSACTIONS**
*REEHAN 1*
_Area: Downtown_
_All types/bedrooms_
```Date    Price   BUA  Type B```
```------------2026-----------```
```14Jan  2.958M  1258  XXXX 2```
```------------2025-----------```
```10Jul   2.85M  1258  XXXX 2```
```06May    4.1M  2416  XXXX 2```
```13Feb  4.275M  1517  XXXX 2```
```07Jan   3.47M  1354  XX34 2```
```------------2024-----------```
```11Nov    3.2M  1405  XXXX 2```
```23Aug   2.65M  1258  XXXX 2```
```06Aug   1.55M   773  XXXX 1```
```01Jul    1.6M   826  XXXX 1```
```27May   2.72M  1221  XX03 2```
```20Mar    1.6M   826  XX04 1```
```27Feb    1.8M   826  XX04 1```
```14Feb  3.375M  1517  XX02 2```
```------------2023-----------```
```21Dec      3M  1517  XX02 2```
```30Oct   2.85M  1354  XX01 2```
```28Sep   1.48M   826  XX04 1```
```25Aug    1.5M   773  XX05 1```
```23Aug   2.65M  1517  XX02 2```
```22Aug  2.125M  1258  XX06 2```
```11Aug  2.362M  1354  XX01 2```
```11Aug      2M  1354  XX01 2```
```03Aug    2.4M  1221  XX03 2```
```07Jul   1.38M   826  XX04 1```
```28Apr  1.596M   826  XX04 1```
```25Apr    2.7M  1517  XX02 2```
```18Apr    1.5M   773  XX05 1```
```27Feb  1.275M   826  XX04 1```
```03Feb   2.25M  1405  XX07 2```
```09Jan  1.245M   826  XX04 1```
```------------2022-----------```
```04Oct   1.35M   773  XX05 1```
_Source: DLD, Databot_
_BUA - built-up area, sq.ft._
_P/sf - price per sq.ft._
_B - bedrooms; O - office_
_M - million, K- thousand_
_S - studio, R - shop_
_*Max 30 latest transactions_
www.trydatabot.com</t>
  </si>
  <si>
    <t>1012246, by code, *BUILDI</t>
  </si>
  <si>
    <t xml:space="preserve">*BUILDING*
*PROFILE*
*REEHAN 1*
_Area: Downtown_
_Tap&amp;hold to copy a reply_
```-------------------------```
```Report              Reply```
```-------------------------```
*1 B/R*
```Sales, ROI        1012200```
```Price chart       1012201```
```Rentals               n/a```
*2 B/R*
```Sales, ROI        1012204```
```Price chart       1012205```
```Rentals               n/a```
*3 B/R*
```Sales, ROI        1012208```
```Price chart       1012209```
```Rentals               n/a```
*All types/bedrooms*
```Sales, ROI        1012245```
```Rentals               n/a```
</t>
  </si>
  <si>
    <t>1012260, *SALES*</t>
  </si>
  <si>
    <t>*SALES*
*TRANSACTIONS**
*REEHAN 2*
_Area: Downtown_
_Type: studio apartment_
```Date   Price  BUA Type P/sf```
```------------2024-----------```
```08Jul   500K  303 XXXX 1650```
```------------2023-----------```
```29May 1.325M  606 XXXX 2186```
_Source: DLD, Databot_
_BUA - built-up area, sq.ft._
_P/sf - price per sq.ft._
_B - bedrooms; O - office_
_M - million, K- thousand_
_S - studio, R - shop_
_*Max 30 latest transactions_
www.trydatabot.com</t>
  </si>
  <si>
    <t>Reehan 2</t>
  </si>
  <si>
    <t>1012261, *MARKET</t>
  </si>
  <si>
    <t>*MARKET*
*SNAPSHOT*
*REEHAN 2*
_Area: Downtown_
_Type: studio apartment_
*Price dynamics, Dirham/sq.ft.*
_(M - median value)_
```2186|                    * ```
```    |                      ```
```    |                      ```
```    |                      ```
```    |                      ```
```1918|---------------------M```
```    |                      ```
```    |                      ```
```    |                      ```
```    |                      ```
```1650|                     *```
```____|______________________```
```    |May2023        Jul2024```
_Source: see table below_
*Latest sales transactions*
```Date   Price  BUA Type P/sf```
```------------2024-----------```
```08Jul   500K  303 XXXX 1650```
```------------2023-----------```
```29May 1.325M  606 XXXX 2186```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</si>
  <si>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1012264, *SALES*</t>
  </si>
  <si>
    <t>*SALES*
*TRANSACTIONS**
*REEHAN 2*
_Area: Downtown_
_Type: 1 bedroom apartment_
```Date   Price  BUA Type P/sf```
```------------2025-----------```
```08Jan   2.1M  944 XXXX 2225```
```------------2024-----------```
```12Dec  1.71M  806 XXXX 2122```
```04Sep  1.85M 1113 XXXX 1662```
```------------2023-----------```
```18Oct   1.6M  806 XX02 1985```
```------------2022-----------```
```15Dec     2M  946 XXXX 2114```
```------------2021-----------```
```08Aug   855K  806 XX02 1061```
```08Aug   1.3M 1113 XX01 1168```
```------------2020-----------```
```27Jan     1M  785 XX01 1274```
```------------2019-----------```
```10Jan  1.35M 1010 XX06 1337```
_Source: DLD, Databot_
_BUA - built-up area, sq.ft._
_P/sf - price per sq.ft._
_B - bedrooms; O - office_
_M - million, K- thousand_
_S - studio, R - shop_
_*Max 30 latest transactions_
www.trydatabot.com</t>
  </si>
  <si>
    <t>1012265, *MARKET</t>
  </si>
  <si>
    <t>*MARKET*
*SNAPSHOT*
*REEHAN 2*
_Area: Downtown_
_Type: 1 bedroom apartment_
*Price dynamics, Dirham/sq.ft.*
_(M - median value)_
```2225|                     *```
```    |                 *  * ```
```    |                  *   ```
```    |                      ```
```    |                      ```
```1662|---------------------M```
```    |                   *  ```
```    |                      ```
```    |                      ```
```    |             **       ```
```1061|               **     ```
```____|______________________```
```    |Jan2019        Jan2025```
_Source: see table below_
*Latest sales transactions*
```Date   Price  BUA Type P/sf```
```------------2025-----------```
```08Jan   2.1M  944 XXXX 2225```
```------------2024-----------```
```12Dec  1.71M  806 XXXX 2122```
```04Sep  1.85M 1113 XXXX 1662```
```------------2023-----------```
```18Oct   1.6M  806 XX02 1985```
```------------2022-----------```
```15Dec     2M  946 XXXX 2114```
```------------2021-----------```
```08Aug   855K  806 XX02 1061```
```08Aug   1.3M 1113 XX01 1168```
```------------2020-----------```
```27Jan     1M  785 XX01 1274```
```------------2019-----------```
```10Jan  1.35M 1010 XX06 1337```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</si>
  <si>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1012268, *SALES*</t>
  </si>
  <si>
    <t>*SALES*
*TRANSACTIONS**
*REEHAN 2*
_Area: Downtown_
_Type: 2 bedroom apartment_
```Date   Price  BUA Type P/sf```
```------------2024-----------```
```31May   5.7M 2970 XX09 1919```
```10May   2.8M 1412 XX04 1983```
```------------2023-----------```
```15Sep   2.6M 1338 XX08 1943```
```------------2022-----------```
```16Dec  2.95M 1354 XXXX 2179```
```26Jan 1.704M 1318 XX03 1293```
```------------2021-----------```
```15Sep 2.915M 2970 XX09  981```
```------------2018-----------```
```09Jul  2.45M 1412 XX04 1735```
```27Mar     4M 1895 XX09 2111```
_Source: DLD, Databot_
_BUA - built-up area, sq.ft._
_P/sf - price per sq.ft._
_B - bedrooms; O - office_
_M - million, K- thousand_
_S - studio, R - shop_
_*Max 30 latest transactions_
www.trydatabot.com</t>
  </si>
  <si>
    <t>1012269, *MARKET</t>
  </si>
  <si>
    <t>*MARKET*
*SNAPSHOT*
*REEHAN 2*
_Area: Downtown_
_Type: 2 bedroom apartment_
*Price dynamics, Dirham/sq.ft.*
_(M - median value)_
```2179|                  *   ```
```    |              *       ```
```1931|---------------------M```
```    |                   ***```
```    |                      ```
```    |               *      ```
```    |                      ```
```    |                      ```
```    |                 *    ```
```    |                      ```
```981 |                *     ```
```____|______________________```
```    |Mar2018        May2024```
_Source: see table below_
*Latest sales transactions*
```Date   Price  BUA Type P/sf```
```------------2024-----------```
```31May   5.7M 2970 XX09 1919```
```10May   2.8M 1412 XX04 1983```
```------------2023-----------```
```15Sep   2.6M 1338 XX08 1943```
```------------2022-----------```
```16Dec  2.95M 1354 XXXX 2179```
```26Jan 1.704M 1318 XX03 1293```
```------------2021-----------```
```15Sep 2.915M 2970 XX09  981```
```------------2018-----------```
```09Jul  2.45M 1412 XX04 1735```
```27Mar     4M 1895 XX09 2111```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</si>
  <si>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1012309, *SALES*</t>
  </si>
  <si>
    <t>*SALES*
*TRANSACTIONS**
*REEHAN 2*
_Area: Downtown_
_All types/bedrooms_
```Date    Price   BUA  Type B```
```------------2025-----------```
```08Jan    2.1M   944  XXXX 1```
```------------2024-----------```
```12Dec   1.71M   806  XXXX 1```
```04Sep   1.85M  1113  XXXX 1```
```08Jul    500K   303  XXXX S```
```31May    5.7M  2970  XX09 2```
```10May    2.8M  1412  XX04 2```
```------------2023-----------```
```18Oct    1.6M   806  XX02 1```
```15Sep    2.6M  1338  XX08 2```
```29May  1.325M   606  XXXX S```
```------------2022-----------```
```16Dec   2.95M  1354  XXXX 2```
```15Dec      2M   946  XXXX 1```
```26Jan  1.704M  1318  XX03 2```
```------------2021-----------```
```15Sep  2.915M  2970  XX09 2```
```08Aug    855K   806  XX02 1```
```08Aug    1.3M  1113  XX01 1```
```------------2020-----------```
```27Jan      1M   785  XX01 1```
```------------2019-----------```
```10Jan   1.35M  1010  XX06 1```
```------------2018-----------```
```09Jul   2.45M  1412  XX04 2```
```27Mar      4M  1895  XX09 2```
_Source: DLD, Databot_
_BUA - built-up area, sq.ft._
_P/sf - price per sq.ft._
_B - bedrooms; O - office_
_M - million, K- thousand_
_S - studio, R - shop_
_*Max 30 latest transactions_
www.trydatabot.com</t>
  </si>
  <si>
    <t>1012310, by code, *BUILDI</t>
  </si>
  <si>
    <t xml:space="preserve">*BUILDING*
*PROFILE*
*REEHAN 2*
_Area: Downtown_
_Tap&amp;hold to copy a reply_
```-------------------------```
```Report              Reply```
```-------------------------```
*Studio*
```Sales, ROI        1012260```
```Price chart       1012261```
```Rentals               n/a```
*1 B/R*
```Sales, ROI        1012264```
```Price chart       1012265```
```Rentals               n/a```
*2 B/R*
```Sales, ROI        1012268```
```Price chart       1012269```
```Rentals               n/a```
*All types/bedrooms*
```Sales, ROI        1012309```
```Rentals               n/a```
</t>
  </si>
  <si>
    <t>1012328, *SALES*</t>
  </si>
  <si>
    <t>*SALES*
*TRANSACTIONS**
*REEHAN 3*
_Area: Downtown_
_Type: 1 bedroom apartment_
```Date   Price  BUA Type P/sf```
```------------2025-----------```
```10Jul   1.8M  779 XXXX 2311```
```------------2024-----------```
```18Nov   2.3M 1012 XXXX 2273```
```28Oct  1.68M  805 XXXX 2087```
```27May     2M 1014 XXXX 1972```
```------------2023-----------```
```04Jul   1.5M  779 XX01 1926```
```23May 1.675M 1014 XXXX 1652```
```------------2022-----------```
```03Oct  1.55M  951 XX11 1630```
```------------2021-----------```
```11Nov 2.025M 1014 XXXX 1997```
```08Aug   855K  805 XX02 1062```
```06Apr   1.4M  946 XX11 1480```
```------------2020-----------```
```24Dec   1.3M 1012 XX06 1285```
```------------2019-----------```
```23Jul  1.75M 1012 XXXX 1729```
```------------2018-----------```
```07Feb 665.7K  951 XX11  700```
_Source: DLD, Databot_
_BUA - built-up area, sq.ft._
_P/sf - price per sq.ft._
_B - bedrooms; O - office_
_M - million, K- thousand_
_S - studio, R - shop_
_*Max 30 latest transactions_
www.trydatabot.com</t>
  </si>
  <si>
    <t>Reehan 3</t>
  </si>
  <si>
    <t>1012329, *MARKET</t>
  </si>
  <si>
    <t>*MARKET*
*SNAPSHOT*
*REEHAN 3*
_Area: Downtown_
_Type: 1 bedroom apartment_
*Price dynamics, Dirham/sq.ft.*
_(M - median value)_
```2311|                    **```
```    |                   *  ```
```    |              *  **   ```
```    |                      ```
```1729|---------------------M```
```    |          *    **     ```
```    |            *         ```
```    |           *          ```
```    |                      ```
```    |             *        ```
```700 |         *            ```
```____|______________________```
```    |Feb2018        Jul2025```
_Source: see table below_
*Latest sales transactions*
```Date   Price  BUA Type P/sf```
```------------2025-----------```
```10Jul   1.8M  779 XXXX 2311```
```------------2024-----------```
```18Nov   2.3M 1012 XXXX 2273```
```28Oct  1.68M  805 XXXX 2087```
```27May     2M 1014 XXXX 1972```
```------------2023-----------```
```04Jul   1.5M  779 XX01 1926```
```23May 1.675M 1014 XXXX 1652```
```------------2022-----------```
```03Oct  1.55M  951 XX11 1630```
```------------2021-----------```
```11Nov 2.025M 1014 XXXX 1997```
```08Aug   855K  805 XX02 1062```
```06Apr   1.4M  946 XX11 1480```
```------------2020-----------```
```24Dec   1.3M 1012 XX06 1285```
```------------2019-----------```
```23Jul  1.75M 1012 XXXX 1729```
```------------2018-----------```
```07Feb 665.7K  951 XX11  700```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</si>
  <si>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1012332, *SALES*</t>
  </si>
  <si>
    <t>*SALES*
*TRANSACTIONS**
*REEHAN 3*
_Area: Downtown_
_Type: 2 bedroom apartment_
```Date   Price  BUA Type P/sf```
```------------2024-----------```
```06Feb     3M 1338 XXXX 2242```
```------------2023-----------```
```05Dec  3.95M 2317 XXXX 1705```
```16Nov   2.6M 1412 XX04 1841```
```------------2022-----------```
```29Jun  2.15M 1412 XX04 1523```
```03Mar   2.5M 1282 XX10 1950```
```------------2021-----------```
```22Sep 1.875M 1338 XX08 1401```
```04Jul  2.65M 1574 XXXX 1684```
```02Mar   1.7M 1338 XX08 1271```
```01Feb   2.6M 2035 XX08 1278```
```------------2019-----------```
```25Sep   1.6M 1338 XX08 1196```
```------------2018-----------```
```13Dec  1.72M 1793 XXXX  959```
```06Sep   2.3M 1328 XX03 1732```
_Source: DLD, Databot_
_BUA - built-up area, sq.ft._
_P/sf - price per sq.ft._
_B - bedrooms; O - office_
_M - million, K- thousand_
_S - studio, R - shop_
_*Max 30 latest transactions_
www.trydatabot.com</t>
  </si>
  <si>
    <t>1012333, *MARKET</t>
  </si>
  <si>
    <t>*MARKET*
*SNAPSHOT*
*REEHAN 3*
_Area: Downtown_
_Type: 2 bedroom apartment_
*Price dynamics, Dirham/sq.ft.*
_(M - median value)_
```2242|                     *```
```    |                      ```
```    |                 *    ```
```    |                   *  ```
```    |          *    *    * ```
```1604|---------------------M```
```    |                      ```
```    |                  *   ```
```    |                *     ```
```    |            ***       ```
```959 |           *          ```
```____|______________________```
```    |Sep2018        Feb2024```
_Source: see table below_
*Latest sales transactions*
```Date   Price  BUA Type P/sf```
```------------2024-----------```
```06Feb     3M 1338 XXXX 2242```
```------------2023-----------```
```05Dec  3.95M 2317 XXXX 1705```
```16Nov   2.6M 1412 XX04 1841```
```------------2022-----------```
```29Jun  2.15M 1412 XX04 1523```
```03Mar   2.5M 1282 XX10 1950```
```------------2021-----------```
```22Sep 1.875M 1338 XX08 1401```
```04Jul  2.65M 1574 XXXX 1684```
```02Mar   1.7M 1338 XX08 1271```
```01Feb   2.6M 2035 XX08 1278```
```------------2019-----------```
```25Sep   1.6M 1338 XX08 1196```
```------------2018-----------```
```13Dec  1.72M 1793 XXXX  959```
```06Sep   2.3M 1328 XX03 1732```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</si>
  <si>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1012336, *SALES*</t>
  </si>
  <si>
    <t>*SALES*
*TRANSACTIONS**
*REEHAN 3*
_Area: Downtown_
_Type: 3 bedroom apartment_
```Date   Price  BUA Type P/sf```
```------------2025-----------```
```14Mar   5.6M 2155 XXXX 2599```
```------------2021-----------```
```30Mar  2.95M 2155 XX09 1369```
```------------2018-----------```
```01Oct   4.9M 1883 XXXX 2602```
_Source: DLD, Databot_
_BUA - built-up area, sq.ft._
_P/sf - price per sq.ft._
_B - bedrooms; O - office_
_M - million, K- thousand_
_S - studio, R - shop_
_*Max 30 latest transactions_
www.trydatabot.com</t>
  </si>
  <si>
    <t>1012337, *MARKET</t>
  </si>
  <si>
    <t>*MARKET*
*SNAPSHOT*
*REEHAN 3*
_Area: Downtown_
_Type: 3 bedroom apartment_
*Price dynamics, Dirham/sq.ft.*
_(M - median value)_
```2602|                   * 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```1369|                    * ```
```1369|                    * ```
```____|______________________```
```    |Oct2018        Mar2025```
_Source: see table below_
*Latest sales transactions*
```Date   Price  BUA Type P/sf```
```------------2025-----------```
```14Mar   5.6M 2155 XXXX 2599```
```------------2021-----------```
```30Mar  2.95M 2155 XX09 1369```
```------------2018-----------```
```01Oct   4.9M 1883 XXXX 2602```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</si>
  <si>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1012373, *SALES*</t>
  </si>
  <si>
    <t>*SALES*
*TRANSACTIONS**
*REEHAN 3*
_Area: Downtown_
_All types/bedrooms_
```Date    Price   BUA  Type B```
```------------2025-----------```
```10Jul    1.8M   779  XXXX 1```
```14Mar    5.6M  2155  XXXX 3```
```------------2024-----------```
```18Nov    2.3M  1012  XXXX 1```
```28Oct   1.68M   805  XXXX 1```
```27May      2M  1014  XXXX 1```
```06Feb      3M  1338  XXXX 2```
```------------2023-----------```
```05Dec   3.95M  2317  XXXX 2```
```16Nov    2.6M  1412  XX04 2```
```04Jul    1.5M   779  XX01 1```
```23May  1.675M  1014  XXXX 1```
```------------2022-----------```
```03Oct   1.55M   951  XX11 1```
```29Jun   2.15M  1412  XX04 2```
```03Mar    2.5M  1282  XX10 2```
```------------2021-----------```
```11Nov  2.025M  1014  XXXX 1```
```22Sep  1.875M  1338  XX08 2```
```08Aug    855K   805  XX02 1```
```04Jul   2.65M  1574  XXXX 2```
```06Apr    1.4M   946  XX11 1```
```30Mar   2.95M  2155  XX09 3```
```02Mar    1.7M  1338  XX08 2```
```01Feb    2.6M  2035  XX08 2```
```------------2020-----------```
```24Dec    1.3M  1012  XX06 1```
```------------2019-----------```
```25Sep    1.6M  1338  XX08 2```
```23Jul   1.75M  1012  XXXX 1```
```------------2018-----------```
```13Dec   1.72M  1793  XXXX 2```
```01Oct    4.9M  1883  XXXX 3```
```06Sep    2.3M  1328  XX03 2```
```07Feb  665.7K   951  XX11 1```
_Source: DLD, Databot_
_BUA - built-up area, sq.ft._
_P/sf - price per sq.ft._
_B - bedrooms; O - office_
_M - million, K- thousand_
_S - studio, R - shop_
_*Max 30 latest transactions_
www.trydatabot.com</t>
  </si>
  <si>
    <t>1012374, by code, *BUILDI</t>
  </si>
  <si>
    <t xml:space="preserve">*BUILDING*
*PROFILE*
*REEHAN 3*
_Area: Downtown_
_Tap&amp;hold to copy a reply_
```-------------------------```
```Report              Reply```
```-------------------------```
*1 B/R*
```Sales, ROI        1012328```
```Price chart       1012329```
```Rentals               n/a```
*2 B/R*
```Sales, ROI        1012332```
```Price chart       1012333```
```Rentals               n/a```
*3 B/R*
```Sales, ROI        1012336```
```Price chart       1012337```
```Rentals               n/a```
*All types/bedrooms*
```Sales, ROI        1012373```
```Rentals               n/a```
</t>
  </si>
  <si>
    <t>1012392, *SALES*</t>
  </si>
  <si>
    <t>*SALES*
*TRANSACTIONS**
*REEHAN 4*
_Area: Downtown_
_Type: 1 bedroom apartment_
```Date   Price  BUA Type P/sf```
```------------2025-----------```
```17Feb 2.188M  984 XXXX 2224```
```------------2024-----------```
```11Dec   1.9M  981 XX07 1937```
```10Jun   2.1M 1960 XXXX 1071```
```29Mar  1.85M  980 XX06 1888```
```------------2023-----------```
```13Nov  1.85M  939 XX10 1970```
```30Aug  1.75M  938 XX03 1866```
```12Jun   1.5M  875 XX01 1714```
```25Apr 2.096M  965 XXXX 2172```
```------------2021-----------```
```04Nov 1.425M  994 XX08 1434```
```------------2020-----------```
```19Nov  1.16M  938 XX03 1237```
```04Oct  1.15M  984 XX07 1169```
```------------2019-----------```
```29Sep   1.4M  974 XXXX 1437```
```21May  1.19M  981 XX05 1213```
```------------2018-----------```
```11Jul  1.27M  938 XX03 1354```
```30Jan   1.7M  980 XX06 1735```
_Source: DLD, Databot_
_BUA - built-up area, sq.ft._
_P/sf - price per sq.ft._
_B - bedrooms; O - office_
_M - million, K- thousand_
_S - studio, R - shop_
_*Max 30 latest transactions_
www.trydatabot.com</t>
  </si>
  <si>
    <t>Reehan 4</t>
  </si>
  <si>
    <t>1012393, *MARKET</t>
  </si>
  <si>
    <t>*MARKET*
*SNAPSHOT*
*REEHAN 4*
_Area: Downtown_
_Type: 1 bedroom apartment_
*Price dynamics, Dirham/sq.ft.*
_(M - median value)_
```2224|              *      *```
```    |                      ```
```    |                 *  * ```
```    |                * *   ```
```1714|---------------------M```
```    |       *       *      ```
```    |                      ```
```    |                      ```
```    |          *  *        ```
```    |        **  *         ```
```1071|           *       *  ```
```____|______________________```
```    |Jan2018        Feb2025```
_Source: see table below_
*Latest sales transactions*
```Date   Price  BUA Type P/sf```
```------------2025-----------```
```17Feb 2.188M  984 XXXX 2224```
```------------2024-----------```
```11Dec   1.9M  981 XX07 1937```
```10Jun   2.1M 1960 XXXX 1071```
```29Mar  1.85M  980 XX06 1888```
```------------2023-----------```
```13Nov  1.85M  939 XX10 1970```
```30Aug  1.75M  938 XX03 1866```
```12Jun   1.5M  875 XX01 1714```
```25Apr 2.096M  965 XXXX 2172```
```------------2021-----------```
```04Nov 1.425M  994 XX08 1434```
```------------2020-----------```
```19Nov  1.16M  938 XX03 1237```
```04Oct  1.15M  984 XX07 1169```
```------------2019-----------```
```29Sep   1.4M  974 XXXX 1437```
```21May  1.19M  981 XX05 1213```
```------------2018-----------```
```11Jul  1.27M  938 XX03 1354```
```30Jan   1.7M  980 XX06 1735```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</si>
  <si>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1012396, *SALES*</t>
  </si>
  <si>
    <t>*SALES*
*TRANSACTIONS**
*REEHAN 4*
_Area: Downtown_
_Type: 2 bedroom apartment_
```Date   Price  BUA Type P/sf```
```------------2024-----------```
```17Sep  3.45M 1455 XXXX 2371```
```15Apr  3.35M 1455 XXXX 2302```
```------------2022-----------```
```06Jun  2.03M 1455 XX12 1395```
_Source: DLD, Databot_
_BUA - built-up area, sq.ft._
_P/sf - price per sq.ft._
_B - bedrooms; O - office_
_M - million, K- thousand_
_S - studio, R - shop_
_*Max 30 latest transactions_
www.trydatabot.com</t>
  </si>
  <si>
    <t>1012397, *MARKET</t>
  </si>
  <si>
    <t>*MARKET*
*SNAPSHOT*
*REEHAN 4*
_Area: Downtown_
_Type: 2 bedroom apartment_
*Price dynamics, Dirham/sq.ft.*
_(M - median value)_
```2371|                     *```
```2302|----------------------```
```    |                    * ```
```    |                      ```
```    |                      ```
```    |                      ```
```    |                      ```
```    |                      ```
```    |                      ```
```    |                      ```
```1395|                   *  ```
```____|______________________```
```    |Jun2022        Sep2024```
_Source: see table below_
*Latest sales transactions*
```Date   Price  BUA Type P/sf```
```------------2024-----------```
```17Sep  3.45M 1455 XXXX 2371```
```15Apr  3.35M 1455 XXXX 2302```
```------------2022-----------```
```06Jun  2.03M 1455 XX12 1395```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</si>
  <si>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1012437, *SALES*</t>
  </si>
  <si>
    <t>*SALES*
*TRANSACTIONS**
*REEHAN 4*
_Area: Downtown_
_All types/bedrooms_
```Date    Price   BUA  Type B```
```------------2025-----------```
```17Feb  2.188M   984  XXXX 1```
```------------2024-----------```
```11Dec    1.9M   981  XX07 1```
```17Sep   3.45M  1455  XXXX 2```
```10Jun    2.1M  1960  XXXX 1```
```15Apr   3.35M  1455  XXXX 2```
```29Mar   1.85M   980  XX06 1```
```------------2023-----------```
```13Nov   1.85M   939  XX10 1```
```30Aug   1.75M   938  XX03 1```
```12Jun    1.5M   875  XX01 1```
```25Apr  2.096M   965  XXXX 1```
```------------2022-----------```
```06Jun   2.03M  1455  XX12 2```
```------------2021-----------```
```04Nov  1.425M   994  XX08 1```
```------------2020-----------```
```19Nov   1.16M   938  XX03 1```
```04Oct   1.15M   984  XX07 1```
```------------2019-----------```
```29Sep    1.4M   974  XXXX 1```
```21May   1.19M   981  XX05 1```
```------------2018-----------```
```11Jul   1.27M   938  XX03 1```
```30Jan    1.7M   980  XX06 1```
_Source: DLD, Databot_
_BUA - built-up area, sq.ft._
_P/sf - price per sq.ft._
_B - bedrooms; O - office_
_M - million, K- thousand_
_S - studio, R - shop_
_*Max 30 latest transactions_
www.trydatabot.com</t>
  </si>
  <si>
    <t>1012438, by code, *BUILDI</t>
  </si>
  <si>
    <t xml:space="preserve">*BUILDING*
*PROFILE*
*REEHAN 4*
_Area: Downtown_
_Tap&amp;hold to copy a reply_
```-------------------------```
```Report              Reply```
```-------------------------```
*1 B/R*
```Sales, ROI        1012392```
```Price chart       1012393```
```Rentals               n/a```
*2 B/R*
```Sales, ROI        1012396```
```Price chart       1012397```
```Rentals               n/a```
*All types/bedrooms*
```Sales, ROI        1012437```
```Rentals               n/a```
</t>
  </si>
  <si>
    <t>1012456, *SALES*</t>
  </si>
  <si>
    <t>*SALES*
*TRANSACTIONS**
*REEHAN 5*
_Area: Downtown_
_Type: 1 bedroom apartment_
```Date   Price  BUA Type P/sf```
```------------2025-----------```
```01Aug 2.175M  933 XXXX 2331```
```13May 2.142M  986 XXXX 2172```
```03Apr  2.45M  934 XXXX 2623```
```21Feb 1.967M 1503 XXXX 1309```
```23Jan     2M  898 XXXX 2227```
```14Jan     2M  976 XXXX 2049```
```------------2024-----------```
```30Oct   1.9M  934 XXXX 2034```
```28May 2.634M 2040 XXXX 1291```
```29Feb   1.4M  898 XX01 1559```
```------------2023-----------```
```02Nov  1.65M  976 XXXX 1691```
```30Oct  1.65M  898 XX01 1837```
```02Oct  1.65M  965 XXXX 1710```
```28Aug   1.8M  931 XXXX 1933```
```------------2022-----------```
```12Dec  1.25M  898 XX01 1392```
```28Oct 1.425M  976 XX06 1460```
```26Sep  1.39M  931 XX10 1493```
```11Aug   1.4M  977 XX05 1433```
```13Jun 1.425M  933 XX04 1527```
```------------2021-----------```
```28Dec 1.325M  976 XX06 1358```
```11Jul   1.5M  976 XXXX 1537```
```21Jun 1.375M  933 XX03 1474```
```21Mar 1.175M  976 XX06 1204```
```------------2020-----------```
```19Nov   1.3M  986 XXXX 1318```
```13Aug     1M  976 XX06 1025```
```10Aug  1.25M  986 XXXX 1268```
```09Feb 966.3K  986 XX08  980```
```------------2019-----------```
```15Dec 956.6K  976 XX06  980```
```03Sep     1M  898 XX01 1114```
```02Sep 1.125M  933 XX03 1206```
```18Mar  1.15M  976 XX06 1178```
_Source: DLD, Databot_
_BUA - built-up area, sq.ft._
_P/sf - price per sq.ft._
_B - bedrooms; O - office_
_M - million, K- thousand_
_S - studio, R - shop_
_*Max 30 latest transactions_
www.trydatabot.com</t>
  </si>
  <si>
    <t>Reehan 5</t>
  </si>
  <si>
    <t>1012457, *MARKET</t>
  </si>
  <si>
    <t>*MARKET*
*SNAPSHOT*
*REEHAN 5*
_Area: Downtown_
_Type: 1 bedroom apartment_
*Price dynamics, Dirham/sq.ft.*
_(M - median value)_
```2623|                   *  ```
```    |                      ```
```    |                     *```
```    |                 *  * ```
```    |               **     ```
```    |         *            ```
```    |          **          ```
```    |            **        ```
```1548|---------------------M```
```    | ********             ```
```1204|*             *   *   ```
```____|______________________```
```    |Mar2021        Aug2025```
_Source: see table below_
*Latest sales transactions*
```Date   Price  BUA Type P/sf```
```------------2025-----------```
```01Aug 2.175M  933 XXXX 2331```
```13May 2.142M  986 XXXX 2172```
```03Apr  2.45M  934 XXXX 2623```
```21Feb 1.967M 1503 XXXX 1309```
```23Jan     2M  898 XXXX 2227```
```14Jan     2M  976 XXXX 2049```
```------------2024-----------```
```30Oct   1.9M  934 XXXX 2034```
```28May 2.634M 2040 XXXX 1291```
```29Feb   1.4M  898 XX01 1559```
```------------2023-----------```
```02Nov  1.65M  976 XXXX 1691```
```30Oct  1.65M  898 XX01 1837```
```02Oct  1.65M  965 XXXX 1710```
```28Aug   1.8M  931 XXXX 1933```
```------------2022-----------```
```12Dec  1.25M  898 XX01 1392```
```28Oct 1.425M  976 XX06 1460```
```26Sep  1.39M  931 XX10 1493```
```11Aug   1.4M  977 XX05 1433```
```13Jun 1.425M  933 XX04 1527```
```------------2021-----------```
```28Dec 1.325M  976 XX06 1358```
```11Jul   1.5M  976 XXXX 1537```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</si>
  <si>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1012460, *SALES*</t>
  </si>
  <si>
    <t>*SALES*
*TRANSACTIONS**
*REEHAN 5*
_Area: Downtown_
_Type: 2 bedroom apartment_
```Date   Price  BUA Type P/sf```
```------------2024-----------```
```19Dec   3.4M 1448 XXXX 2348```
```------------2022-----------```
```30Jun   2.2M 1448 XX12 1519```
```05Jan  1.78M 1448 XX12 1229```
```------------2018-----------```
```19Nov  1.95M 1448 XX12 1347```
_Source: DLD, Databot_
_BUA - built-up area, sq.ft._
_P/sf - price per sq.ft._
_B - bedrooms; O - office_
_M - million, K- thousand_
_S - studio, R - shop_
_*Max 30 latest transactions_
www.trydatabot.com</t>
  </si>
  <si>
    <t>1012461, *MARKET</t>
  </si>
  <si>
    <t>*MARKET*
*SNAPSHOT*
*REEHAN 5*
_Area: Downtown_
_Type: 2 bedroom apartment_
*Price dynamics, Dirham/sq.ft.*
_(M - median value)_
```2348|                     *```
```    |                      ```
```    |                      ```
```    |                      ```
```    |                      ```
```    |                      ```
```    |                      ```
```    |                    * ```
```1433|---------------------M```
```    |                  *   ```
```1229|                   *  ```
```____|______________________```
```    |Nov2018        Dec2024```
_Source: see table below_
*Latest sales transactions*
```Date   Price  BUA Type P/sf```
```------------2024-----------```
```19Dec   3.4M 1448 XXXX 2348```
```------------2022-----------```
```30Jun   2.2M 1448 XX12 1519```
```05Jan  1.78M 1448 XX12 1229```
```------------2018-----------```
```19Nov  1.95M 1448 XX12 1347```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</si>
  <si>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1012501, *SALES*</t>
  </si>
  <si>
    <t>*SALES*
*TRANSACTIONS**
*REEHAN 5*
_Area: Downtown_
_All types/bedrooms_
```Date    Price   BUA  Type B```
```------------2025-----------```
```01Aug  2.175M   933  XXXX 1```
```13May  2.142M   986  XXXX 1```
```03Apr   2.45M   934  XXXX 1```
```21Feb  1.967M  1503  XXXX 1```
```23Jan      2M   898  XXXX 1```
```14Jan      2M   976  XXXX 1```
```------------2024-----------```
```19Dec    3.4M  1448  XXXX 2```
```30Oct    1.9M   934  XXXX 1```
```28May  2.634M  2040  XXXX 1```
```29Feb    1.4M   898  XX01 1```
```------------2023-----------```
```02Nov   1.65M   976  XXXX 1```
```30Oct   1.65M   898  XX01 1```
```02Oct   1.65M   965  XXXX 1```
```28Aug    1.8M   931  XXXX 1```
```------------2022-----------```
```12Dec   1.25M   898  XX01 1```
```28Oct  1.425M   976  XX06 1```
```26Sep   1.39M   931  XX10 1```
```11Aug    1.4M   977  XX05 1```
```30Jun    2.2M  1448  XX12 2```
```13Jun  1.425M   933  XX04 1```
```05Jan   1.78M  1448  XX12 2```
```------------2021-----------```
```28Dec  1.325M   976  XX06 1```
```11Jul    1.5M   976  XXXX 1```
```21Jun  1.375M   933  XX03 1```
```21Mar  1.175M   976  XX06 1```
```------------2020-----------```
```19Nov    1.3M   986  XXXX 1```
```13Aug      1M   976  XX06 1```
```10Aug   1.25M   986  XXXX 1```
```09Feb  966.3K   986  XX08 1```
```------------2019-----------```
```15Dec  956.6K   976  XX06 1```
_Source: DLD, Databot_
_BUA - built-up area, sq.ft._
_P/sf - price per sq.ft._
_B - bedrooms; O - office_
_M - million, K- thousand_
_S - studio, R - shop_
_*Max 30 latest transactions_
www.trydatabot.com</t>
  </si>
  <si>
    <t>1012502, by code, *BUILDI</t>
  </si>
  <si>
    <t xml:space="preserve">*BUILDING*
*PROFILE*
*REEHAN 5*
_Area: Downtown_
_Tap&amp;hold to copy a reply_
```-------------------------```
```Report              Reply```
```-------------------------```
*1 B/R*
```Sales, ROI        1012456```
```Price chart       1012457```
```Rentals               n/a```
*2 B/R*
```Sales, ROI        1012460```
```Price chart       1012461```
```Rentals               n/a```
*All types/bedrooms*
```Sales, ROI        1012501```
```Rentals               n/a```
</t>
  </si>
  <si>
    <t>1012520, *SALES*</t>
  </si>
  <si>
    <t>*SALES*
*TRANSACTIONS**
*REEHAN 6*
_Area: Downtown_
_Type: 1 bedroom apartment_
```Date   Price  BUA Type P/sf```
```------------2025-----------```
```04Mar  1.85M 1012 XXXX 1828```
```05Feb 1.483M 1012 XXXX 1465```
```------------2024-----------```
```23Aug 1.525M  785 XX55 1943```
```27Feb   1.8M  944 XX11 1907```
```------------2022-----------```
```26Sep 1.535M 1012 XX07 1517```
```28Mar 1.098M  944 XX11 1163```
```------------2021-----------```
```05Dec 3.915M 1010 XXXX 3876```
```------------2020-----------```
```03Aug  1.05M 1012 XX07 1038```
```09Feb     1M  806 XX02 1241```
```------------2019-----------```
```30May  1.43M 1010 XX06 1416```
_Source: DLD, Databot_
_BUA - built-up area, sq.ft._
_P/sf - price per sq.ft._
_B - bedrooms; O - office_
_M - million, K- thousand_
_S - studio, R - shop_
_*Max 30 latest transactions_
www.trydatabot.com</t>
  </si>
  <si>
    <t>Reehan 6</t>
  </si>
  <si>
    <t>1012521, *MARKET</t>
  </si>
  <si>
    <t>*MARKET*
*SNAPSHOT*
*REEHAN 6*
_Area: Downtown_
_Type: 1 bedroom apartment_
*Price dynamics, Dirham/sq.ft.*
_(M - median value)_
```3876|               *      ```
```    |                      ```
```    |                      ```
```    |                      ```
```    |                      ```
```    |                      ```
```    |                      ```
```    |                  ** *```
```1491|---------------------M```
```    |            *    *  * ```
```1038|             ** *     ```
```____|______________________```
```    |May2019        Mar2025```
_Source: see table below_
*Latest sales transactions*
```Date   Price  BUA Type P/sf```
```------------2025-----------```
```04Mar  1.85M 1012 XXXX 1828```
```05Feb 1.483M 1012 XXXX 1465```
```------------2024-----------```
```23Aug 1.525M  785 XX55 1943```
```27Feb   1.8M  944 XX11 1907```
```------------2022-----------```
```26Sep 1.535M 1012 XX07 1517```
```28Mar 1.098M  944 XX11 1163```
```------------2021-----------```
```05Dec 3.915M 1010 XXXX 3876```
```------------2020-----------```
```03Aug  1.05M 1012 XX07 1038```
```09Feb     1M  806 XX02 1241```
```------------2019-----------```
```30May  1.43M 1010 XX06 1416```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</si>
  <si>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1012524, *SALES*</t>
  </si>
  <si>
    <t>*SALES*
*TRANSACTIONS**
*REEHAN 6*
_Area: Downtown_
_Type: 2 bedroom apartment_
```Date   Price  BUA Type P/sf```
```------------2025-----------```
```15Oct 3.825M 1412 XXXX 2709```
```------------2024-----------```
```19Dec  2.65M 1281 XXXX 2069```
```25Oct   3.5M 2448 XXXX 1430```
```15Apr   2.5M 1338 XXXX 1868```
```28Mar  3.15M 1318 XX03 2390```
```21Mar  2.95M 1281 XX10 2303```
```------------2023-----------```
```28Dec     4M 3048 XXXX 1312```
```12Jun   800K 1412 XX04  567```
```14Apr 2.075M 1281 XX10 1620```
```------------2022-----------```
```20Apr   2.5M 1338 XX08 1868```
```------------2021-----------```
```08Aug   1.4M 1281 XX10 1093```
```08Aug   1.4M 1281 XX10 1093```
```20Jun  2.65M 1334 XXXX 1987```
```08Apr     2M 1334 XXXX 1499```
```------------2020-----------```
```08Jul   1.5M 1412 XX04 1062```
```------------2018-----------```
```01Mar   2.1M 1281 XX10 1639```
_Source: DLD, Databot_
_BUA - built-up area, sq.ft._
_P/sf - price per sq.ft._
_B - bedrooms; O - office_
_M - million, K- thousand_
_S - studio, R - shop_
_*Max 30 latest transactions_
www.trydatabot.com</t>
  </si>
  <si>
    <t>1012525, *MARKET</t>
  </si>
  <si>
    <t>*MARKET*
*SNAPSHOT*
*REEHAN 6*
_Area: Downtown_
_Type: 2 bedroom apartment_
*Price dynamics, Dirham/sq.ft.*
_(M - median value)_
```2709|                     *```
```    |                 *    ```
```    |                *     ```
```    |         *          * ```
```    |            *     *   ```
```1630|---------------------M```
```    |      *      *        ```
```    |        *          *  ```
```    |               *      ```
```    |       *  **          ```
```567 |              *       ```
```____|______________________```
```    |Mar2018        Oct2025```
_Source: see table below_
*Latest sales transactions*
```Date   Price  BUA Type P/sf```
```------------2025-----------```
```15Oct 3.825M 1412 XXXX 2709```
```------------2024-----------```
```19Dec  2.65M 1281 XXXX 2069```
```25Oct   3.5M 2448 XXXX 1430```
```15Apr   2.5M 1338 XXXX 1868```
```28Mar  3.15M 1318 XX03 2390```
```21Mar  2.95M 1281 XX10 2303```
```------------2023-----------```
```28Dec     4M 3048 XXXX 1312```
```12Jun   800K 1412 XX04  567```
```14Apr 2.075M 1281 XX10 1620```
```------------2022-----------```
```20Apr   2.5M 1338 XX08 1868```
```------------2021-----------```
```08Aug   1.4M 1281 XX10 1093```
```08Aug   1.4M 1281 XX10 1093```
```20Jun  2.65M 1334 XXXX 1987```
```08Apr     2M 1334 XXXX 1499```
```------------2020-----------```
```08Jul   1.5M 1412 XX04 1062```
```------------2018-----------```
```01Mar   2.1M 1281 XX10 1639```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</si>
  <si>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1012528, *SALES*</t>
  </si>
  <si>
    <t>*SALES*
*TRANSACTIONS**
*REEHAN 6*
_Area: Downtown_
_Type: 3 bedroom apartment_
```Date   Price  BUA Type P/sf```
```------------2025-----------```
```15Dec   4.4M 1873 XXXX 2349```
```------------2023-----------```
```20Mar 3.508M 2156 XX09 1627```
```04Jan  7.05M 1882 XXXX 3746```
```------------2022-----------```
```15Mar   3.2M 1873 XX05 1708```
```------------2021-----------```
```03Oct  2.95M 1873 XX05 1575```
```------------2019-----------```
```31Jul   2.4M 1873 XX05 1281```
```------------2018-----------```
```09Dec  3.23M 2156 XX09 1498```
_Source: DLD, Databot_
_BUA - built-up area, sq.ft._
_P/sf - price per sq.ft._
_B - bedrooms; O - office_
_M - million, K- thousand_
_S - studio, R - shop_
_*Max 30 latest transactions_
www.trydatabot.com</t>
  </si>
  <si>
    <t>1012529, *MARKET</t>
  </si>
  <si>
    <t>*MARKET*
*SNAPSHOT*
*REEHAN 6*
_Area: Downtown_
_Type: 3 bedroom apartment_
*Price dynamics, Dirham/sq.ft.*
_(M - median value)_
```3746|                   *  ```
```    |                      ```
```    |                      ```
```    |                      ```
```    |                      ```
```    |                      ```
```    |                     *```
```    |                      ```
```1627|---------------------M```
```    |                 ** * ```
```1281|               **     ```
```____|______________________```
```    |Dec2018        Dec2025```
_Source: see table below_
*Latest sales transactions*
```Date   Price  BUA Type P/sf```
```------------2025-----------```
```15Dec   4.4M 1873 XXXX 2349```
```------------2023-----------```
```20Mar 3.508M 2156 XX09 1627```
```04Jan  7.05M 1882 XXXX 3746```
```------------2022-----------```
```15Mar   3.2M 1873 XX05 1708```
```------------2021-----------```
```03Oct  2.95M 1873 XX05 1575```
```------------2019-----------```
```31Jul   2.4M 1873 XX05 1281```
```------------2018-----------```
```09Dec  3.23M 2156 XX09 1498```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</si>
  <si>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1012565, *SALES*</t>
  </si>
  <si>
    <t>*SALES*
*TRANSACTIONS**
*REEHAN 6*
_Area: Downtown_
_All types/bedrooms_
```Date    Price   BUA  Type B```
```------------2025-----------```
```15Dec    4.4M  1873  XXXX 3```
```15Oct  3.825M  1412  XXXX 2```
```04Mar   1.85M  1012  XXXX 1```
```05Feb  1.483M  1012  XXXX 1```
```------------2024-----------```
```19Dec   2.65M  1281  XXXX 2```
```25Oct    3.5M  2448  XXXX 2```
```23Aug  1.525M   785  XX55 1```
```15Apr    2.5M  1338  XXXX 2```
```28Mar   3.15M  1318  XX03 2```
```21Mar   2.95M  1281  XX10 2```
```27Feb    1.8M   944  XX11 1```
```------------2023-----------```
```28Dec      4M  3048  XXXX 2```
```12Jun    800K  1412  XX04 2```
```14Apr  2.075M  1281  XX10 2```
```20Mar  3.508M  2156  XX09 3```
```04Jan   7.05M  1882  XXXX 3```
```------------2022-----------```
```26Sep  1.535M  1012  XX07 1```
```20Apr    2.5M  1338  XX08 2```
```28Mar  1.098M   944  XX11 1```
```15Mar    3.2M  1873  XX05 3```
```------------2021-----------```
```05Dec  3.915M  1010  XXXX 1```
```03Oct   2.95M  1873  XX05 3```
```08Aug    1.4M  1281  XX10 2```
```08Aug    1.4M  1281  XX10 2```
```20Jun   2.65M  1334  XXXX 2```
```08Apr      2M  1334  XXXX 2```
```------------2020-----------```
```03Aug   1.05M  1012  XX07 1```
```08Jul    1.5M  1412  XX04 2```
```09Feb      1M   806  XX02 1```
```------------2019-----------```
```31Jul    2.4M  1873  XX05 3```
_Source: DLD, Databot_
_BUA - built-up area, sq.ft._
_P/sf - price per sq.ft._
_B - bedrooms; O - office_
_M - million, K- thousand_
_S - studio, R - shop_
_*Max 30 latest transactions_
www.trydatabot.com</t>
  </si>
  <si>
    <t>1012566, by code, *BUILDI</t>
  </si>
  <si>
    <t xml:space="preserve">*BUILDING*
*PROFILE*
*REEHAN 6*
_Area: Downtown_
_Tap&amp;hold to copy a reply_
```-------------------------```
```Report              Reply```
```-------------------------```
*1 B/R*
```Sales, ROI        1012520```
```Price chart       1012521```
```Rentals               n/a```
*2 B/R*
```Sales, ROI        1012524```
```Price chart       1012525```
```Rentals               n/a```
*3 B/R*
```Sales, ROI        1012528```
```Price chart       1012529```
```Rentals               n/a```
*All types/bedrooms*
```Sales, ROI        1012565```
```Rentals               n/a```
</t>
  </si>
  <si>
    <t>1012584, *SALES*</t>
  </si>
  <si>
    <t>*SALES*
*TRANSACTIONS**
*REEHAN 7*
_Area: Downtown_
_Type: 1 bedroom apartment_
```Date   Price  BUA Type P/sf```
```------------2025-----------```
```22Oct   1.9M  826 XXXX 2300```
```24Sep  1.95M  826 XXXX 2361```
```20Aug     2M 1223 XXXX 1635```
```15May 1.725M  773 XXXX 2232```
```20Mar 2.125M  773 XXXX 2749```
```------------2024-----------```
```22Oct   1.6M  826 XXXX 1937```
```17Sep 1.643M  773 XXXX 2125```
```29Aug   1.6M  773 XXXX 2070```
```------------2023-----------```
```10May  1.37M  773 XX05 1772```
```14Mar 1.131M  773 XX05 1463```
```------------2022-----------```
```25Nov 1.158M  773 XX05 1497```
```21Apr 1.675M  828 XXXX 2023```
```------------2021-----------```
```08Aug   800K  773 XX05 1035```
```12Apr   950K  826 XX04 1150```
```------------2020-----------```
```12Apr   900K  773 XX05 1164```
```------------2019-----------```
```13Oct  1.25M  828 XXXX 1510```
```17Jul   900K  773 XX05 1164```
_Source: DLD, Databot_
_BUA - built-up area, sq.ft._
_P/sf - price per sq.ft._
_B - bedrooms; O - office_
_M - million, K- thousand_
_S - studio, R - shop_
_*Max 30 latest transactions_
www.trydatabot.com</t>
  </si>
  <si>
    <t>Reehan 7</t>
  </si>
  <si>
    <t>1012585, *MARKET</t>
  </si>
  <si>
    <t>*MARKET*
*SNAPSHOT*
*REEHAN 7*
_Area: Downtown_
_Type: 1 bedroom apartment_
*Price dynamics, Dirham/sq.ft.*
_(M - median value)_
```2749|                 *    ```
```    |                      ```
```    |                    * ```
```    |                  *  *```
```    |          *   **      ```
```    |                *     ```
```1772|---------------------M```
```    |             *        ```
```    |      *    *       *  ```
```    |            *         ```
```1035|     * ***            ```
```____|______________________```
```    |Jul2019        Oct2025```
_Source: see table below_
*Latest sales transactions*
```Date   Price  BUA Type P/sf```
```------------2025-----------```
```22Oct   1.9M  826 XXXX 2300```
```24Sep  1.95M  826 XXXX 2361```
```20Aug     2M 1223 XXXX 1635```
```15May 1.725M  773 XXXX 2232```
```20Mar 2.125M  773 XXXX 2749```
```------------2024-----------```
```22Oct   1.6M  826 XXXX 1937```
```17Sep 1.643M  773 XXXX 2125```
```29Aug   1.6M  773 XXXX 2070```
```------------2023-----------```
```10May  1.37M  773 XX05 1772```
```14Mar 1.131M  773 XX05 1463```
```------------2022-----------```
```25Nov 1.158M  773 XX05 1497```
```21Apr 1.675M  828 XXXX 2023```
```------------2021-----------```
```08Aug   800K  773 XX05 1035```
```12Apr   950K  826 XX04 1150```
```------------2020-----------```
```12Apr   900K  773 XX05 1164```
```------------2019-----------```
```13Oct  1.25M  828 XXXX 1510```
```17Jul   900K  773 XX05 1164```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</si>
  <si>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1012588, *SALES*</t>
  </si>
  <si>
    <t>*SALES*
*TRANSACTIONS**
*REEHAN 7*
_Area: Downtown_
_Type: 2 bedroom apartment_
```Date   Price  BUA Type P/sf```
```------------2025-----------```
```29Dec   3.4M 1221 XXXX 2785```
```04Dec 3.025M 1258 XXXX 2405```
```28Aug     7M 3387 XXXX 2067```
```23Jul 3.475M 1354 XX34 2566```
```23May   3.2M 1221 XXXX 2621```
```28Apr 3.025M 1221 XXXX 2477```
```27Jan   2.7M 1354 XX34 1994```
```------------2024-----------```
```23Dec   3.6M 1405 XXXX 2562```
```04Jul  2.58M 1258 XXXX 2051```
```27Jun  3.15M 1405 XXXX 2242```
```21Mar 2.523M 1405 XX07 1795```
```21Mar  2.55M 1573 XX01 1621```
```06Mar  2.75M 1221 XX03 2252```
```------------2023-----------```
```25Dec     2M 1354 XX01 1477```
```13Dec   2.4M 1221 XX03 1966```
```17Oct 2.562M 1221 XX03 2098```
```01May  2.55M 1517 XX02 1681```
```22Feb   2.1M 1258 XX06 1669```
```------------2022-----------```
```11Nov   3.3M 1258 XX06 2623```
```26May   2.2M 1405 XX07 1566```
```21Apr  2.45M 1354 XX01 1809```
```11Jan  1.85M 1354 XX01 1366```
```05Jan   1.7M 1405 XX07 1210```
```05Jan  1.55M 1258 XX06 1232```
```------------2021-----------```
```08Nov  1.85M 1405 XX07 1317```
```08Nov  1.67M 1258 XX06 1328```
```20Jun   2.3M 1517 XX02 1516```
```------------2020-----------```
```30Aug   1.5M 1405 XX07 1068```
```02Feb   600K 1221 XX03  491```
```13Jan 1.454M 1405 XX07 1035```
_Source: DLD, Databot_
_BUA - built-up area, sq.ft._
_P/sf - price per sq.ft._
_B - bedrooms; O - office_
_M - million, K- thousand_
_S - studio, R - shop_
_*Max 30 latest transactions_
www.trydatabot.com</t>
  </si>
  <si>
    <t>1012589, *MARKET</t>
  </si>
  <si>
    <t>*MARKET*
*SNAPSHOT*
*REEHAN 7*
_Area: Downtown_
_Type: 2 bedroom apartment_
*Price dynamics, Dirham/sq.ft.*
_(M - median value)_
```2785|                     *```
```    |   *             *    ```
```    |              * * *   ```
```    |                    * ```
```    |         *  *         ```
```2059|---------------------M```
```    |      *      *     *  ```
```    |       *       *      ```
```    | *         *          ```
```    |  * **    *           ```
```1366|*       *             ```
```____|______________________```
```    |Jan2022        Dec2025```
_Source: see table below_
*Latest sales transactions*
```Date   Price  BUA Type P/sf```
```------------2025-----------```
```29Dec   3.4M 1221 XXXX 2785```
```04Dec 3.025M 1258 XXXX 2405```
```28Aug     7M 3387 XXXX 2067```
```23Jul 3.475M 1354 XX34 2566```
```23May   3.2M 1221 XXXX 2621```
```28Apr 3.025M 1221 XXXX 2477```
```27Jan   2.7M 1354 XX34 1994```
```------------2024-----------```
```23Dec   3.6M 1405 XXXX 2562```
```04Jul  2.58M 1258 XXXX 2051```
```27Jun  3.15M 1405 XXXX 2242```
```21Mar 2.523M 1405 XX07 1795```
```21Mar  2.55M 1573 XX01 1621```
```06Mar  2.75M 1221 XX03 2252```
```------------2023-----------```
```25Dec     2M 1354 XX01 1477```
```13Dec   2.4M 1221 XX03 1966```
```17Oct 2.562M 1221 XX03 2098```
```01May  2.55M 1517 XX02 1681```
```22Feb   2.1M 1258 XX06 1669```
```------------2022-----------```
```11Nov   3.3M 1258 XX06 2623```
```26May   2.2M 1405 XX07 1566```
```21Apr  2.45M 1354 XX01 1809```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</si>
  <si>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1012592, *SALES*</t>
  </si>
  <si>
    <t>*SALES*
*TRANSACTIONS**
*REEHAN 7*
_Area: Downtown_
_Type: 3 bedroom apartment_
```Date   Price  BUA Type P/sf```
```------------2025-----------```
```28Aug    10M 3043 XXXX 3286```
_Source: DLD, Databot_
_BUA - built-up area, sq.ft._
_P/sf - price per sq.ft._
_B - bedrooms; O - office_
_M - million, K- thousand_
_S - studio, R - shop_
_*Max 30 latest transactions_
www.trydatabot.com</t>
  </si>
  <si>
    <t>1012593, *MARKET</t>
  </si>
  <si>
    <t>*MARKET*
*SNAPSHOT*
*REEHAN 7*
_Area: Downtown_
_Type: 3 bedroom apartment_
*Price dynamics, Dirham/sq.ft.*
_(M - median value)_
```3286|                     *```
```3286|----------------------```
```    |                     *```
```3286|---------------------M```
```    |                     *```
```3286|---------------------M```
```    |                     *```
```3286|---------------------M```
```    |                     *```
```3286|---------------------M```
```    |                     *```
```____|______________________```
```    |Aug2025        Aug2025```
_Source: see table below_
*Latest sales transactions*
```Date   Price  BUA Type P/sf```
```------------2025-----------```
```28Aug    10M 3043 XXXX 3286```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</si>
  <si>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1012629, *SALES*</t>
  </si>
  <si>
    <t>*SALES*
*TRANSACTIONS**
*REEHAN 7*
_Area: Downtown_
_All types/bedrooms_
```Date    Price   BUA  Type B```
```------------2025-----------```
```29Dec    3.4M  1221  XXXX 2```
```04Dec  3.025M  1258  XXXX 2```
```22Oct    1.9M   826  XXXX 1```
```24Sep   1.95M   826  XXXX 1```
```28Aug      7M  3387  XXXX 2```
```28Aug     10M  3043  XXXX 3```
```20Aug      2M  1223  XXXX 1```
```23Jul  3.475M  1354  XX34 2```
```23May    3.2M  1221  XXXX 2```
```15May  1.725M   773  XXXX 1```
```28Apr  3.025M  1221  XXXX 2```
```20Mar  2.125M   773  XXXX 1```
```27Jan    2.7M  1354  XX34 2```
```------------2024-----------```
```23Dec    3.6M  1405  XXXX 2```
```22Oct    1.6M   826  XXXX 1```
```17Sep  1.643M   773  XXXX 1```
```29Aug    1.6M   773  XXXX 1```
```04Jul   2.58M  1258  XXXX 2```
```27Jun   3.15M  1405  XXXX 2```
```21Mar  2.523M  1405  XX07 2```
```21Mar   2.55M  1573  XX01 2```
```06Mar   2.75M  1221  XX03 2```
```------------2023-----------```
```25Dec      2M  1354  XX01 2```
```13Dec    2.4M  1221  XX03 2```
```17Oct  2.562M  1221  XX03 2```
```10May   1.37M   773  XX05 1```
```01May   2.55M  1517  XX02 2```
```14Mar  1.131M   773  XX05 1```
```22Feb    2.1M  1258  XX06 2```
```------------2022-----------```
```25Nov  1.158M   773  XX05 1```
_Source: DLD, Databot_
_BUA - built-up area, sq.ft._
_P/sf - price per sq.ft._
_B - bedrooms; O - office_
_M - million, K- thousand_
_S - studio, R - shop_
_*Max 30 latest transactions_
www.trydatabot.com</t>
  </si>
  <si>
    <t>1012630, by code, *BUILDI</t>
  </si>
  <si>
    <t xml:space="preserve">*BUILDING*
*PROFILE*
*REEHAN 7*
_Area: Downtown_
_Tap&amp;hold to copy a reply_
```-------------------------```
```Report              Reply```
```-------------------------```
*1 B/R*
```Sales, ROI        1012584```
```Price chart       1012585```
```Rentals               n/a```
*2 B/R*
```Sales, ROI        1012588```
```Price chart       1012589```
```Rentals               n/a```
*3 B/R*
```Sales, ROI        1012592```
```Price chart       1012593```
```Rentals               n/a```
*All types/bedrooms*
```Sales, ROI        1012629```
```Rentals               n/a```
</t>
  </si>
  <si>
    <t>1012648, *SALES*</t>
  </si>
  <si>
    <t>*SALES*
*TRANSACTIONS**
*REEHAN 8*
_Area: Downtown_
_Type: 1 bedroom apartment_
```Date   Price  BUA Type P/sf```
```------------2026-----------```
```05Jan   2.7M 1231 XXXX 2193```
```------------2025-----------```
```13Jun 1.925M  785 XX55 2452```
```04Feb   1.6M  785 XX55 2038```
```------------2023-----------```
```11Aug   1.6M  805 XX02 1988```
```26Jun     2M 1231 XX06 1625```
```26Jun  1.79M  808 XX02 2215```
```03Mar  1.35M  808 XX02 1671```
```------------2022-----------```
```08Mar  1.75M 1231 XX06 1422```
```11Jan   1.1M  785 XX01 1401```
```------------2019-----------```
```29Oct   830K  805 XX02 1031```
```10Jun     1M  785 XX01 1274```
```------------2018-----------```
```05Mar   1.3M  951 XX11 1367```
_Source: DLD, Databot_
_BUA - built-up area, sq.ft._
_P/sf - price per sq.ft._
_B - bedrooms; O - office_
_M - million, K- thousand_
_S - studio, R - shop_
_*Max 30 latest transactions_
www.trydatabot.com</t>
  </si>
  <si>
    <t>Reehan 8</t>
  </si>
  <si>
    <t>1012649, *MARKET</t>
  </si>
  <si>
    <t>*MARKET*
*SNAPSHOT*
*REEHAN 8*
_Area: Downtown_
_Type: 1 bedroom apartment_
*Price dynamics, Dirham/sq.ft.*
_(M - median value)_
```2452|                    * ```
```    |                      ```
```    |                *    *```
```    |                  **  ```
```    |                      ```
```    |                      ```
```1648|---------------------M```
```    |                 *    ```
```    |             **       ```
```    |          **          ```
```1031|            *         ```
```____|______________________```
```    |Mar2018        Jan2026```
_Source: see table below_
*Latest sales transactions*
```Date   Price  BUA Type P/sf```
```------------2026-----------```
```05Jan   2.7M 1231 XXXX 2193```
```------------2025-----------```
```13Jun 1.925M  785 XX55 2452```
```04Feb   1.6M  785 XX55 2038```
```------------2023-----------```
```11Aug   1.6M  805 XX02 1988```
```26Jun     2M 1231 XX06 1625```
```26Jun  1.79M  808 XX02 2215```
```03Mar  1.35M  808 XX02 1671```
```------------2022-----------```
```08Mar  1.75M 1231 XX06 1422```
```11Jan   1.1M  785 XX01 1401```
```------------2019-----------```
```29Oct   830K  805 XX02 1031```
```10Jun     1M  785 XX01 1274```
```------------2018-----------```
```05Mar   1.3M  951 XX11 1367```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</si>
  <si>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1012652, *SALES*</t>
  </si>
  <si>
    <t>*SALES*
*TRANSACTIONS**
*REEHAN 8*
_Area: Downtown_
_Type: 2 bedroom apartment_
```Date   Price  BUA Type P/sf```
```------------2025-----------```
```02Oct   3.3M 1335 XXXX 2472```
```------------2024-----------```
```18Oct   3.1M 1335 XXXX 2322```
```------------2023-----------```
```02Nov   2.5M 1259 XX10 1986```
```25Aug  2.96M 1335 XX03 2217```
```19Jun  2.86M 1185 XXXX 2414```
```------------2022-----------```
```06Jul     3M 1351 XXXX 2221```
```------------2020-----------```
```18Mar  2.05M 1338 XXXX 1532```
_Source: DLD, Databot_
_BUA - built-up area, sq.ft._
_P/sf - price per sq.ft._
_B - bedrooms; O - office_
_M - million, K- thousand_
_S - studio, R - shop_
_*Max 30 latest transactions_
www.trydatabot.com</t>
  </si>
  <si>
    <t>1012653, *MARKET</t>
  </si>
  <si>
    <t>*MARKET*
*SNAPSHOT*
*REEHAN 8*
_Area: Downtown_
_Type: 2 bedroom apartment_
*Price dynamics, Dirham/sq.ft.*
_(M - median value)_
```2472|                     *```
```    |                 *    ```
```    |                    * ```
```2221|---------------------M```
```    |                * *   ```
```    |                      ```
```    |                   *  ```
```    |                      ```
```    |                      ```
```    |                      ```
```1532|               *      ```
```____|______________________```
```    |Mar2020        Oct2025```
_Source: see table below_
*Latest sales transactions*
```Date   Price  BUA Type P/sf```
```------------2025-----------```
```02Oct   3.3M 1335 XXXX 2472```
```------------2024-----------```
```18Oct   3.1M 1335 XXXX 2322```
```------------2023-----------```
```02Nov   2.5M 1259 XX10 1986```
```25Aug  2.96M 1335 XX03 2217```
```19Jun  2.86M 1185 XXXX 2414```
```------------2022-----------```
```06Jul     3M 1351 XXXX 2221```
```------------2020-----------```
```18Mar  2.05M 1338 XXXX 1532```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</si>
  <si>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1012656, *SALES*</t>
  </si>
  <si>
    <t>*SALES*
*TRANSACTIONS**
*REEHAN 8*
_Area: Downtown_
_Type: 3 bedroom apartment_
```Date   Price  BUA Type P/sf```
```------------2025-----------```
```21Jul 5.725M 2155 XXXX 2657```
```------------2023-----------```
```23Jun  4.35M 1887 XX05 2305```
_Source: DLD, Databot_
_BUA - built-up area, sq.ft._
_P/sf - price per sq.ft._
_B - bedrooms; O - office_
_M - million, K- thousand_
_S - studio, R - shop_
_*Max 30 latest transactions_
www.trydatabot.com</t>
  </si>
  <si>
    <t>1012657, *MARKET</t>
  </si>
  <si>
    <t>*MARKET*
*SNAPSHOT*
*REEHAN 8*
_Area: Downtown_
_Type: 3 bedroom apartment_
*Price dynamics, Dirham/sq.ft.*
_(M - median value)_
```2657|                     *```
```    |                      ```
```    |                      ```
```    |                      ```
```    |                      ```
```2481|---------------------M```
```    |                      ```
```    |                      ```
```    |                      ```
```    |                      ```
```2305|                    * ```
```____|______________________```
```    |Jun2023        Jul2025```
_Source: see table below_
*Latest sales transactions*
```Date   Price  BUA Type P/sf```
```------------2025-----------```
```21Jul 5.725M 2155 XXXX 2657```
```------------2023-----------```
```23Jun  4.35M 1887 XX05 2305```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</si>
  <si>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1012693, *SALES*</t>
  </si>
  <si>
    <t>*SALES*
*TRANSACTIONS**
*REEHAN 8*
_Area: Downtown_
_All types/bedrooms_
```Date    Price   BUA  Type B```
```------------2026-----------```
```05Jan    2.7M  1231  XXXX 1```
```------------2025-----------```
```02Oct    3.3M  1335  XXXX 2```
```21Jul  5.725M  2155  XXXX 3```
```13Jun  1.925M   785  XX55 1```
```04Feb    1.6M   785  XX55 1```
```------------2024-----------```
```18Oct    3.1M  1335  XXXX 2```
```------------2023-----------```
```02Nov    2.5M  1259  XX10 2```
```25Aug   2.96M  1335  XX03 2```
```11Aug    1.6M   805  XX02 1```
```26Jun      2M  1231  XX06 1```
```26Jun   1.79M   808  XX02 1```
```23Jun   4.35M  1887  XX05 3```
```19Jun   2.86M  1185  XXXX 2```
```03Mar   1.35M   808  XX02 1```
```------------2022-----------```
```06Jul      3M  1351  XXXX 2```
```08Mar   1.75M  1231  XX06 1```
```11Jan    1.1M   785  XX01 1```
```------------2020-----------```
```18Mar   2.05M  1338  XXXX 2```
```------------2019-----------```
```29Oct    830K   805  XX02 1```
```10Jun      1M   785  XX01 1```
```------------2018-----------```
```05Mar    1.3M   951  XX11 1```
_Source: DLD, Databot_
_BUA - built-up area, sq.ft._
_P/sf - price per sq.ft._
_B - bedrooms; O - office_
_M - million, K- thousand_
_S - studio, R - shop_
_*Max 30 latest transactions_
www.trydatabot.com</t>
  </si>
  <si>
    <t>1012694, by code, *BUILDI</t>
  </si>
  <si>
    <t xml:space="preserve">*BUILDING*
*PROFILE*
*REEHAN 8*
_Area: Downtown_
_Tap&amp;hold to copy a reply_
```-------------------------```
```Report              Reply```
```-------------------------```
*1 B/R*
```Sales, ROI        1012648```
```Price chart       1012649```
```Rentals               n/a```
*2 B/R*
```Sales, ROI        1012652```
```Price chart       1012653```
```Rentals               n/a```
*3 B/R*
```Sales, ROI        1012656```
```Price chart       1012657```
```Rentals               n/a```
*All types/bedrooms*
```Sales, ROI        1012693```
```Rentals               n/a```
</t>
  </si>
  <si>
    <t>1012708, *SALES*</t>
  </si>
  <si>
    <t>*SALES*
*TRANSACTIONS**
*REEHAN 1-8*
_Area: Downtown_
_Type: studio apartment_
```Date   Price  BUA Type P/sf```
```------------2024-----------```
```08Jul   500K  303 XXXX 1650```
```------------2023-----------```
```29May 1.325M  606 XXXX 2186```
_Source: DLD, Databot_
_BUA - built-up area, sq.ft._
_P/sf - price per sq.ft._
_B - bedrooms; O - office_
_M - million, K- thousand_
_S - studio, R - shop_
_*Max 30 latest transactions_
www.trydatabot.com</t>
  </si>
  <si>
    <t>Reehan 1-8</t>
  </si>
  <si>
    <t>1012709, *MARKET</t>
  </si>
  <si>
    <t>*MARKET*
*SNAPSHOT*
*REEHAN 1-8*
_Area: Downtown_
_Type: studio apartment_
*Price dynamics, Dirham/sq.ft.*
_(M - median value)_
```2186|                    * ```
```    |                      ```
```    |                      ```
```    |                      ```
```    |                      ```
```1918|---------------------M```
```    |                      ```
```    |                      ```
```    |                      ```
```    |                      ```
```1650|                     *```
```____|______________________```
```    |May2023        Jul2024```
_Source: see table below_
*Latest sales transactions*
```Date   Price  BUA Type P/sf```
```------------2024-----------```
```08Jul   500K  303 XXXX 1650```
```------------2023-----------```
```29May 1.325M  606 XXXX 2186```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</si>
  <si>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1012712, *SALES*</t>
  </si>
  <si>
    <t>*SALES*
*TRANSACTIONS**
*REEHAN 1-8*
_Area: Downtown_
_Type: 1 bedroom apartment_
```Date   Price  BUA Type P/sf```
```------------2026-----------```
```05Jan   2.7M 1231 XXXX 2193```
```------------2025-----------```
```22Oct   1.9M  826 XXXX 2300```
```24Sep  1.95M  826 XXXX 2361```
```20Aug     2M 1223 XXXX 1635```
```01Aug 2.175M  933 XXXX 2331```
```10Jul   1.8M  779 XXXX 2311```
```13Jun 1.925M  785 XX55 2452```
```15May 1.725M  773 XXXX 2232```
```13May 2.142M  986 XXXX 2172```
```03Apr  2.45M  934 XXXX 2623```
```20Mar 2.125M  773 XXXX 2749```
```04Mar  1.85M 1012 XXXX 1828```
```21Feb 1.967M 1503 XXXX 1309```
```17Feb 2.188M  984 XXXX 2224```
```05Feb 1.483M 1012 XXXX 1465```
```04Feb   1.6M  785 XX55 2038```
```23Jan     2M  898 XXXX 2227```
```14Jan     2M  976 XXXX 2049```
```08Jan   2.1M  944 XXXX 2225```
```------------2024-----------```
```12Dec  1.71M  806 XXXX 2122```
```11Dec   1.9M  981 XX07 1937```
```18Nov   2.3M 1012 XXXX 2273```
```30Oct   1.9M  934 XXXX 2034```
```28Oct  1.68M  805 XXXX 2087```
```22Oct   1.6M  826 XXXX 1937```
```17Sep 1.643M  773 XXXX 2125```
```04Sep  1.85M 1113 XXXX 1662```
```29Aug   1.6M  773 XXXX 2070```
```23Aug 1.525M  785 XX55 1943```
```06Aug  1.55M  773 XXXX 2005```
_Source: DLD, Databot_
_BUA - built-up area, sq.ft._
_P/sf - price per sq.ft._
_B - bedrooms; O - office_
_M - million, K- thousand_
_S - studio, R - shop_
_*Max 30 latest transactions_
www.trydatabot.com</t>
  </si>
  <si>
    <t>1012713, *MARKET</t>
  </si>
  <si>
    <t>*MARKET*
*SNAPSHOT*
*REEHAN 1-8*
_Area: Downtown_
_Type: 1 bedroom apartment_
*Price dynamics, Dirham/sq.ft.*
_(M - median value)_
```2749|           *          ```
```    |            *         ```
```    |               *      ```
```    |*               ** ** ```
```2225|---------------------M```
```    |  ** *  *    **      *```
```    |    * *               ```
```    | *        *           ```
```    |                      ```
```    |       *          *   ```
```1309|         *            ```
```____|______________________```
```    |Nov2024        Jan2026```
_Source: see table below_
*Latest sales transactions*
```Date   Price  BUA Type P/sf```
```------------2026-----------```
```05Jan   2.7M 1231 XXXX 2193```
```------------2025-----------```
```22Oct   1.9M  826 XXXX 2300```
```24Sep  1.95M  826 XXXX 2361```
```20Aug     2M 1223 XXXX 1635```
```01Aug 2.175M  933 XXXX 2331```
```10Jul   1.8M  779 XXXX 2311```
```13Jun 1.925M  785 XX55 2452```
```15May 1.725M  773 XXXX 2232```
```13May 2.142M  986 XXXX 2172```
```03Apr  2.45M  934 XXXX 2623```
```20Mar 2.125M  773 XXXX 2749```
```04Mar  1.85M 1012 XXXX 1828```
```21Feb 1.967M 1503 XXXX 1309```
```17Feb 2.188M  984 XXXX 2224```
```05Feb 1.483M 1012 XXXX 1465```
```04Feb   1.6M  785 XX55 2038```
```23Jan     2M  898 XXXX 2227```
```14Jan     2M  976 XXXX 2049```
```08Jan   2.1M  944 XXXX 2225```
```------------2024-----------```
```12Dec  1.71M  806 XXXX 2122```
```11Dec   1.9M  981 XX07 1937```
```18Nov   2.3M 1012 XXXX 2273```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</si>
  <si>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1012716, *SALES*</t>
  </si>
  <si>
    <t>*SALES*
*TRANSACTIONS**
*REEHAN 1-8*
_Area: Downtown_
_Type: 2 bedroom apartment_
```Date   Price  BUA Type P/sf```
```------------2026-----------```
```14Jan 2.958M 1258 XXXX 2351```
```------------2025-----------```
```29Dec   3.4M 1221 XXXX 2785```
```04Dec 3.025M 1258 XXXX 2405```
```15Oct 3.825M 1412 XXXX 2709```
```02Oct   3.3M 1335 XXXX 2472```
```28Aug     7M 3387 XXXX 2067```
```23Jul 3.475M 1354 XX34 2566```
```10Jul  2.85M 1258 XXXX 2266```
```23May   3.2M 1221 XXXX 2621```
```06May   4.1M 2416 XXXX 1697```
```28Apr 3.025M 1221 XXXX 2477```
```13Feb 4.275M 1517 XXXX 2818```
```27Jan   2.7M 1354 XX34 1994```
```07Jan  3.47M 1354 XX34 2563```
```------------2024-----------```
```23Dec   3.6M 1405 XXXX 2562```
```19Dec   3.4M 1448 XXXX 2348```
```19Dec  2.65M 1281 XXXX 2069```
```11Nov   3.2M 1405 XXXX 2278```
```25Oct   3.5M 2448 XXXX 1430```
```18Oct   3.1M 1335 XXXX 2322```
```17Sep  3.45M 1455 XXXX 2371```
```23Aug  2.65M 1258 XXXX 2107```
```04Jul  2.58M 1258 XXXX 2051```
```27Jun  3.15M 1405 XXXX 2242```
```31May   5.7M 2970 XX09 1919```
```27May  2.72M 1221 XX03 2228```
```10May   2.8M 1412 XX04 1983```
```15Apr  3.35M 1455 XXXX 2302```
```15Apr   2.5M 1338 XXXX 1868```
```28Mar  3.15M 1318 XX03 2390```
_Source: DLD, Databot_
_BUA - built-up area, sq.ft._
_P/sf - price per sq.ft._
_B - bedrooms; O - office_
_M - million, K- thousand_
_S - studio, R - shop_
_*Max 30 latest transactions_
www.trydatabot.com</t>
  </si>
  <si>
    <t>1012717, *MARKET</t>
  </si>
  <si>
    <t>*MARKET*
*SNAPSHOT*
*REEHAN 1-8*
_Area: Downtown_
_Type: 2 bedroom apartment_
*Price dynamics, Dirham/sq.ft.*
_(M - median value)_
```2818|          *         * ```
```    |             *    *   ```
```    |       **  *   * *    ```
```2361|---------------------M```
```    | *    *            * *```
```    |  * *         *       ```
```    |*    *          *     ```
```    |         *            ```
```    |                      ```
```    |            *         ```
```1430|   *                  ```
```____|______________________```
```    |Aug2024        Jan2026```
_Source: see table below_
*Latest sales transactions*
```Date   Price  BUA Type P/sf```
```------------2026-----------```
```14Jan 2.958M 1258 XXXX 2351```
```------------2025-----------```
```29Dec   3.4M 1221 XXXX 2785```
```04Dec 3.025M 1258 XXXX 2405```
```15Oct 3.825M 1412 XXXX 2709```
```02Oct   3.3M 1335 XXXX 2472```
```28Aug     7M 3387 XXXX 2067```
```23Jul 3.475M 1354 XX34 2566```
```10Jul  2.85M 1258 XXXX 2266```
```23May   3.2M 1221 XXXX 2621```
```06May   4.1M 2416 XXXX 1697```
```28Apr 3.025M 1221 XXXX 2477```
```13Feb 4.275M 1517 XXXX 2818```
```27Jan   2.7M 1354 XX34 1994```
```07Jan  3.47M 1354 XX34 2563```
```------------2024-----------```
```23Dec   3.6M 1405 XXXX 2562```
```19Dec   3.4M 1448 XXXX 2348```
```19Dec  2.65M 1281 XXXX 2069```
```11Nov   3.2M 1405 XXXX 2278```
```25Oct   3.5M 2448 XXXX 1430```
```18Oct   3.1M 1335 XXXX 2322```
```17Sep  3.45M 1455 XXXX 2371```
```23Aug  2.65M 1258 XXXX 2107```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</si>
  <si>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1012720, *SALES*</t>
  </si>
  <si>
    <t>*SALES*
*TRANSACTIONS**
*REEHAN 1-8*
_Area: Downtown_
_Type: 3 bedroom apartment_
```Date   Price  BUA Type P/sf```
```------------2025-----------```
```15Dec   4.4M 1873 XXXX 2349```
```28Aug    10M 3043 XXXX 3286```
```21Jul 5.725M 2155 XXXX 2657```
```14Mar   5.6M 2155 XXXX 2599```
```------------2023-----------```
```23Jun  4.35M 1887 XX05 2305```
```20Mar 3.508M 2156 XX09 1627```
```04Jan  7.05M 1882 XXXX 3746```
```------------2022-----------```
```25Apr 995.2K 1817 XXXX  548```
```15Mar   3.2M 1873 XX05 1708```
```------------2021-----------```
```03Oct  2.95M 1873 XX05 1575```
```30Mar  2.95M 2155 XX09 1369```
```------------2019-----------```
```31Jul   2.4M 1873 XX05 1281```
```------------2018-----------```
```09Dec  3.23M 2156 XX09 1498```
```01Oct   4.9M 1883 XXXX 2602```
_Source: DLD, Databot_
_BUA - built-up area, sq.ft._
_P/sf - price per sq.ft._
_B - bedrooms; O - office_
_M - million, K- thousand_
_S - studio, R - shop_
_*Max 30 latest transactions_
www.trydatabot.com</t>
  </si>
  <si>
    <t>1012721, *MARKET</t>
  </si>
  <si>
    <t>*MARKET*
*SNAPSHOT*
*REEHAN 1-8*
_Area: Downtown_
_Type: 3 bedroom apartment_
*Price dynamics, Dirham/sq.ft.*
_(M - median value)_
```3746|               *      ```
```    |                    * ```
```    |                      ```
```    |                   *  ```
```    |        *         *  *```
```2007|---------------------M```
```    |                 *    ```
```    |             *        ```
```    |         * **   *     ```
```    |          *           ```
```548 |              *       ```
```____|______________________```
```    |Oct2018        Dec2025```
_Source: see table below_
*Latest sales transactions*
```Date   Price  BUA Type P/sf```
```------------2025-----------```
```15Dec   4.4M 1873 XXXX 2349```
```28Aug    10M 3043 XXXX 3286```
```21Jul 5.725M 2155 XXXX 2657```
```14Mar   5.6M 2155 XXXX 2599```
```------------2023-----------```
```23Jun  4.35M 1887 XX05 2305```
```20Mar 3.508M 2156 XX09 1627```
```04Jan  7.05M 1882 XXXX 3746```
```------------2022-----------```
```25Apr 995.2K 1817 XXXX  548```
```15Mar   3.2M 1873 XX05 1708```
```------------2021-----------```
```03Oct  2.95M 1873 XX05 1575```
```30Mar  2.95M 2155 XX09 1369```
```------------2019-----------```
```31Jul   2.4M 1873 XX05 1281```
```------------2018-----------```
```09Dec  3.23M 2156 XX09 1498```
```01Oct   4.9M 1883 XXXX 2602```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</si>
  <si>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1012757, *SALES*</t>
  </si>
  <si>
    <t>*SALES*
*TRANSACTIONS**
*REEHAN 1-8*
_Area: Downtown_
_All types/bedrooms_
```Date    Price   BUA  Type B```
```------------2026-----------```
```14Jan  2.958M  1258  XXXX 2```
```05Jan    2.7M  1231  XXXX 1```
```------------2025-----------```
```29Dec    3.4M  1221  XXXX 2```
```15Dec    4.4M  1873  XXXX 3```
```04Dec  3.025M  1258  XXXX 2```
```22Oct    1.9M   826  XXXX 1```
```15Oct  3.825M  1412  XXXX 2```
```02Oct    3.3M  1335  XXXX 2```
```24Sep   1.95M   826  XXXX 1```
```28Aug      7M  3387  XXXX 2```
```28Aug     10M  3043  XXXX 3```
```20Aug      2M  1223  XXXX 1```
```01Aug  2.175M   933  XXXX 1```
```23Jul  3.475M  1354  XX34 2```
```21Jul  5.725M  2155  XXXX 3```
```10Jul   2.85M  1258  XXXX 2```
```10Jul    1.8M   779  XXXX 1```
```13Jun  1.925M   785  XX55 1```
```23May    3.2M  1221  XXXX 2```
```15May  1.725M   773  XXXX 1```
```13May  2.142M   986  XXXX 1```
```06May    4.1M  2416  XXXX 2```
```28Apr  3.025M  1221  XXXX 2```
```03Apr   2.45M   934  XXXX 1```
```20Mar  2.125M   773  XXXX 1```
```14Mar    5.6M  2155  XXXX 3```
```04Mar   1.85M  1012  XXXX 1```
```21Feb  1.967M  1503  XXXX 1```
```17Feb  2.188M   984  XXXX 1```
```13Feb  4.275M  1517  XXXX 2```
_Source: DLD, Databot_
_BUA - built-up area, sq.ft._
_P/sf - price per sq.ft._
_B - bedrooms; O - office_
_M - million, K- thousand_
_S - studio, R - shop_
_*Max 30 latest transactions_
www.trydatabot.com</t>
  </si>
  <si>
    <t>1012758, by code, *BUILDI</t>
  </si>
  <si>
    <t xml:space="preserve">*BUILDING*
*PROFILE*
*REEHAN 1-8*
_Area: Downtown_
_Tap&amp;hold to copy a reply_
```-------------------------```
```Report              Reply```
```-------------------------```
*Studio*
```Sales, ROI        1012708```
```Price chart       1012709```
```Rentals               n/a```
*1 B/R*
```Sales, ROI        1012712```
```Price chart       1012713```
```Rentals               n/a```
*2 B/R*
```Sales, ROI        1012716```
```Price chart       1012717```
```Rentals               n/a```
*3 B/R*
```Sales, ROI        1012720```
```Price chart       1012721```
```Rentals               n/a```
*All types/bedrooms*
```Sales, ROI        1012757```
```Rentals               n/a```
</t>
  </si>
  <si>
    <t>1012776, *SALES*</t>
  </si>
  <si>
    <t>*SALES*
*TRANSACTIONS (RESALE)**
*RIXOS FINANCIAL CENTER*
_Area: Downtown_
_Type: 1 bedroom apartment_
```Date   Price  BUA Type P/sf```
```------------2025-----------```
```11Dec     3M 1172 XX05 2560```
```21Nov 4.085M 1172 XX05 3485```
```02Jun   2.9M 1172 XX04 2474```
```15Apr   2.6M  804 XX04 3234```
```25Feb  2.45M  804 XX04 3047```
```------------2024-----------```
```12Dec   2.7M  804 XX04 3358```
_Source: DLD, Databot_
_BUA - built-up area, sq.ft._
_P/sf - price per sq.ft._
_B - bedrooms; O - office_
_M - million, K- thousand_
_S - studio, R - shop_
_*Max 30 latest transactions_
www.trydatabot.com</t>
  </si>
  <si>
    <t>Rixos Financial Center</t>
  </si>
  <si>
    <t>1012777, *MARKET</t>
  </si>
  <si>
    <t>*MARKET*
*SNAPSHOT*
*RIXOS FINANCIAL CENTER*
_Area: Downtown_
_Type: 1 bedroom apartment_
*Price dynamics, Dirham/sq.ft.*
_(M - median value)_
```3485|                    * ```
```    |                *     ```
```    |                  *   ```
```3141|---------------------M```
```    |                      ```
```    |                 *    ```
```    |                      ```
```    |                      ```
```    |                      ```
```    |                      ```
```2474|                   * *```
```____|______________________```
```    |Dec2024        Dec2025```
_Source: see table below_
*Latest sales transactions*
```Date   Price  BUA Type P/sf```
```------------2025-----------```
```11Dec     3M 1172 XX05 2560```
```21Nov 4.085M 1172 XX05 3485```
```02Jun   2.9M 1172 XX04 2474```
```15Apr   2.6M  804 XX04 3234```
```25Feb  2.45M  804 XX04 3047```
```------------2024-----------```
```12Dec   2.7M  804 XX04 3358```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</si>
  <si>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1012779, *RESELL</t>
  </si>
  <si>
    <t>*RESELL*
*VS PRIMARY*
*RIXOS FINANCIAL CENTER*
_Area: Downtown_
_Type: 1 bedroom apartment_
*Price dynamics, Dirham/sq.ft.*
_(x - primary; * - resell)_
```5113|          x           ```
```    |                      ```
```    |                      ```
```    |                      ```
```4029|                      ```
```    |x        x            ```
```    |  x  xx x       *   * ```
```    | x                *   ```
```    |                 *    ```
```2399|   xx  x           * *```
```____|______________________```
```    |Dec1899        Dec2025```
_Source: see a table below_
*Latest resell transactions*
```Date   Price  BUA Type P/sf```
```------------2025-----------```
```11Dec     3M 1172 XX05 2560```
```21Nov 4.085M 1172 XX05 3485```
```02Jun   2.9M 1172 XX04 2474```
```15Apr   2.6M  804 XX04 3234```
```25Feb  2.45M  804 XX04 3047```
```------------2024-----------```
```12Dec   2.7M  804 XX04 3358```
*Latest primary transactions*
```------------2025-----------```
```17Dec 3.564M  697 XX04 5113```
```14Jul  3.03M  804 XX04 3769```
```14Jul 4.085M 1172 XX05 3485```
```24Feb 2.045M  804 XX04 2544```
```11Feb  3.98M 1172 XX05 3396```
```10Feb 2.738M  804 XX04 3405```
```04Feb 1.929M  804 XX04 2399```
```------------2024-----------```
```28Nov 2.038M  797 XX03 2557```
```26Nov 3.041M  858 XX01 3544```
```26Nov   2.6M  804 XX04 3234```
```26Nov 4.374M 1172 XX04 3732```
```14Nov 3.189M  858 XX01 3717```
```23Oct 1.937M 1172 XX04 1653```
```17Oct 2.151M  797 XX03 2699```
_Source: DLD, Databot_
_BUA - built-up area, sq.ft._
_P/sf - price per sq.ft._
_B - bedrooms; O - office_
_M - million, K- thousand_
_S - studio, R - shop_
www.trydatabot.com</t>
  </si>
  <si>
    <t>1012780, *SALES*</t>
  </si>
  <si>
    <t>*SALES*
*TRANSACTIONS (RESALE)**
*RIXOS FINANCIAL CENTER*
_Area: Downtown_
_Type: 2 bedroom apartment_
```Date   Price  BUA Type P/sf```
```------------2025-----------```
```12Aug  4.03M 1269 XX01 3176```
```03Apr   5.2M 1619 XX03 3212```
```17Feb   3.8M 1269 XX01 2994```
```13Jan   3.9M 1215 XXXX 3210```
```------------2024-----------```
```21Oct 4.949M 1759 XXXX 2814```
```17Oct 4.303M 1759 XX02 2446```
```15Oct   3.1M 1269 XX01 2443```
_Source: DLD, Databot_
_BUA - built-up area, sq.ft._
_P/sf - price per sq.ft._
_B - bedrooms; O - office_
_M - million, K- thousand_
_S - studio, R - shop_
_*Max 30 latest transactions_
www.trydatabot.com</t>
  </si>
  <si>
    <t>1012781, *MARKET</t>
  </si>
  <si>
    <t>*MARKET*
*SNAPSHOT*
*RIXOS FINANCIAL CENTER*
_Area: Downtown_
_Type: 2 bedroom apartment_
*Price dynamics, Dirham/sq.ft.*
_(M - median value)_
```3212|                  * **```
```    |                      ```
```    |                      ```
```2994|---------------------M```
```    |                   *  ```
```    |                      ```
```    |                 *    ```
```    |                      ```
```    |                      ```
```    |                      ```
```2443|               **     ```
```____|______________________```
```    |Oct2024        Aug2025```
_Source: see table below_
*Latest sales transactions*
```Date   Price  BUA Type P/sf```
```------------2025-----------```
```12Aug  4.03M 1269 XX01 3176```
```03Apr   5.2M 1619 XX03 3212```
```17Feb   3.8M 1269 XX01 2994```
```13Jan   3.9M 1215 XXXX 3210```
```------------2024-----------```
```21Oct 4.949M 1759 XXXX 2814```
```17Oct 4.303M 1759 XX02 2446```
```15Oct   3.1M 1269 XX01 2443```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</si>
  <si>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1012783, *RESELL</t>
  </si>
  <si>
    <t>*RESELL*
*VS PRIMARY*
*RIXOS FINANCIAL CENTER*
_Area: Downtown_
_Type: 2 bedroom apartment_
*Price dynamics, Dirham/sq.ft.*
_(x - primary; * - resell)_
```3212|  x x     x       * **```
```    |   x   x x         *  ```
```    | x   x                ```
```    |                 *    ```
```2584|        x             ```
```    |      x        **     ```
```    |                      ```
```    |                      ```
```    |                      ```
```1640|x                     ```
```____|______________________```
```    |Dec1899        Aug2025```
_Source: see a table below_
*Latest resell transactions*
```Date   Price  BUA Type P/sf```
```------------2025-----------```
```12Aug  4.03M 1269 XX01 3176```
```03Apr   5.2M 1619 XX03 3212```
```17Feb   3.8M 1269 XX01 2994```
```13Jan   3.9M 1215 XXXX 3210```
```------------2024-----------```
```21Oct 4.949M 1759 XXXX 2814```
```17Oct 4.303M 1759 XX02 2446```
```15Oct   3.1M 1269 XX01 2443```
*Latest primary transactions*
```------------2025-----------```
```09May 5.173M 1619 XX03 3195```
```09May  3.86M 1269 XX01 3042```
```25Feb 3.315M 1269 XX01 2612```
```29Jan 3.935M 1269 XX01 3101```
```27Jan 4.376M 1759 XXXX 2488```
```21Jan 5.215M 1759 XXXX 2965```
```------------2024-----------```
```11Dec 5.162M 1619 XX03 3188```
```02Dec 3.837M 1259 XX01 3048```
```02Dec 3.952M 1259 XX01 3139```
```26Nov 5.104M 1722 XX02 2964```
```23Oct 2.655M 1619 XX03 1640```
```18Oct 2.077M 1259 XX01 1650```
```17Oct 4.997M 1759 XXXX 2841```
```17Oct 5.363M 1619 XX03 3313```
_Source: DLD, Databot_
_BUA - built-up area, sq.ft._
_P/sf - price per sq.ft._
_B - bedrooms; O - office_
_M - million, K- thousand_
_S - studio, R - shop_
www.trydatabot.com</t>
  </si>
  <si>
    <t>1012788, *SALES*</t>
  </si>
  <si>
    <t>*SALES*
*TRANSACTIONS (RESALE)**
*RIXOS FINANCIAL CENTER*
_Area: Downtown_
_Type: 4 bedroom apartment_
```Date   Price  BUA Type P/sf```
```------------2025-----------```
```14Jul 8.921M 2778 XXXX 3211```
```16Apr     9M 2778 XXXX 3240```
_Source: DLD, Databot_
_BUA - built-up area, sq.ft._
_P/sf - price per sq.ft._
_B - bedrooms; O - office_
_M - million, K- thousand_
_S - studio, R - shop_
_*Max 30 latest transactions_
www.trydatabot.com</t>
  </si>
  <si>
    <t>1012789, *MARKET</t>
  </si>
  <si>
    <t>*MARKET*
*SNAPSHOT*
*RIXOS FINANCIAL CENTER*
_Area: Downtown_
_Type: 4 bedroom apartment_
*Price dynamics, Dirham/sq.ft.*
_(M - median value)_
```3240|                    * ```
```    |                      ```
```    |                      ```
```    |                      ```
```    |                      ```
```3226|---------------------M```
```    |                      ```
```    |                      ```
```    |                      ```
```    |                      ```
```3211|                     *```
```____|______________________```
```    |Apr2025        Jul2025```
_Source: see table below_
*Latest sales transactions*
```Date   Price  BUA Type P/sf```
```------------2025-----------```
```14Jul 8.921M 2778 XXXX 3211```
```16Apr     9M 2778 XXXX 3240```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</si>
  <si>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1012791, *RESELL</t>
  </si>
  <si>
    <t>*RESELL*
*VS PRIMARY*
*RIXOS FINANCIAL CENTER*
_Area: Downtown_
_Type: 4 bedroom apartment_
*Price dynamics, Dirham/sq.ft.*
_(x - primary; * - resell)_
```4173|          x           ```
```    |  x                   ```
```    |                      ```
```    |   x                  ```
```3789|    x x               ```
```    |                      ```
```    |         x            ```
```    |                      ```
```    |     x                ```
```3211|       xx           **```
```____|______________________```
```    |Dec1899        Jul2025```
_Source: see a table below_
*Latest resell transactions*
```Date   Price  BUA Type P/sf```
```------------2025-----------```
```14Jul 8.921M 2778 XXXX 3211```
```16Apr     9M 2778 XXXX 3240```
*Latest primary transactions*
```------------2025-----------```
```15May 29.27M 7014 XX01 4173```
```------------2024-----------```
```26Nov  10.1M 2778 XXXX 3635```
```02Sep 8.957M 2778 XXXX 3224```
```02Sep 8.939M 2778 XXXX 3218```
```02Sep 10.59M 2778 XXXX 3812```
```29Aug 23.69M 7014 XX01 3378```
```29Aug 26.32M 7014 XX01 3752```
```23Aug  27.5M 7014 XX01 3921```
```20Aug 28.85M 7014 XX01 4112```
_Source: DLD, Databot_
_BUA - built-up area, sq.ft._
_P/sf - price per sq.ft._
_B - bedrooms; O - office_
_M - million, K- thousand_
_S - studio, R - shop_
www.trydatabot.com</t>
  </si>
  <si>
    <t>1012821, *SALES*</t>
  </si>
  <si>
    <t>*SALES*
*TRANSACTIONS (RESALE)**
*RIXOS FINANCIAL CENTER*
_Area: Downtown_
_All types/bedrooms_
```Date    Price   BUA  Type B```
```------------2025-----------```
```11Dec      3M  1172  XX05 1```
```21Nov  4.085M  1172  XX05 1```
```12Aug   4.03M  1269  XX01 2```
```14Jul  8.921M  2778  XXXX 4```
```02Jun    2.9M  1172  XX04 1```
```16Apr      9M  2778  XXXX 4```
```15Apr    2.6M   804  XX04 1```
```03Apr    5.2M  1619  XX03 2```
```25Feb   2.45M   804  XX04 1```
```17Feb    3.8M  1269  XX01 2```
```13Jan    3.9M  1215  XXXX 2```
```------------2024-----------```
```12Dec    2.7M   804  XX04 1```
```21Oct  4.949M  1759  XXXX 2```
```17Oct  4.303M  1759  XX02 2```
```15Oct    3.1M  1269  XX01 2```
_Source: DLD, Databot_
_BUA - built-up area, sq.ft._
_P/sf - price per sq.ft._
_B - bedrooms; O - office_
_M - million, K- thousand_
_S - studio, R - shop_
_*Max 30 latest transactions_
www.trydatabot.com</t>
  </si>
  <si>
    <t>1012822, Rixos, *BUILDI</t>
  </si>
  <si>
    <t xml:space="preserve">*BUILDING*
*PROFILE*
*RIXOS FINANCIAL CENTER*
_Area: Downtown_
_Tap&amp;hold to copy a reply_
```-------------------------```
```Report              Reply```
```-------------------------```
*1 B/R*
```Resell, ROI       1012776```
```Primary sales     1012824```
```Price chart       1012777```
```Rentals               n/a```
```Appreciation      1012779```
*2 B/R*
```Resell, ROI       1012780```
```Primary sales     1012825```
```Price chart       1012781```
```Rentals               n/a```
```Appreciation      1012783```
*3 B/R*
```Primary sales     1012826```
*4 B/R*
```Resell, ROI       1012788```
```Primary sales     1012827```
```Price chart       1012789```
```Rentals               n/a```
```Appreciation      1012791```
*5 B/R*
```Primary sales     1012828```
*All types/bedrooms*
```Resell, ROI       1012821```
```Primary sales     1012835```
```Rentals               n/a```
</t>
  </si>
  <si>
    <t>1012824, *SALES*</t>
  </si>
  <si>
    <t>*SALES*
*TRANSACTIONS (PRIMARY)**
*RIXOS FINANCIAL CENTER*
_Area: Downtown_
_Type: 1 bedroom apartment_
```Date   Price  BUA Type P/sf```
```------------2025-----------```
```17Dec 3.564M  697 XX04 5113```
```14Jul  3.03M  804 XX04 3769```
```14Jul 4.085M 1172 XX05 3485```
```24Feb 2.045M  804 XX04 2544```
```11Feb  3.98M 1172 XX05 3396```
```10Feb 2.738M  804 XX04 3405```
```04Feb 1.929M  804 XX04 2399```
```------------2024-----------```
```28Nov 2.038M  797 XX03 2557```
```26Nov 3.041M  858 XX01 3544```
```26Nov   2.6M  804 XX04 3234```
```26Nov 4.374M 1172 XX04 3732```
```14Nov 3.189M  858 XX01 3717```
```23Oct 1.937M 1172 XX04 1653```
```17Oct 2.151M  797 XX03 2699```
```17Oct   3.3M  858 XX01 3846```
```17Oct  3.15M  797 XX03 3952```
```16Oct 1.937M 1172 XX05 1653```
```09Oct 2.146M  797 XX03 2693```
```09Oct 1.937M 1172 XX04 1653```
```27Sep 2.172M 1172 XX05 1853```
_Source: DLD, Databot_
_BUA - built-up area, sq.ft._
_P/sf - price per sq.ft._
_B - bedrooms; O - office_
_M - million, K- thousand_
_S - studio, R - shop_
_*Max 20 latest transactions_
www.trydatabot.com</t>
  </si>
  <si>
    <t>1012825, *SALES*</t>
  </si>
  <si>
    <t>*SALES*
*TRANSACTIONS (PRIMARY)**
*RIXOS FINANCIAL CENTER*
_Area: Downtown_
_Type: 2 bedroom apartment_
```Date   Price  BUA Type P/sf```
```------------2025-----------```
```09May 5.173M 1619 XX03 3195```
```09May  3.86M 1269 XX01 3042```
```25Feb 3.315M 1269 XX01 2612```
```29Jan 3.935M 1269 XX01 3101```
```27Jan 4.376M 1759 XXXX 2488```
```21Jan 5.215M 1759 XXXX 2965```
```------------2024-----------```
```11Dec 5.162M 1619 XX03 3188```
```02Dec 3.837M 1259 XX01 3048```
```02Dec 3.952M 1259 XX01 3139```
```26Nov 5.104M 1722 XX02 2964```
```23Oct 2.655M 1619 XX03 1640```
```18Oct 2.077M 1259 XX01 1650```
```17Oct 4.997M 1759 XXXX 2841```
```17Oct 5.363M 1619 XX03 3313```
```17Oct 3.946M 1269 XX01 3110```
```17Oct 4.617M 1759 XX02 2625```
```17Oct 4.315M 1759 XX02 2453```
```17Oct 4.684M 1759 XX02 2663```
```16Oct 3.693M 1269 XX01 2910```
```15Oct 3.495M 1259 XX01 2776```
_Source: DLD, Databot_
_BUA - built-up area, sq.ft._
_P/sf - price per sq.ft._
_B - bedrooms; O - office_
_M - million, K- thousand_
_S - studio, R - shop_
_*Max 20 latest transactions_
www.trydatabot.com</t>
  </si>
  <si>
    <t>1012826, *SALES*</t>
  </si>
  <si>
    <t>*SALES*
*TRANSACTIONS (PRIMARY)**
*RIXOS FINANCIAL CENTER*
_Area: Downtown_
_Type: 3 bedroom apartment_
```Date   Price  BUA Type P/sf```
```------------2024-----------```
```12Nov 8.397M 2337 XX03 3593```
```13Sep  7.51M 2337 XX03 3214```
```30Aug 3.849M 2337 XX03 1647```
```29Aug 3.849M 2337 XX03 1647```
```29Aug 3.849M 2337 XX03 1647```
```28Aug 8.668M 2337 XX03 3709```
```26Aug 8.295M 2337 XX03 3549```
```26Aug 7.433M 2337 XX03 3181```
_Source: DLD, Databot_
_BUA - built-up area, sq.ft._
_P/sf - price per sq.ft._
_B - bedrooms; O - office_
_M - million, K- thousand_
_S - studio, R - shop_
_*Max 20 latest transactions_
www.trydatabot.com</t>
  </si>
  <si>
    <t>1012827, *SALES*</t>
  </si>
  <si>
    <t>*SALES*
*TRANSACTIONS (PRIMARY)**
*RIXOS FINANCIAL CENTER*
_Area: Downtown_
_Type: 4 bedroom apartment_
```Date   Price  BUA Type P/sf```
```------------2025-----------```
```15May 29.27M 7014 XX01 4173```
```------------2024-----------```
```26Nov  10.1M 2778 XXXX 3635```
```02Sep 8.957M 2778 XXXX 3224```
```02Sep 8.939M 2778 XXXX 3218```
```02Sep 10.59M 2778 XXXX 3812```
```29Aug 23.69M 7014 XX01 3378```
```29Aug 26.32M 7014 XX01 3752```
```23Aug  27.5M 7014 XX01 3921```
```20Aug 28.85M 7014 XX01 4112```
_Source: DLD, Databot_
_BUA - built-up area, sq.ft._
_P/sf - price per sq.ft._
_B - bedrooms; O - office_
_M - million, K- thousand_
_S - studio, R - shop_
_*Max 20 latest transactions_
www.trydatabot.com</t>
  </si>
  <si>
    <t>1012828, *SALES*</t>
  </si>
  <si>
    <t>*SALES*
*TRANSACTIONS (PRIMARY)**
*RIXOS FINANCIAL CENTER*
_Area: Downtown_
_Type: 5 bedroom apartment_
```Date   Price  BUA Type P/sf```
```------------2024-----------```
```13Sep    48M  11K XX01 4534```
```29Aug  39.9M  11K XX01 3769```
```28Aug    43M  11K XX01 4062```
_Source: DLD, Databot_
_BUA - built-up area, sq.ft._
_P/sf - price per sq.ft._
_B - bedrooms; O - office_
_M - million, K- thousand_
_S - studio, R - shop_
_*Max 20 latest transactions_
www.trydatabot.com</t>
  </si>
  <si>
    <t>1012835, *SALES*</t>
  </si>
  <si>
    <t>*SALES*
*TRANSACTIONS (PRIMARY)**
*RIXOS FINANCIAL CENTER*
_Area: Downtown_
_All types/bedrooms_
```Date    Price   BUA  Type B```
```------------2025-----------```
```17Dec  3.564M   697  XX04 1```
```14Jul   3.03M   804  XX04 1```
```14Jul  4.085M  1172  XX05 1```
```15May  29.27M  7014  XX01 4```
```09May  5.173M  1619  XX03 2```
```09May   3.86M  1269  XX01 2```
```25Feb  3.315M  1269  XX01 2```
```24Feb  2.045M   804  XX04 1```
```11Feb   3.98M  1172  XX05 1```
```10Feb  2.738M   804  XX04 1```
```04Feb  1.929M   804  XX04 1```
```29Jan  3.935M  1269  XX01 2```
```27Jan  4.376M  1759  XXXX 2```
```21Jan  5.215M  1759  XXXX 2```
```------------2024-----------```
```11Dec  5.162M  1619  XX03 2```
```02Dec  3.837M  1259  XX01 2```
```02Dec  3.952M  1259  XX01 2```
```28Nov  2.038M   797  XX03 1```
```26Nov   10.1M  2778  XXXX 4```
```26Nov  3.041M   858  XX01 1```
_Source: DLD, Databot_
_BUA - built-up area, sq.ft._
_P/sf - price per sq.ft._
_B - bedrooms; O - office_
_M - million, K- thousand_
_S - studio, R - shop_
_*Max 20 latest transactions_
www.trydatabot.com</t>
  </si>
  <si>
    <t>1012836, *SALES*</t>
  </si>
  <si>
    <r>
      <rPr/>
      <t xml:space="preserve">*SALES*
*TRANSACTIONS**
*RP HEIGHTS*
_Area: Downtown_
_Type: studio apartment_
```Date   Price  BUA Type P/sf```
```------------2023-----------```
```16May  1.25M  508 XX05 2461```
```------------2021-----------```
```14Apr   550K  390 XX02 1410```
```14Apr   550K  402 XX03 1368```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</si>
  <si>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RP Heights</t>
  </si>
  <si>
    <t>1012837, *MARKET</t>
  </si>
  <si>
    <t>*MARKET*
*SNAPSHOT*
*RP HEIGHTS*
_Area: Downtown_
_Type: studio apartment_
*Price dynamics, Dirham/sq.ft.*
_(M - median value)_
```2461|                     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```1368|                   ** ```
```1368|                   ** ```
```____|______________________```
```    |Apr2021        May2023```
_Source: see table below_
*Latest sales transactions*
```Date   Price  BUA Type P/sf```
```------------2023-----------```
```16May  1.25M  508 XX05 2461```
```------------2021-----------```
```14Apr   550K  390 XX02 1410```
```14Apr   550K  402 XX03 1368```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</si>
  <si>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1012838, *NEW RE</t>
  </si>
  <si>
    <t>*NEW RENT*
*CONTRACTS**
_(renewals are not included)_
**
_Area: Downtown_
_Type: studio apartment_
```Date  Price   BUA  Type D/s```
```------------2025-----------```
```01Oct   75K   366  XXXX 205```
```15Aug   70K   377  XXXX 186```
```15Jun   70K   398  XXXX 176```
```01May   68K   388  XXXX 175```
```------------2024-----------```
```05May   72K   366  XXXX 197```
```03May   70K   377  XXXX 186```
```------------2023-----------```
```22Jun   65K   366  XXXX 178```
```------------2022-----------```
```27Apr   50K   366  XXXX 137```
```04Apr   50K   366  XXXX 137```
```01Apr   80K   506  XXXX 158```
```------------2021-----------```
```25Sep   45K   366  XXXX 123```
```18May   56K   388  XXXX 144```
```09May   56K   398  XXXX 141```
```06Mar   40K   366  XXXX 109```
```05Mar   42K   431  XXXX  97```
```01Feb   38K   366  XXXX 104```
_Source: DLD, Databot_
_BUA - built-up area, sq.ft._
_P/sf - price per sq.ft._
_B - bedrooms; O - office_
_M - million, K- thousand_
_S - studio, R - shop_
_*20 latest contracts_
www.trydatabot.com</t>
  </si>
  <si>
    <t>1012840, *SALES*</t>
  </si>
  <si>
    <r>
      <rPr/>
      <t xml:space="preserve">*SALES*
*TRANSACTIONS**
*RP HEIGHTS*
_Area: Downtown_
_Type: 1 bedroom apartment_
_Gross ROI=5.97%_
_Median annual rent=120K_
```Date   Price  BUA Type P/sf```
```------------2025-----------```
```18Dec 2.025M  922 XXXX 2196```
```20Oct 2.088M 1102 XX01 1894```
```20Oct 2.472M 1304 XX03 1895```
```04Sep   2.1M 1011 XX04 2077```
```30Jun 1.925M  922 XX02 2088```
```18Jun   1.9M 1356 XX05 1401```
```12Jun 2.001M 1117 XX06 1791```
```02Jun  1.75M  916 XX05 1910```
```05Mar   1.9M  915 XXXX 2077```
```19Feb  1.86M 1353 XX05 1375```
```29Jan  2.05M 1321 XX05 1552```
```28Jan  1.98M 1120 XX01 1768```
```------------2024-----------```
```14Oct  1.85M 1027 XX04 1801```
```30May  1.69M  911 XX04 1855```
```15Mar 1.789M  932 XX07 1919```
```15Feb   1.7M  959 XX07 1773```
```17Jan  1.55M  922 XXXX 1681```
```------------2023-----------```
```20Dec   1.9M 1103 XX06 1723```
```19Dec     2M  910 XX04 2198```
```22Nov  1.68M  947 XX07 1774```
```07Nov   1.7M 1040 XX04 1635```
```02Nov  1.85M 1324 XX03 1397```
```25Aug  1.27M  941 XX07 1350```
```13Jul   1.7M  922 XX02 1844```
```20Jun 1.475M  922 XX02 1599```
```16Jun  1.55M 1009 XX01 1536```
```06Jun  1.97M 1117 XX01 1764```
```02Jun 1.425M  915 XXXX 1557```
```29May   1.5M  912 XX05 1645```
```14Apr   1.8M 1118 XX06 1610```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</si>
  <si>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1012841, *MARKET</t>
  </si>
  <si>
    <t>*MARKET*
*SNAPSHOT*
*RP HEIGHTS*
_Area: Downtown_
_Type: 1 bedroom apartment_
*Price dynamics, Dirham/sq.ft.*
_(M - median value)_
```2198|   *                 *```
```    |             *   **   ```
```    |                      ```
```    |       *              ```
```    |        *     *    ** ```
```1796|---------------------M```
```    |  *   *  **    *      ```
```    |    **                ```
```    | *                    ```
```    |           *          ```
```1375|*           *   *     ```
```____|______________________```
```    |Nov2023        Dec2025```
_Source: see table below_
*Latest sales transactions*
```Date   Price  BUA Type P/sf```
```------------2025-----------```
```18Dec 2.025M  922 XXXX 2196```
```20Oct 2.088M 1102 XX01 1894```
```20Oct 2.472M 1304 XX03 1895```
```04Sep   2.1M 1011 XX04 2077```
```30Jun 1.925M  922 XX02 2088```
```18Jun   1.9M 1356 XX05 1401```
```12Jun 2.001M 1117 XX06 1791```
```02Jun  1.75M  916 XX05 1910```
```05Mar   1.9M  915 XXXX 2077```
```19Feb  1.86M 1353 XX05 1375```
```29Jan  2.05M 1321 XX05 1552```
```28Jan  1.98M 1120 XX01 1768```
```------------2024-----------```
```14Oct  1.85M 1027 XX04 1801```
```30May  1.69M  911 XX04 1855```
```15Mar 1.789M  932 XX07 1919```
```15Feb   1.7M  959 XX07 1773```
```17Jan  1.55M  922 XXXX 1681```
```------------2023-----------```
```20Dec   1.9M 1103 XX06 1723```
```19Dec     2M  910 XX04 2198```
```22Nov  1.68M  947 XX07 1774```
```07Nov   1.7M 1040 XX04 1635```
```02Nov  1.85M 1324 XX03 1397```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</si>
  <si>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1012842, *NEW RE</t>
  </si>
  <si>
    <t>*NEW RENT*
*CONTRACTS**
_(renewals are not included)_
**
_Area: Downtown_
_Type: 1 bedroom apartment_
```Date  Price   BUA  Type D/s```
```------------2026-----------```
```20Jan  120K   915  XXXX 131```
```15Jan  120K  1324  XXXX  91```
```14Jan  120K  1345  XXXX  89```
```08Jan  120K  1109  XXXX 108```
```------------2025-----------```
```15Nov  103K   915  XXXX 113```
```15Nov  127K  1098  XXXX 116```
```12Nov  140K   926  XXXX 151```
```31Oct  105K   915  XXXX 115```
```28Oct  113K   915  XXXX 123```
```27Oct  120K  1313  XXXX  91```
```25Oct  125K  1076  XXXX 116```
```23Oct  135K  1109  XXXX 122```
```22Oct  130K   947  XXXX 137```
```08Oct  130K   958  XXXX 136```
```03Oct  115K  1313  XXXX  88```
```22Sep  125K  1012  XXXX 124```
```22Sep  115K   915  XXXX 126```
```09Sep  130K  1345  XXXX  97```
```07Sep  120K   915  XXXX 131```
```06Sep  140K   915  XXXX 153```
_Source: DLD, Databot_
_BUA - built-up area, sq.ft._
_P/sf - price per sq.ft._
_B - bedrooms; O - office_
_M - million, K- thousand_
_S - studio, R - shop_
_*20 latest contracts_
www.trydatabot.com</t>
  </si>
  <si>
    <t>1012844, *SALES*</t>
  </si>
  <si>
    <t>*SALES*
*TRANSACTIONS (RESALE)**
*RP HEIGHTS*
_Area: Downtown_
_Type: 2 bedroom apartment_
_Gross ROI=4.67% (confidence: low)_
_Median annual rent=185K_
```Date   Price  BUA Type P/sf```
```------------2025-----------```
```15Jul  4.45M 2039 XX01 2182```
```28Feb   3.5M 1780 XX02 1966```
```06Feb 3.585M 1794 XX02 1998```
```03Jan  3.65M 2030 XX01 1798```
```------------2024-----------```
```23Dec  3.64M 2027 XX01 1796```
```01Nov 3.467M 2021 XX01 1715```
```05Sep     3M 1784 XX08 1682```
```16Jul   3.6M 2034 XX01 1770```
```15Feb   3.5M 2036 XX01 1719```
```18Jan 2.009M 1826 XX03 1100```
```18Jan 1.937M 1761 XX06 1100```
```18Jan 2.033M 1848 XX07 1100```
```------------2023-----------```
```01Dec 2.024M 1840 XXXX 1100```
```01Dec 1.964M 1785 XXXX 1100```
```01Dec 2.024M 1840 XX07 1100```
```30Nov 2.022M 1838 XX06 1100```
```30Nov 2.023M 1839 XXXX 1100```
```29Nov 1.936M 1760 XX06 1100```
```08Nov  2.85M 1823 XX09 1563```
```16Oct 2.024M 1840 XX07 1100```
```16Oct 1.933M 1757 XXXX 1100```
```16Oct  2.01M 1827 XXXX 1100```
```16Oct 1.935M 1759 XX06 1100```
```16Oct 2.023M 1839 XX07 1100```
```13Oct 2.024M 1840 XX07 1100```
```04Oct  2.01M 1827 XXXX 1100```
```04Oct 1.932M 1756 XX02 1100```
```04Oct 2.023M 1839 XXXX 1100```
```13Sep 3.106M 1827 XXXX 1700```
```12Sep     3M 1761 XXXX 1704```
_Source: DLD, Databot_
_BUA - built-up area, sq.ft._
_P/sf - price per sq.ft._
_B - bedrooms; O - office_
_M - million, K- thousand_
_S - studio, R - shop_
_*Max 30 latest transactions_
www.trydatabot.com</t>
  </si>
  <si>
    <t>1012845, *MARKET</t>
  </si>
  <si>
    <t>*MARKET*
*SNAPSHOT*
*RP HEIGHTS*
_Area: Downtown_
_Type: 2 bedroom apartment_
*Price dynamics, Dirham/sq.ft.*
_(M - median value)_
```2182|                     *```
```    |                      ```
```    |                   ** ```
```    |                      ```
```    |             ** ***   ```
```    |               *      ```
```    |   *                  ```
```    |                      ```
```    |                      ```
```1100|*** *********         ```
```1100|*** *********         ```
```____|______________________```
```    |Oct2023        Jul2025```
_Source: see table below_
*Latest sales transactions*
```Date   Price  BUA Type P/sf```
```------------2025-----------```
```15Jul  4.45M 2039 XX01 2182```
```28Feb   3.5M 1780 XX02 1966```
```06Feb 3.585M 1794 XX02 1998```
```03Jan  3.65M 2030 XX01 1798```
```------------2024-----------```
```23Dec  3.64M 2027 XX01 1796```
```01Nov 3.467M 2021 XX01 1715```
```05Sep     3M 1784 XX08 1682```
```16Jul   3.6M 2034 XX01 1770```
```15Feb   3.5M 2036 XX01 1719```
```18Jan 2.009M 1826 XX03 1100```
```18Jan 1.937M 1761 XX06 1100```
```18Jan 2.033M 1848 XX07 1100```
```------------2023-----------```
```01Dec 2.024M 1840 XXXX 1100```
```01Dec 1.964M 1785 XXXX 1100```
```01Dec 2.024M 1840 XX07 1100```
```30Nov 2.022M 1838 XX06 1100```
```30Nov 2.023M 1839 XXXX 1100```
```29Nov 1.936M 1760 XX06 1100```
```08Nov  2.85M 1823 XX09 1563```
```16Oct 2.024M 1840 XX07 1100```
```16Oct 1.933M 1757 XXXX 1100```
```16Oct  2.01M 1827 XXXX 1100```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</si>
  <si>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1012846, *NEW RE</t>
  </si>
  <si>
    <t>*NEW RENT*
*CONTRACTS**
_(renewals are not included)_
**
_Area: Downtown_
_Type: 2 bedroom apartment_
```Date  Price   BUA  Type D/s```
```------------2025-----------```
```26Dec  190K  1765  XXXX 108```
```24Dec  225K  2056  XXXX 109```
```08Dec  180K  1776  XXXX 101```
```05Dec  195K  1884  XXXX 104```
```04Dec  190K  1755  XXXX 108```
```01Dec  180K  1787  XXXX 101```
```27Nov  190K  1841  XXXX 103```
```10Nov  185K  1841  XXXX 100```
```08Nov  185K  1787  XXXX 104```
```01Nov  190K  1787  XXXX 106```
```26Oct  170K  1841  XXXX  92```
```15Oct  185K  1841  XXXX 100```
```15Oct  190K  1841  XXXX 103```
```10Oct  215K  2056  XXXX 105```
```04Oct  180K  1765  XXXX 102```
```25Sep  190K  1787  XXXX 106```
```19Sep  176K  1830  XXXX  96```
```08Sep  180K  1787  XXXX 101```
```06Sep  175K  1787  XXXX  98```
```25Aug  180K  1787  XXXX 101```
_Source: DLD, Databot_
_BUA - built-up area, sq.ft._
_P/sf - price per sq.ft._
_B - bedrooms; O - office_
_M - million, K- thousand_
_S - studio, R - shop_
_*20 latest contracts_
www.trydatabot.com</t>
  </si>
  <si>
    <t>1012847, *RESELL</t>
  </si>
  <si>
    <t>*RESELL*
*VS PRIMARY*
*RP HEIGHTS*
_Area: Downtown_
_Type: 2 bedroom apartment_
*Price dynamics, Dirham/sq.ft.*
_(x - primary; * - resell)_
```2182|                     *```
```    |                      ```
```    |          x        ** ```
```    |                      ```
```1750|             ** ***   ```
```    |               *      ```
```    |                      ```
```    |                      ```
```    |                      ```
```1100|           **         ```
```____|______________________```
```    |Dec1899        Oct2025```
_Source: see a table below_
*Latest resell transactions*
```Date   Price  BUA Type P/sf```
```------------2025-----------```
```15Jul  4.45M 2039 XX01 2182```
```28Feb   3.5M 1780 XX02 1966```
```06Feb 3.585M 1794 XX02 1998```
```03Jan  3.65M 2030 XX01 1798```
```------------2024-----------```
```23Dec  3.64M 2027 XX01 1796```
```01Nov 3.467M 2021 XX01 1715```
```05Sep     3M 1784 XX08 1682```
```16Jul   3.6M 2034 XX01 1770```
```15Feb   3.5M 2036 XX01 1719```
```18Jan 2.009M 1826 XX03 1100```
```18Jan 1.937M 1761 XX06 1100```
```18Jan 2.033M 1848 XX07 1100```
```------------2023-----------```
```01Dec 2.024M 1840 XXXX 1100```
```01Dec 1.964M 1785 XXXX 1100```
```01Dec 2.024M 1840 XX07 1100```
```30Nov 2.022M 1838 XX06 1100```
*Latest primary transactions*
```------------2025-----------```
```09Oct 3.474M 1786 XX06 1945```</t>
  </si>
  <si>
    <t>1012848, *SALES*</t>
  </si>
  <si>
    <r>
      <rPr/>
      <t xml:space="preserve">*SALES*
*TRANSACTIONS**
*RP HEIGHTS*
_Area: Downtown_
_Type: 3 bedroom apartment_
```Date   Price  BUA Type P/sf```
```------------2025-----------```
```23Jul     6M 3187 XX05 1883```
```20Mar   6.9M 3184 XX05 2167```
```10Mar   5.9M 3184 XX05 1853```
```------------2024-----------```
```07Oct 4.725M 2471 XX04 1912```
```------------2023-----------```
```25Jan 2.718M 2471 XX04 1100```
```------------2022-----------```
```21Nov 3.502M 3184 XX05 1100```
```21Nov 3.489M 3172 XX02 1100```
```01Jul 3.664M 2443 XX01 1500```
```24Feb 3.096M 2477 XX04 1250```
```24Feb 3.174M 2540 XX01 1250```
```25Jan  3.35M 2474 XX04 1354```
```20Jan  3.55M 2576 XX01 1378```
```------------2021-----------```
```18Oct 2.725M 2477 XX04 1100```
```14Oct 2.687M 2443 XX01 1100```
```14Oct 2.721M 2474 XX04 1100```
```14Oct 2.793M 2540 XX01 1100```
```02Sep 4.938M 3186 XX05 1550```
```------------2020-----------```
```21Oct     4M 3222 XX02 1241```
```------------2018-----------```
```12Mar 4.652M 2576 XX01 1806```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</si>
  <si>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1012849, *MARKET</t>
  </si>
  <si>
    <t>*MARKET*
*SNAPSHOT*
*RP HEIGHTS*
_Area: Downtown_
_Type: 3 bedroom apartment_
*Price dynamics, Dirham/sq.ft.*
_(M - median value)_
```2167|                    * ```
```    |                      ```
```    |                  *   ```
```    |   *               * *```
```    |                      ```
```    |                      ```
```    |     *        *       ```
```    |          *           ```
```1250|---------------------M```
```    |    *      ***        ```
```1100|      ****     ***    ```
```____|______________________```
```    |Mar2018        Jul2025```
_Source: see table below_
*Latest sales transactions*
```Date   Price  BUA Type P/sf```
```------------2025-----------```
```23Jul     6M 3187 XX05 1883```
```20Mar   6.9M 3184 XX05 2167```
```10Mar   5.9M 3184 XX05 1853```
```------------2024-----------```
```07Oct 4.725M 2471 XX04 1912```
```------------2023-----------```
```25Jan 2.718M 2471 XX04 1100```
```------------2022-----------```
```21Nov 3.502M 3184 XX05 1100```
```21Nov 3.489M 3172 XX02 1100```
```01Jul 3.664M 2443 XX01 1500```
```24Feb 3.096M 2477 XX04 1250```
```24Feb 3.174M 2540 XX01 1250```
```25Jan  3.35M 2474 XX04 1354```
```20Jan  3.55M 2576 XX01 1378```
```------------2021-----------```
```18Oct 2.725M 2477 XX04 1100```
```14Oct 2.687M 2443 XX01 1100```
```14Oct 2.721M 2474 XX04 1100```
```14Oct 2.793M 2540 XX01 1100```
```02Sep 4.938M 3186 XX05 1550```
```------------2020-----------```
```21Oct     4M 3222 XX02 1241```
```------------2018-----------```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</si>
  <si>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1012850, *NEW RE</t>
  </si>
  <si>
    <t>*NEW RENT*
*CONTRACTS**
_(renewals are not included)_
**
_Area: Downtown_
_Type: 3 bedroom apartment_
```Date  Price   BUA  Type D/s```
```------------2025-----------```
```15Nov  390K  3186  XXXX 122```
```22Jul  270K  2540  XXXX 106```
```15Jun  263K  2476  XXXX 106```
```25Feb  370K  3175  XXXX 117```
```------------2024-----------```
```01Jan  240K  2476  XXXX  97```
```------------2023-----------```
```27Nov  350K  3186  XXXX 110```
```20Jun  330K  3175  XXXX 104```
```15Jan  172K  3186  XXXX  54```
```01Jan  240K  2476  XXXX  97```
```------------2022-----------```
```18Nov 1.15M  3186  XXXX 360```
```08Jan   70K  3186  XXXX  22```
```04Jan  176K  2540  XXXX  69```
```04Jan  176K  2540  XXXX  69```
```------------2021-----------```
```26Dec  152K  2476  XXXX  62```
```------------2020-----------```
```15Nov  172K  3186  XXXX  54```
```15Nov  183K  3186  XXXX  57```
```10Nov  165K  2476  XXXX  67```
```01Nov  158K  3186  XXXX  49```
```01Nov  168K  2540  XXXX  66```
```01Nov  153K  2476  XXXX  62```
_Source: DLD, Databot_
_BUA - built-up area, sq.ft._
_P/sf - price per sq.ft._
_B - bedrooms; O - office_
_M - million, K- thousand_
_S - studio, R - shop_
_*20 latest contracts_
www.trydatabot.com</t>
  </si>
  <si>
    <t>1012852, *SALES*</t>
  </si>
  <si>
    <t>*SALES*
*TRANSACTIONS**
*RP HEIGHTS*
_Area: Downtown_
_Type: 4 bedroom apartment_
```Date   Price  BUA Type P/sf```
```------------2022-----------```
```15Dec     8M 6723 XX01 1190```
_Source: DLD, Databot_
_BUA - built-up area, sq.ft._
_P/sf - price per sq.ft._
_B - bedrooms; O - office_
_M - million, K- thousand_
_S - studio, R - shop_
_*Max 30 latest transactions_
www.trydatabot.com</t>
  </si>
  <si>
    <t>1012853, *MARKET</t>
  </si>
  <si>
    <t>*MARKET*
*SNAPSHOT*
*RP HEIGHTS*
_Area: Downtown_
_Type: 4 bedroom apartment_
*Price dynamics, Dirham/sq.ft.*
_(M - median value)_
```1190|                     *```
```1190|----------------------```
```    |                     *```
```1190|---------------------M```
```    |                     *```
```1190|---------------------M```
```    |                     *```
```1190|---------------------M```
```    |                     *```
```1190|---------------------M```
```    |                     *```
```____|______________________```
```    |Dec2022        Dec2022```
_Source: see table below_
*Latest sales transactions*
```Date   Price  BUA Type P/sf```
```------------2022-----------```
```15Dec     8M 6723 XX01 1190```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</si>
  <si>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1012854, *NEW RE</t>
  </si>
  <si>
    <t>*NEW RENT*
*CONTRACTS**
_(renewals are not included)_
**
_Area: Downtown_
_Type: 4 bedroom apartment_
```Date  Price   BUA  Type D/s```
```------------2023-----------```
```15Dec  2.5M  6727  XXXX 372```
```------------2022-----------```
```15Dec  1.5M  6727  XXXX 223```
_Source: DLD, Databot_
_BUA - built-up area, sq.ft._
_P/sf - price per sq.ft._
_B - bedrooms; O - office_
_M - million, K- thousand_
_S - studio, R - shop_
_*20 latest contracts_
www.trydatabot.com</t>
  </si>
  <si>
    <t>1012856, *SALES*</t>
  </si>
  <si>
    <t>*SALES*
*TRANSACTIONS**
*RP HEIGHTS*
_Area: Downtown_
_Type: 5 bedroom apartment_
```Date   Price  BUA Type P/sf```
```------------2024-----------```
```25Mar 13.25M 6310 XX01 2100```
_Source: DLD, Databot_
_BUA - built-up area, sq.ft._
_P/sf - price per sq.ft._
_B - bedrooms; O - office_
_M - million, K- thousand_
_S - studio, R - shop_
_*Max 30 latest transactions_
www.trydatabot.com</t>
  </si>
  <si>
    <t>1012857, *MARKET</t>
  </si>
  <si>
    <t>*MARKET*
*SNAPSHOT*
*RP HEIGHTS*
_Area: Downtown_
_Type: 5 bedroom apartment_
*Price dynamics, Dirham/sq.ft.*
_(M - median value)_
```2100|                     *```
```2100|----------------------```
```    |                     *```
```2100|---------------------M```
```    |                     *```
```2100|---------------------M```
```    |                     *```
```2100|---------------------M```
```    |                     *```
```2100|---------------------M```
```    |                     *```
```____|______________________```
```    |Mar2024        Mar2024```
_Source: see table below_
*Latest sales transactions*
```Date   Price  BUA Type P/sf```
```------------2024-----------```
```25Mar 13.25M 6310 XX01 2100```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</si>
  <si>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1012884, *NEW RE</t>
  </si>
  <si>
    <t>*NEW RENT*
*CONTRACTS**
_(renewals are not included)_
**
_Area: Downtown_
_All types/bedrooms_
```Date    Price   BUA Type  B```
```------------2026-----------```
```20Jan    120K   915 XXXX  1```
```15Jan    120K  1324 XXXX  1```
```14Jan    120K  1345 XXXX  1```
```08Jan    120K  1109 XXXX  1```
```------------2025-----------```
```26Dec    190K  1765 XXXX  2```
```24Dec    225K  2056 XXXX  2```
```08Dec    180K  1776 XXXX  2```
```05Dec    195K  1884 XXXX  2```
```04Dec    190K  1755 XXXX  2```
```01Dec    180K  1787 XXXX  2```
```27Nov    190K  1841 XXXX  2```
```15Nov    103K   915 XXXX  1```
```15Nov    127K  1098 XXXX  1```
```15Nov    390K  3186 XXXX  3```
```12Nov    140K   926 XXXX  1```
```10Nov    185K  1841 XXXX  2```
```08Nov    185K  1787 XXXX  2```
```01Nov    190K  1787 XXXX  2```
```31Oct    105K   915 XXXX  1```
```28Oct    113K   915 XXXX  1```
_Source: DLD, Databot_
_BUA - built-up area, sq.ft._
_P/sf - price per sq.ft._
_B - bedrooms; O - office_
_M - million, K- thousand_
_S - studio, R - shop_
_*20 latest contracts_
www.trydatabot.com</t>
  </si>
  <si>
    <t>1012885, *SALES*</t>
  </si>
  <si>
    <t>*SALES*
*TRANSACTIONS (RESALE)**
*RP HEIGHTS*
_Area: Downtown_
_All types/bedrooms_
```Date    Price   BUA  Type B```
```------------2025-----------```
```18Dec  2.025M   922  XXXX 1```
```20Oct  2.088M  1102  XX01 1```
```20Oct  2.472M  1304  XX03 1```
```04Sep    2.1M  1011  XX04 1```
```02Sep  6.625M  6310  XX01 6```
```23Jul      6M  3187  XX05 3```
```15Jul   4.45M  2039  XX01 2```
```30Jun  1.925M   922  XX02 1```
```18Jun    1.9M  1356  XX05 1```
```12Jun  2.001M  1117  XX06 1```
```02Jun   1.75M   916  XX05 1```
```20Mar    6.9M  3184  XX05 3```
```10Mar    5.9M  3184  XX05 3```
```05Mar    1.9M   915  XXXX 1```
```28Feb    3.5M  1780  XX02 2```
```19Feb   1.86M  1353  XX05 1```
```06Feb  3.585M  1794  XX02 2```
```29Jan   2.05M  1321  XX05 1```
```28Jan   1.98M  1120  XX01 1```
```03Jan   3.65M  2030  XX01 2```
```------------2024-----------```
```23Dec   3.64M  2027  XX01 2```
```01Nov  3.467M  2021  XX01 2```
```14Oct   1.85M  1027  XX04 1```
```07Oct  4.725M  2471  XX04 3```
```05Sep      3M  1784  XX08 2```
```16Jul    3.6M  2034  XX01 2```
```30May   1.69M   911  XX04 1```
```25Mar  13.25M  6310  XX01 5```
```15Mar  1.789M   932  XX07 1```
```15Feb    3.5M  2036  XX01 2```
_Source: DLD, Databot_
_BUA - built-up area, sq.ft._
_P/sf - price per sq.ft._
_B - bedrooms; O - office_
_M - million, K- thousand_
_S - studio, R - shop_
_*Max 30 latest transactions_
www.trydatabot.com</t>
  </si>
  <si>
    <t>1012886, RP, *BUILDI</t>
  </si>
  <si>
    <t xml:space="preserve">*BUILDING*
*PROFILE*
*RP HEIGHTS*
_Area: Downtown_
_Tap&amp;hold to copy a reply_
```-------------------------```
```Report              Reply```
```-------------------------```
*Studio*
```Sales, ROI        1012836```
```Price chart       1012837```
```Rentals           1012838```
*1 B/R*
```Sales, ROI        1012840```
```Price chart       1012841```
```Rentals           1012842```
*2 B/R*
```Resell, ROI       1012844```
```Primary sales     1012889```
```Price chart       1012845```
```Rentals           1012846```
```Appreciation      1012847```
*3 B/R*
```Sales, ROI        1012848```
```Price chart       1012849```
```Rentals           1012850```
*4 B/R*
```Sales, ROI        1012852```
```Price chart       1012853```
```Rentals           1012854```
*5 B/R*
```Sales, ROI        1012856```
```Price chart       1012857```
```Rentals               n/a```
*All types/bedrooms*
```Resell, ROI       1012885```
```Primary sales     1012899```
```Rentals           1012884```
</t>
  </si>
  <si>
    <t>1012889, *SALES*</t>
  </si>
  <si>
    <t>*SALES*
*TRANSACTIONS (PRIMARY)**
*RP HEIGHTS*
_Area: Downtown_
_Type: 2 bedroom apartment_
```Date   Price  BUA Type P/sf```
```------------2025-----------```
```09Oct 3.474M 1786 XX06 1945```
_Source: DLD, Databot_
_BUA - built-up area, sq.ft._
_P/sf - price per sq.ft._
_B - bedrooms; O - office_
_M - million, K- thousand_
_S - studio, R - shop_
_*Max 20 latest transactions_
www.trydatabot.com</t>
  </si>
  <si>
    <t>1012899, *SALES*</t>
  </si>
  <si>
    <t>*SALES*
*TRANSACTIONS (PRIMARY)**
*RP HEIGHTS*
_Area: Downtown_
_All types/bedrooms_
```Date    Price   BUA  Type B```
```------------2025-----------```
```09Oct  3.474M  1786  XX06 2```
_Source: DLD, Databot_
_BUA - built-up area, sq.ft._
_P/sf - price per sq.ft._
_B - bedrooms; O - office_
_M - million, K- thousand_
_S - studio, R - shop_
_*Max 20 latest transactions_
www.trydatabot.com</t>
  </si>
  <si>
    <t>1012908, *SALES*</t>
  </si>
  <si>
    <t>*SALES*
*TRANSACTIONS (RESALE)**
*SOFITEL RESIDENCES BY AZHA*
_Area: Downtown_
_Type: 2 bedroom apartment_
```Date   Price  BUA Type P/sf```
```------------2025-----------```
```14Apr 4.151M 1754 XX03 2367```
_Source: DLD, Databot_
_BUA - built-up area, sq.ft._
_P/sf - price per sq.ft._
_B - bedrooms; O - office_
_M - million, K- thousand_
_S - studio, R - shop_
_*Max 30 latest transactions_
www.trydatabot.com</t>
  </si>
  <si>
    <t>Sofitel Residences By Azha</t>
  </si>
  <si>
    <t>1012909, *MARKET</t>
  </si>
  <si>
    <t>*MARKET*
*SNAPSHOT*
*SOFITEL RESIDENCES BY AZHA*
_Area: Downtown_
_Type: 2 bedroom apartment_
*Price dynamics, Dirham/sq.ft.*
_(M - median value)_
```2367|                     *```
```2367|----------------------```
```    |                     *```
```2367|---------------------M```
```    |                     *```
```2367|---------------------M```
```    |                     *```
```2367|---------------------M```
```    |                     *```
```2367|---------------------M```
```    |                     *```
```____|______________________```
```    |Apr2025        Apr2025```
_Source: see table below_
*Latest sales transactions*
```Date   Price  BUA Type P/sf```
```------------2025-----------```
```14Apr 4.151M 1754 XX03 2367```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</si>
  <si>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1012911, *RESELL</t>
  </si>
  <si>
    <t>*RESELL*
*VS PRIMARY*
*SOFITEL RESIDENCES BY AZHA*
_Area: Downtown_
_Type: 2 bedroom apartment_
*Price dynamics, Dirham/sq.ft.*
_(x - primary; * - resell)_
```2765|   x                  ```
```    |                      ```
```    |                      ```
```    |        x             ```
```2565|    xxx               ```
```    |       x              ```
```    |x         x           ```
```    |  x                   ```
```    |         x           *```
```2265| x                    ```
```____|______________________```
```    |Dec1899        Dec2025```
_Source: see a table below_
*Latest resell transactions*
```Date   Price  BUA Type P/sf```
```------------2025-----------```
```14Apr 4.151M 1754 XX03 2367```
*Latest primary transactions*
```------------2025-----------```
```26Dec 3.955M 1604 XX02 2466```
```26Dec 4.208M 1781 XX05 2363```
```24Sep 4.157M 1604 XX02 2592```
```08Sep 4.164M 1651 XXXX 2522```
```02Sep 4.221M 1651 XXXX 2557```
```11Aug 4.088M 1604 XX02 2549```
```19May 4.145M 1604 XX02 2584```
```19May 4.438M 1605 XX02 2765```
```16May 4.326M 1781 XX05 2429```
```16May 4.333M 1913 XX05 2265```
```06May 4.398M 1781 XX05 2469```
```06May   4.2M 1604 XX02 2618```
```25Feb 4.283M 1609 XX02 2662```
```14Feb 4.159M 1887 XX03 2204```
```30Jan 4.274M 1887 XX03 2265```
_Source: DLD, Databot_
_BUA - built-up area, sq.ft._
_P/sf - price per sq.ft._
_B - bedrooms; O - office_
_M - million, K- thousand_
_S - studio, R - shop_
www.trydatabot.com</t>
  </si>
  <si>
    <t>1012950, Sofitel, *BUILDI</t>
  </si>
  <si>
    <t xml:space="preserve">*BUILDING*
*PROFILE*
*SOFITEL RESIDENCES BY AZHA*
_Area: Downtown_
_Tap&amp;hold to copy a reply_
```-------------------------```
```Report              Reply```
```-------------------------```
*1 B/R*
```Primary sales     1012952```
*2 B/R*
```Resell, ROI       1012908```
```Primary sales     1012953```
```Price chart       1012909```
```Rentals               n/a```
```Appreciation      1012911```
*3 B/R*
```Primary sales     1012954```
*All types/bedrooms*
```Resell, ROI       1012949```
```Primary sales     1012963```
```Rentals               n/a```
</t>
  </si>
  <si>
    <t>1012952, *SALES*</t>
  </si>
  <si>
    <t>*SALES*
*TRANSACTIONS (PRIMARY)**
*SOFITEL RESIDENCES BY AZHA*
_Area: Downtown_
_Type: 1 bedroom apartment_
```Date   Price  BUA Type P/sf```
```------------2025-----------```
```11Aug 2.922M 1182 XX08 2472```
```23Apr 2.739M 1148 XX01 2386```
```09Apr 2.634M 1810 XX07 1455```
```14Feb 2.963M 1182 XX08 2506```
```01Jan 2.166M  955 XX07 2268```
```------------2024-----------```
```27Dec 2.969M 1184 XX08 2508```
```27Dec 2.719M 1148 XX01 2368```
```18Nov 2.931M 1184 XX08 2475```
```18Nov 2.631M 1147 XX01 2293```
```18Nov 2.249M  953 XX07 2360```
```13Nov 2.737M 1182 XX08 2316```
```21Oct 2.703M 1147 XX01 2356```
```21Oct 2.811M 1148 XX01 2448```
```21Oct  2.28M  954 XX07 2390```
```21Oct 2.222M  954 XX07 2329```
```21Oct 2.667M 1147 XX01 2325```
```14Oct 2.195M  955 XX07 2299```
```14Oct 2.137M  955 XX07 2238```
```07Oct 2.108M  955 XX07 2207```
```07Oct 2.893M 1184 XX08 2443```
_Source: DLD, Databot_
_BUA - built-up area, sq.ft._
_P/sf - price per sq.ft._
_B - bedrooms; O - office_
_M - million, K- thousand_
_S - studio, R - shop_
_*Max 20 latest transactions_
www.trydatabot.com</t>
  </si>
  <si>
    <t>1012953, *SALES*</t>
  </si>
  <si>
    <t>*SALES*
*TRANSACTIONS (PRIMARY)**
*SOFITEL RESIDENCES BY AZHA*
_Area: Downtown_
_Type: 2 bedroom apartment_
```Date   Price  BUA Type P/sf```
```------------2025-----------```
```26Dec 3.955M 1604 XX02 2466```
```26Dec 4.208M 1781 XX05 2363```
```24Sep 4.157M 1604 XX02 2592```
```08Sep 4.164M 1651 XXXX 2522```
```02Sep 4.221M 1651 XXXX 2557```
```11Aug 4.088M 1604 XX02 2549```
```19May 4.145M 1604 XX02 2584```
```19May 4.438M 1605 XX02 2765```
```16May 4.326M 1781 XX05 2429```
```16May 4.333M 1913 XX05 2265```
```06May 4.398M 1781 XX05 2469```
```06May   4.2M 1604 XX02 2618```
```25Feb 4.283M 1609 XX02 2662```
```14Feb 4.159M 1887 XX03 2204```
```30Jan 4.274M 1887 XX03 2265```
```01Jan 4.398M 1754 XX03 2507```
```01Jan 4.515M 1781 XX05 2535```
```------------2024-----------```
```02Dec 4.387M 1886 XX03 2326```
```02Dec 4.381M 1754 XX03 2498```
```13Nov 4.403M 1913 XX05 2302```
_Source: DLD, Databot_
_BUA - built-up area, sq.ft._
_P/sf - price per sq.ft._
_B - bedrooms; O - office_
_M - million, K- thousand_
_S - studio, R - shop_
_*Max 20 latest transactions_
www.trydatabot.com</t>
  </si>
  <si>
    <t>1012954, *SALES*</t>
  </si>
  <si>
    <t>*SALES*
*TRANSACTIONS (PRIMARY)**
*SOFITEL RESIDENCES BY AZHA*
_Area: Downtown_
_Type: 3 bedroom apartment_
```Date   Price  BUA Type P/sf```
```------------2025-----------```
```21Jan 8.793M 4807 XX04 1829```
```------------2024-----------```
```13Nov 9.013M 3572 XX04 2523```
_Source: DLD, Databot_
_BUA - built-up area, sq.ft._
_P/sf - price per sq.ft._
_B - bedrooms; O - office_
_M - million, K- thousand_
_S - studio, R - shop_
_*Max 20 latest transactions_
www.trydatabot.com</t>
  </si>
  <si>
    <t>1012963, *SALES*</t>
  </si>
  <si>
    <t>*SALES*
*TRANSACTIONS (PRIMARY)**
*SOFITEL RESIDENCES BY AZHA*
_Area: Downtown_
_All types/bedrooms_
```Date    Price   BUA  Type B```
```------------2025-----------```
```26Dec  3.955M  1604  XX02 2```
```26Dec  4.208M  1781  XX05 2```
```24Sep  4.157M  1604  XX02 2```
```08Sep  4.164M  1651  XXXX 2```
```02Sep  4.221M  1651  XXXX 2```
```11Aug  2.922M  1182  XX08 1```
```11Aug  4.088M  1604  XX02 2```
```19May  4.145M  1604  XX02 2```
```19May  4.438M  1605  XX02 2```
```16May  4.326M  1781  XX05 2```
```16May  4.333M  1913  XX05 2```
```06May  4.398M  1781  XX05 2```
```06May    4.2M  1604  XX02 2```
```23Apr  2.739M  1148  XX01 1```
```09Apr  2.634M  1810  XX07 1```
```25Feb  4.283M  1609  XX02 2```
```14Feb  2.963M  1182  XX08 1```
```14Feb  4.159M  1887  XX03 2```
```30Jan  4.274M  1887  XX03 2```
```21Jan  8.793M  4807  XX04 3```
_Source: DLD, Databot_
_BUA - built-up area, sq.ft._
_P/sf - price per sq.ft._
_B - bedrooms; O - office_
_M - million, K- thousand_
_S - studio, R - shop_
_*Max 20 latest transactions_
www.trydatabot.com</t>
  </si>
  <si>
    <t>1012968, *SALES*</t>
  </si>
  <si>
    <t>*SALES*
*TRANSACTIONS (RESALE)**
*SOLARA TOWER*
_Area: Downtown_
_Type: 1 bedroom apartment_
```Date   Price  BUA Type P/sf```
```------------2025-----------```
```11Aug 3.193M 1174 XX05 2720```
```02Jun 3.308M 1174 XX05 2817```
```12May 3.048M  995 XXXX 3063```
```30Apr 3.548M 1279 XXXX 2774```
```22Apr 2.805M  953 XXXX 2943```
```22Apr 3.055M 1200 XXXX 2545```
```22Apr 3.524M 1279 XXXX 2755```
```28Jan 3.687M 1279 XXXX 2883```
_Source: DLD, Databot_
_BUA - built-up area, sq.ft._
_P/sf - price per sq.ft._
_B - bedrooms; O - office_
_M - million, K- thousand_
_S - studio, R - shop_
_*Max 30 latest transactions_
www.trydatabot.com</t>
  </si>
  <si>
    <t>Solara Tower</t>
  </si>
  <si>
    <t>1012969, *MARKET</t>
  </si>
  <si>
    <t>*MARKET*
*SNAPSHOT*
*SOLARA TOWER*
_Area: Downtown_
_Type: 1 bedroom apartment_
*Price dynamics, Dirham/sq.ft.*
_(M - median value)_
```3063|                   *  ```
```    |                      ```
```    |                 *    ```
```    |              *       ```
```    |                      ```
```2796|---------------------M```
```    |                    * ```
```    |               *  *   ```
```    |                     *```
```    |                      ```
```2545|                *     ```
```____|______________________```
```    |Jan2025        Aug2025```
_Source: see table below_
*Latest sales transactions*
```Date   Price  BUA Type P/sf```
```------------2025-----------```
```11Aug 3.193M 1174 XX05 2720```
```02Jun 3.308M 1174 XX05 2817```
```12May 3.048M  995 XXXX 3063```
```30Apr 3.548M 1279 XXXX 2774```
```22Apr 2.805M  953 XXXX 2943```
```22Apr 3.055M 1200 XXXX 2545```
```22Apr 3.524M 1279 XXXX 2755```
```28Jan 3.687M 1279 XXXX 2883```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</si>
  <si>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1012971, *RESELL</t>
  </si>
  <si>
    <t>*RESELL*
*VS PRIMARY*
*SOLARA TOWER*
_Area: Downtown_
_Type: 1 bedroom apartment_
*Price dynamics, Dirham/sq.ft.*
_(x - primary; * - resell)_
```4010|        xxx           ```
```    |                      ```
```    |                      ```
```    |                      ```
```3422|     x                ```
```    |                      ```
```    |                   *  ```
```    |x                *    ```
```    |   xx xx      **  * **```
```2545| xx             *     ```
```____|______________________```
```    |Dec1899        Jan2026```
_Source: see a table below_
*Latest resell transactions*
```Date   Price  BUA Type P/sf```
```------------2025-----------```
```11Aug 3.193M 1174 XX05 2720```
```02Jun 3.308M 1174 XX05 2817```
```12May 3.048M  995 XXXX 3063```
```30Apr 3.548M 1279 XXXX 2774```
```22Apr 2.805M  953 XXXX 2943```
```22Apr 3.055M 1200 XXXX 2545```
```22Apr 3.524M 1279 XXXX 2755```
```28Jan 3.687M 1279 XXXX 2883```
*Latest primary transactions*
```------------2026-----------```
```12Jan  3.99M  995 XXXX 4010```
```08Jan  3.99M  995 XXXX 4010```
```------------2025-----------```
```09Dec  3.99M  995 XXXX 4010```
```24Nov 3.344M 1200 XXXX 2786```
```29Jul 3.433M 1200 XX06 2861```
```03Jul 3.246M  953 XX05 3406```
```24Jun 3.395M 1174 XX05 2892```
```02Jun 3.318M 1200 XX06 2765```
```30May 3.386M 1279 XX07 2647```
```30May 3.432M 1279 XX07 2683```
```26May 2.947M  995 XXXX 2962```
```19May 3.293M 1200 XXXX 2744```
```19May  3.04M  953 XXXX 3190```
```09May 3.063M 1174 XXXX 2609```
_Source: DLD, Databot_
_BUA - built-up area, sq.ft._
_P/sf - price per sq.ft._
_B - bedrooms; O - office_
_M - million, K- thousand_
_S - studio, R - shop_
www.trydatabot.com</t>
  </si>
  <si>
    <t>1012972, *SALES*</t>
  </si>
  <si>
    <t>*SALES*
*TRANSACTIONS (RESALE)**
*SOLARA TOWER*
_Area: Downtown_
_Type: 2 bedroom apartment_
```Date   Price  BUA Type P/sf```
```------------2025-----------```
```10Sep 5.301M 1940 XX06 2732```
```23Jun 7.432M 2288 XX03 3248```
```27May 5.504M 1940 XXXX 2837```
```22Apr     6M 1802 XXXX 3330```
_Source: DLD, Databot_
_BUA - built-up area, sq.ft._
_P/sf - price per sq.ft._
_B - bedrooms; O - office_
_M - million, K- thousand_
_S - studio, R - shop_
_*Max 30 latest transactions_
www.trydatabot.com</t>
  </si>
  <si>
    <t>1012973, *MARKET</t>
  </si>
  <si>
    <t>*MARKET*
*SNAPSHOT*
*SOLARA TOWER*
_Area: Downtown_
_Type: 2 bedroom apartment_
*Price dynamics, Dirham/sq.ft.*
_(M - median value)_
```3330|                  *   ```
```    |                    * ```
```    |                      ```
```    |                      ```
```    |                      ```
```3043|---------------------M```
```    |                      ```
```    |                      ```
```    |                      ```
```    |                   *  ```
```2732|                     *```
```____|______________________```
```    |Apr2025        Sep2025```
_Source: see table below_
*Latest sales transactions*
```Date   Price  BUA Type P/sf```
```------------2025-----------```
```10Sep 5.301M 1940 XX06 2732```
```23Jun 7.432M 2288 XX03 3248```
```27May 5.504M 1940 XXXX 2837```
```22Apr     6M 1802 XXXX 3330```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</si>
  <si>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1012975, *RESELL</t>
  </si>
  <si>
    <t>*RESELL*
*VS PRIMARY*
*SOLARA TOWER*
_Area: Downtown_
_Type: 2 bedroom apartment_
*Price dynamics, Dirham/sq.ft.*
_(x - primary; * - resell)_
```3801|    x                 ```
```    |                      ```
```    |                      ```
```    |       x x            ```
```3373|     xx           *   ```
```    | xx     x           * ```
```    |                      ```
```    |                      ```
```    |x  x      x           ```
```2732|                   * *```
```____|______________________```
```    |Dec1899        Jan2026```
_Source: see a table below_
*Latest resell transactions*
```Date   Price  BUA Type P/sf```
```------------2025-----------```
```10Sep 5.301M 1940 XX06 2732```
```23Jun 7.432M 2288 XX03 3248```
```27May 5.504M 1940 XXXX 2837```
```22Apr     6M 1802 XXXX 3330```
*Latest primary transactions*
```------------2026-----------```
```21Jan 6.004M 2050 XXXX 2929```
```16Jan   6.8M 1940 XXXX 3505```
```14Jan 7.669M 2385 XXXX 3216```
```09Jan 5.949M 1734 XXXX 3431```
```------------2025-----------```
```22Dec 7.557M 2260 XXXX 3344```
```17Dec   7.6M 2246 XXXX 3384```
```16Dec 8.149M 2144 XXXX 3801```
```16Dec  5.87M 2050 XXXX 2863```
```05Dec   7.4M 2246 XXXX 3295```
```19Nov 5.806M 1802 XXXX 3222```
```13Nov 6.838M 2385 XXXX 2867```
```10Nov 6.001M 1734 XXXX 3461```
```04Nov   5.3M 1894 XX05 2798```
```03Nov   7.4M 1978 XX02 3741```
_Source: DLD, Databot_
_BUA - built-up area, sq.ft._
_P/sf - price per sq.ft._
_B - bedrooms; O - office_
_M - million, K- thousand_
_S - studio, R - shop_
www.trydatabot.com</t>
  </si>
  <si>
    <t>1012976, *SALES*</t>
  </si>
  <si>
    <t>*SALES*
*TRANSACTIONS (RESALE)**
*SOLARA TOWER*
_Area: Downtown_
_Type: 3 bedroom apartment_
```Date   Price  BUA Type P/sf```
```------------2025-----------```
```27May 9.674M 2653 XXXX 3646```
_Source: DLD, Databot_
_BUA - built-up area, sq.ft._
_P/sf - price per sq.ft._
_B - bedrooms; O - office_
_M - million, K- thousand_
_S - studio, R - shop_
_*Max 30 latest transactions_
www.trydatabot.com</t>
  </si>
  <si>
    <t>1012977, *MARKET</t>
  </si>
  <si>
    <t>*MARKET*
*SNAPSHOT*
*SOLARA TOWER*
_Area: Downtown_
_Type: 3 bedroom apartment_
*Price dynamics, Dirham/sq.ft.*
_(M - median value)_
```3646|                     *```
```3646|----------------------```
```    |                     *```
```3646|---------------------M```
```    |                     *```
```3646|---------------------M```
```    |                     *```
```3646|---------------------M```
```    |                     *```
```3646|---------------------M```
```    |                     *```
```____|______________________```
```    |May2025        May2025```
_Source: see table below_
*Latest sales transactions*
```Date   Price  BUA Type P/sf```
```------------2025-----------```
```27May 9.674M 2653 XXXX 3646```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</si>
  <si>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1012979, *RESELL</t>
  </si>
  <si>
    <t>*RESELL*
*VS PRIMARY*
*SOLARA TOWER*
_Area: Downtown_
_Type: 3 bedroom apartment_
*Price dynamics, Dirham/sq.ft.*
_(x - primary; * - resell)_
```4027|        x             ```
```    |          x           ```
```    |    x    x            ```
```    | x   x                ```
```3711|  x                   ```
```    |                     *```
```    |                      ```
```    |                      ```
```    |   x   x              ```
```3237|x     x               ```
```____|______________________```
```    |Dec1899        Dec2025```
_Source: see a table below_
*Latest resell transactions*
```Date   Price  BUA Type P/sf```
```------------2025-----------```
```27May 9.674M 2653 XXXX 3646```
*Latest primary transactions*
```------------2025-----------```
```24Dec 10.38M 2653 XXXX 3911```
```05Dec 10.49M 2728 XXXX 3846```
```05Dec 10.68M 2653 XXXX 4027```
```28Aug 9.404M 2743 XX01 3428```
```25Aug 9.904M 3060 XX04 3237```
```04Aug  10.6M 2801 XX03 3784```
```04Aug 10.49M 2728 XX02 3846```
```21Jul  9.22M 2743 XX01 3361```
```21Jul 10.03M 2728 XX02 3678```
```14Jul 9.757M 2562 XX02 3808```
```24Jun 9.033M 2743 XX01 3293```
```12Jun 9.397M 3060 XX04 3071```
```28May 10.07M 2653 XXXX 3797```
```26May 8.668M 2743 XXXX 3160```
```24Apr 10.13M 2743 XXXX 3693```
_Source: DLD, Databot_
_BUA - built-up area, sq.ft._
_P/sf - price per sq.ft._
_B - bedrooms; O - office_
_M - million, K- thousand_
_S - studio, R - shop_
www.trydatabot.com</t>
  </si>
  <si>
    <t>1012980, *SALES*</t>
  </si>
  <si>
    <t>*SALES*
*TRANSACTIONS (RESALE)**
*SOLARA TOWER*
_Area: Downtown_
_Type: 4 bedroom apartment_
```Date   Price  BUA Type P/sf```
```------------2025-----------```
```28Jul 19.22M 3816 XX01 5036```
```07Mar 18.83M 3816 XXXX 4934```
```12Feb 23.32M 5376 XXXX 4337```
```12Feb 24.67M 5570 XXXX 4429```
_Source: DLD, Databot_
_BUA - built-up area, sq.ft._
_P/sf - price per sq.ft._
_B - bedrooms; O - office_
_M - million, K- thousand_
_S - studio, R - shop_
_*Max 30 latest transactions_
www.trydatabot.com</t>
  </si>
  <si>
    <t>1012981, *MARKET</t>
  </si>
  <si>
    <t>*MARKET*
*SNAPSHOT*
*SOLARA TOWER*
_Area: Downtown_
_Type: 4 bedroom apartment_
*Price dynamics, Dirham/sq.ft.*
_(M - median value)_
```5036|                     *```
```    |                    * ```
```    |                      ```
```    |                      ```
```    |                      ```
```4682|---------------------M```
```    |                      ```
```    |                      ```
```    |                      ```
```    |                  *   ```
```4337|                   *  ```
```____|______________________```
```    |Feb2025        Jul2025```
_Source: see table below_
*Latest sales transactions*
```Date   Price  BUA Type P/sf```
```------------2025-----------```
```28Jul 19.22M 3816 XX01 5036```
```07Mar 18.83M 3816 XXXX 4934```
```12Feb 23.32M 5376 XXXX 4337```
```12Feb 24.67M 5570 XXXX 4429```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</si>
  <si>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1012983, *RESELL</t>
  </si>
  <si>
    <t>*RESELL*
*VS PRIMARY*
*SOLARA TOWER*
_Area: Downtown_
_Type: 4 bedroom apartment_
*Price dynamics, Dirham/sq.ft.*
_(x - primary; * - resell)_
```5036|     x    x          *```
```    |                    * ```
```    |   x    x             ```
```    |      xx              ```
```4700|         x            ```
```    |                      ```
```    |                      ```
```    |  x               *   ```
```    |x                  *  ```
```4200| x  x                 ```
```____|______________________```
```    |Dec1899        Jan2026```
_Source: see a table below_
*Latest resell transactions*
```Date   Price  BUA Type P/sf```
```------------2025-----------```
```28Jul 19.22M 3816 XX01 5036```
```07Mar 18.83M 3816 XXXX 4934```
```12Feb 23.32M 5376 XXXX 4337```
```12Feb 24.67M 5570 XXXX 4429```
*Latest primary transactions*
```------------2026-----------```
```16Jan  20.8M 4139 XXXX 5025```
```------------2025-----------```
```18Dec 19.46M 4139 XXXX 4703```
```24Sep 20.28M 4139 XX01 4900```
```18Aug  19.8M 4139 XX01 4783```
```29Jul  18.4M 3816 XX01 4821```
```24Jul 19.21M 3816 XX01 5034```
```21Jul 23.39M 5570 XX02 4200```
```03Jul 18.67M 3816 XX01 4893```
```30Apr 24.96M 5570 XXXX 4481```
```16Jan  22.9M 5376 XXXX 4260```
```------------2024-----------```
```26Dec 23.11M 5376 XXXX 4298```
```16Dec 22.69M 5376 XXXX 4221```
_Source: DLD, Databot_
_BUA - built-up area, sq.ft._
_P/sf - price per sq.ft._
_B - bedrooms; O - office_
_M - million, K- thousand_
_S - studio, R - shop_
www.trydatabot.com</t>
  </si>
  <si>
    <t>1013013, *SALES*</t>
  </si>
  <si>
    <t>*SALES*
*TRANSACTIONS (RESALE)**
*SOLARA TOWER*
_Area: Downtown_
_All types/bedrooms_
```Date    Price   BUA  Type B```
```------------2025-----------```
```10Sep  5.301M  1940  XX06 2```
```11Aug  3.193M  1174  XX05 1```
```28Jul  19.22M  3816  XX01 4```
```23Jun  7.432M  2288  XX03 2```
```02Jun  3.308M  1174  XX05 1```
```27May  9.674M  2653  XXXX 3```
```27May  5.504M  1940  XXXX 2```
```12May  3.048M   995  XXXX 1```
```30Apr  3.548M  1279  XXXX 1```
```22Apr      6M  1802  XXXX 2```
```22Apr  2.805M   953  XXXX 1```
```22Apr  3.055M  1200  XXXX 1```
```22Apr  3.524M  1279  XXXX 1```
```07Mar  18.83M  3816  XXXX 4```
```12Feb  23.32M  5376  XXXX 4```
```12Feb  24.67M  5570  XXXX 4```
```28Jan  3.687M  1279  XXXX 1```
_Source: DLD, Databot_
_BUA - built-up area, sq.ft._
_P/sf - price per sq.ft._
_B - bedrooms; O - office_
_M - million, K- thousand_
_S - studio, R - shop_
_*Max 30 latest transactions_
www.trydatabot.com</t>
  </si>
  <si>
    <t>1013014, Solara, *BUILDI</t>
  </si>
  <si>
    <t xml:space="preserve">*BUILDING*
*PROFILE*
*SOLARA TOWER*
_Area: Downtown_
_Tap&amp;hold to copy a reply_
```-------------------------```
```Report              Reply```
```-------------------------```
*1 B/R*
```Resell, ROI       1012968```
```Primary sales     1013016```
```Price chart       1012969```
```Rentals               n/a```
```Appreciation      1012971```
*2 B/R*
```Resell, ROI       1012972```
```Primary sales     1013017```
```Price chart       1012973```
```Rentals               n/a```
```Appreciation      1012975```
*3 B/R*
```Resell, ROI       1012976```
```Primary sales     1013018```
```Price chart       1012977```
```Rentals               n/a```
```Appreciation      1012979```
*4 B/R*
```Resell, ROI       1012980```
```Primary sales     1013019```
```Price chart       1012981```
```Rentals               n/a```
```Appreciation      1012983```
*All types/bedrooms*
```Resell, ROI       1013013```
```Primary sales     1013027```
```Rentals               n/a```
</t>
  </si>
  <si>
    <t>1013016, *SALES*</t>
  </si>
  <si>
    <t>*SALES*
*TRANSACTIONS (PRIMARY)**
*SOLARA TOWER*
_Area: Downtown_
_Type: 1 bedroom apartment_
```Date   Price  BUA Type P/sf```
```------------2026-----------```
```12Jan  3.99M  995 XXXX 4010```
```08Jan  3.99M  995 XXXX 4010```
```------------2025-----------```
```09Dec  3.99M  995 XXXX 4010```
```24Nov 3.344M 1200 XXXX 2786```
```29Jul 3.433M 1200 XX06 2861```
```03Jul 3.246M  953 XX05 3406```
```24Jun 3.395M 1174 XX05 2892```
```02Jun 3.318M 1200 XX06 2765```
```30May 3.386M 1279 XX07 2647```
```30May 3.432M 1279 XX07 2683```
```26May 2.947M  995 XXXX 2962```
```19May 3.293M 1200 XXXX 2744```
```19May  3.04M  953 XXXX 3190```
```09May 3.063M 1174 XXXX 2609```
```05May 2.711M  953 XXXX 2845```
```23Apr 2.946M  995 XXXX 2961```
```23Apr  3.38M 1200 XXXX 2817```
```23Apr 3.056M  995 XXXX 3071```
```22Apr     3M  995 XXXX 3015```
```22Apr 3.214M 1174 XXXX 2737```
_Source: DLD, Databot_
_BUA - built-up area, sq.ft._
_P/sf - price per sq.ft._
_B - bedrooms; O - office_
_M - million, K- thousand_
_S - studio, R - shop_
_*Max 20 latest transactions_
www.trydatabot.com</t>
  </si>
  <si>
    <t>1013017, *SALES*</t>
  </si>
  <si>
    <t>*SALES*
*TRANSACTIONS (PRIMARY)**
*SOLARA TOWER*
_Area: Downtown_
_Type: 2 bedroom apartment_
```Date   Price  BUA Type P/sf```
```------------2026-----------```
```21Jan 6.004M 2050 XXXX 2929```
```16Jan   6.8M 1940 XXXX 3505```
```14Jan 7.669M 2385 XXXX 3216```
```09Jan 5.949M 1734 XXXX 3431```
```------------2025-----------```
```22Dec 7.557M 2260 XXXX 3344```
```17Dec   7.6M 2246 XXXX 3384```
```16Dec 8.149M 2144 XXXX 3801```
```16Dec  5.87M 2050 XXXX 2863```
```05Dec   7.4M 2246 XXXX 3295```
```19Nov 5.806M 1802 XXXX 3222```
```13Nov 6.838M 2385 XXXX 2867```
```10Nov 6.001M 1734 XXXX 3461```
```04Nov   5.3M 1894 XX05 2798```
```03Nov   7.4M 1978 XX02 3741```
```21Oct 6.969M 2385 XXXX 2922```
```20Oct 6.442M 2385 XXXX 2701```
```15Sep 7.762M 2144 XX03 3620```
```02Sep  6.54M 2385 XXXX 2742```
```25Aug 7.589M 2288 XX03 3317```
```18Aug 6.752M 1978 XX02 3414```
_Source: DLD, Databot_
_BUA - built-up area, sq.ft._
_P/sf - price per sq.ft._
_B - bedrooms; O - office_
_M - million, K- thousand_
_S - studio, R - shop_
_*Max 20 latest transactions_
www.trydatabot.com</t>
  </si>
  <si>
    <t>1013018, *SALES*</t>
  </si>
  <si>
    <t>*SALES*
*TRANSACTIONS (PRIMARY)**
*SOLARA TOWER*
_Area: Downtown_
_Type: 3 bedroom apartment_
```Date   Price  BUA Type P/sf```
```------------2025-----------```
```24Dec 10.38M 2653 XXXX 3911```
```05Dec 10.49M 2728 XXXX 3846```
```05Dec 10.68M 2653 XXXX 4027```
```28Aug 9.404M 2743 XX01 3428```
```25Aug 9.904M 3060 XX04 3237```
```04Aug  10.6M 2801 XX03 3784```
```04Aug 10.49M 2728 XX02 3846```
```21Jul  9.22M 2743 XX01 3361```
```21Jul 10.03M 2728 XX02 3678```
```14Jul 9.757M 2562 XX02 3808```
```24Jun 9.033M 2743 XX01 3293```
```12Jun 9.397M 3060 XX04 3071```
```28May 10.07M 2653 XXXX 3797```
```26May 8.668M 2743 XXXX 3160```
```24Apr 10.13M 2743 XXXX 3693```
```18Mar 10.06M 2562 XXXX 3928```
```05Mar 9.986M 2743 XXXX 3640```
```04Feb    10M 2562 XXXX 3903```
```04Feb 9.404M 2653 XXXX 3545```
```22Jan 8.834M 2759 XXXX 3202```
_Source: DLD, Databot_
_BUA - built-up area, sq.ft._
_P/sf - price per sq.ft._
_B - bedrooms; O - office_
_M - million, K- thousand_
_S - studio, R - shop_
_*Max 20 latest transactions_
www.trydatabot.com</t>
  </si>
  <si>
    <t>1013019, *SALES*</t>
  </si>
  <si>
    <t>*SALES*
*TRANSACTIONS (PRIMARY)**
*SOLARA TOWER*
_Area: Downtown_
_Type: 4 bedroom apartment_
```Date   Price  BUA Type P/sf```
```------------2026-----------```
```16Jan  20.8M 4139 XXXX 5025```
```------------2025-----------```
```18Dec 19.46M 4139 XXXX 4703```
```24Sep 20.28M 4139 XX01 4900```
```18Aug  19.8M 4139 XX01 4783```
```29Jul  18.4M 3816 XX01 4821```
```24Jul 19.21M 3816 XX01 5034```
```21Jul 23.39M 5570 XX02 4200```
```03Jul 18.67M 3816 XX01 4893```
```30Apr 24.96M 5570 XXXX 4481```
```16Jan  22.9M 5376 XXXX 4260```
```------------2024-----------```
```26Dec 23.11M 5376 XXXX 4298```
```16Dec 22.69M 5376 XXXX 4221```
_Source: DLD, Databot_
_BUA - built-up area, sq.ft._
_P/sf - price per sq.ft._
_B - bedrooms; O - office_
_M - million, K- thousand_
_S - studio, R - shop_
_*Max 20 latest transactions_
www.trydatabot.com</t>
  </si>
  <si>
    <t>1013027, *SALES*</t>
  </si>
  <si>
    <t>*SALES*
*TRANSACTIONS (PRIMARY)**
*SOLARA TOWER*
_Area: Downtown_
_All types/bedrooms_
```Date    Price   BUA  Type B```
```------------2026-----------```
```21Jan  6.004M  2050  XXXX 2```
```16Jan    6.8M  1940  XXXX 2```
```16Jan   20.8M  4139  XXXX 4```
```14Jan  7.669M  2385  XXXX 2```
```12Jan   3.99M   995  XXXX 1```
```09Jan  5.949M  1734  XXXX 2```
```08Jan   3.99M   995  XXXX 1```
```------------2025-----------```
```24Dec  10.38M  2653  XXXX 3```
```22Dec  7.557M  2260  XXXX 2```
```18Dec  19.46M  4139  XXXX 4```
```17Dec    7.6M  2246  XXXX 2```
```16Dec  8.149M  2144  XXXX 2```
```16Dec   5.87M  2050  XXXX 2```
```09Dec   3.99M   995  XXXX 1```
```05Dec  10.49M  2728  XXXX 3```
```05Dec  10.68M  2653  XXXX 3```
```05Dec    7.4M  2246  XXXX 2```
```24Nov  3.344M  1200  XXXX 1```
```19Nov  5.806M  1802  XXXX 2```
```13Nov  6.838M  2385  XXXX 2```
_Source: DLD, Databot_
_BUA - built-up area, sq.ft._
_P/sf - price per sq.ft._
_B - bedrooms; O - office_
_M - million, K- thousand_
_S - studio, R - shop_
_*Max 20 latest transactions_
www.trydatabot.com</t>
  </si>
  <si>
    <t>1013032, *SALES*</t>
  </si>
  <si>
    <t>*SALES*
*TRANSACTIONS**
*SOUTH RIDGE 1*
_Area: Downtown_
_Type: 1 bedroom apartment_
```Date   Price  BUA Type P/sf```
```------------2025-----------```
```05Nov 1.825M  915 XXXX 1995```
```17Sep   1.9M  959 XXXX 1981```
```01Jul 1.935M 1060 XXXX 1825```
```15May   1.8M 1060 XXXX 1698```
```07May 1.775M  915 XXXX 1940```
```29Apr     2M 1060 XXXX 1887```
```28Feb  1.85M 1060 XXXX 1745```
```09Jan 2.125M  915 XXXX 2322```
```02Jan 1.925M 1055 XXXX 1825```
```------------2024-----------```
```14Nov  2.23M  915 XXXX 2437```
```10Oct     2M 1060 XXXX 1887```
```02Oct 1.625M 1060 XXXX 1533```
```01Oct 1.725M 1060 XXXX 1627```
```09Sep  1.85M 1060 XXXX 1745```
```25Apr 1.575M  915 XX04 1721```
```------------2023-----------```
```14Dec  1.72M 1060 XX05 1623```
```23Oct   1.6M  915 XX04 1749```
```12Sep   1.5M  915 XX04 1639```
```22Jun  1.55M 1060 XX05 1462```
```02May   1.5M  915 XX04 1639```
```26Apr  1.55M  915 XX04 1694```
```18Jan 1.425M  915 XX04 1557```
```------------2022-----------```
```07Jul  1.45M  915 XX04 1585```
```21Jun  1.35M 1060 XX05 1274```
```16Mar   1.4M 1060 XX05 1321```
```08Mar   1.4M 1060 XX05 1321```
```08Mar 1.162M  915 XX04 1270```
```16Feb   1.2M  915 XX04 1311```
```14Feb   1.2M  915 XX04 1311```
```------------2021-----------```
```27Dec   1.3M 1060 XX05 1226```
_Source: DLD, Databot_
_BUA - built-up area, sq.ft._
_P/sf - price per sq.ft._
_B - bedrooms; O - office_
_M - million, K- thousand_
_S - studio, R - shop_
_*Max 30 latest transactions_
www.trydatabot.com</t>
  </si>
  <si>
    <t>South Ridge 1</t>
  </si>
  <si>
    <t>1013033, *MARKET</t>
  </si>
  <si>
    <t>*MARKET*
*SNAPSHOT*
*SOUTH RIDGE 1*
_Area: Downtown_
_Type: 1 bedroom apartment_
*Price dynamics, Dirham/sq.ft.*
_(M - median value)_
```2437|            *         ```
```    |              *       ```
```    |                      ```
```    |                      ```
```    |                      ```
```    |                 *  **```
```    |           * *  *  *  ```
```1745|---------------------M```
```    |     * **      *      ```
```    | ** * *  *        *   ```
```1462|*  *      *           ```
```____|______________________```
```    |Jan2023        Nov2025```
_Source: see table below_
*Latest sales transactions*
```Date   Price  BUA Type P/sf```
```------------2025-----------```
```05Nov 1.825M  915 XXXX 1995```
```17Sep   1.9M  959 XXXX 1981```
```01Jul 1.935M 1060 XXXX 1825```
```15May   1.8M 1060 XXXX 1698```
```07May 1.775M  915 XXXX 1940```
```29Apr     2M 1060 XXXX 1887```
```28Feb  1.85M 1060 XXXX 1745```
```09Jan 2.125M  915 XXXX 2322```
```02Jan 1.925M 1055 XXXX 1825```
```------------2024-----------```
```14Nov  2.23M  915 XXXX 2437```
```10Oct     2M 1060 XXXX 1887```
```02Oct 1.625M 1060 XXXX 1533```
```01Oct 1.725M 1060 XXXX 1627```
```09Sep  1.85M 1060 XXXX 1745```
```25Apr 1.575M  915 XX04 1721```
```------------2023-----------```
```14Dec  1.72M 1060 XX05 1623```
```23Oct   1.6M  915 XX04 1749```
```12Sep   1.5M  915 XX04 1639```
```22Jun  1.55M 1060 XX05 1462```
```02May   1.5M  915 XX04 1639```
```26Apr  1.55M  915 XX04 1694```
```18Jan 1.425M  915 XX04 1557```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</si>
  <si>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1013036, *SALES*</t>
  </si>
  <si>
    <t>*SALES*
*TRANSACTIONS**
*SOUTH RIDGE 1*
_Area: Downtown_
_Type: 2 bedroom apartment_
```Date   Price  BUA Type P/sf```
```------------2025-----------```
```18Nov   2.5M 1497 XXXX 1670```
```23Sep 3.825M 1635 XXXX 2339```
```10Jun  3.65M 1635 XXXX 2232```
```03Jun  3.75M 1635 XXXX 2294```
```15May  2.85M 1491 XXXX 1911```
```13May   2.9M 1491 XXXX 1945```
```01May  2.95M 1491 XXXX 1979```
```29Apr   2.7M 1491 XXXX 1811```
```17Apr   3.5M 1635 XXXX 2141```
```27Feb     3M 1491 XXXX 2012```
```------------2024-----------```
```18Dec  2.88M 1491 XXXX 1932```
```06Nov  2.85M 1491 XXXX 1911```
```10Oct   2.6M 1491 XXXX 1744```
```28Mar   3.4M 1635 XX03 2080```
```------------2023-----------```
```19Dec 3.845M 1635 XX03 2352```
```22Jun   2.6M 1491 XX01 1744```
```13Mar  2.24M 1491 XX01 1502```
```09Jan 2.275M 1491 XX01 1526```
```------------2022-----------```
```19Dec  2.92M 1635 XX03 1786```
```15Dec   2.4M 1491 XX01 1610```
```12Dec   2.2M 1491 XX01 1476```
```10Nov  1.95M 1491 XX01 1308```
```08Nov   2.8M 1638 XX03 1709```
```02Nov  2.75M 1635 XX03 1682```
```02Nov 2.125M 1497 XX01 1420```
```13Jun   2.1M 1491 XX01 1408```
```04Apr     2M 1491 XX01 1341```
```------------2021-----------```
```14Oct  1.73M 1491 XX01 1160```
```29Sep   2.7M 1635 XX03 1651```
```16Sep   2.3M 1635 XX03 1407```
_Source: DLD, Databot_
_BUA - built-up area, sq.ft._
_P/sf - price per sq.ft._
_B - bedrooms; O - office_
_M - million, K- thousand_
_S - studio, R - shop_
_*Max 30 latest transactions_
www.trydatabot.com</t>
  </si>
  <si>
    <t>1013037, *MARKET</t>
  </si>
  <si>
    <t>*MARKET*
*SNAPSHOT*
*SOUTH RIDGE 1*
_Area: Downtown_
_Type: 2 bedroom apartment_
*Price dynamics, Dirham/sq.ft.*
_(M - median value)_
```2352|       *            * ```
```    |                  **  ```
```    |             *        ```
```    |        *   *         ```
```1911|---------------------M```
```    |          **   ***    ```
```    |   *          *       ```
```    |      *  *            ```
```    |  *                  *```
```    | *  **                ```
```1308|*                     ```
```____|______________________```
```    |Nov2022        Nov2025```
_Source: see table below_
*Latest sales transactions*
```Date   Price  BUA Type P/sf```
```------------2025-----------```
```18Nov   2.5M 1497 XXXX 1670```
```23Sep 3.825M 1635 XXXX 2339```
```10Jun  3.65M 1635 XXXX 2232```
```03Jun  3.75M 1635 XXXX 2294```
```15May  2.85M 1491 XXXX 1911```
```13May   2.9M 1491 XXXX 1945```
```01May  2.95M 1491 XXXX 1979```
```29Apr   2.7M 1491 XXXX 1811```
```17Apr   3.5M 1635 XXXX 2141```
```27Feb     3M 1491 XXXX 2012```
```------------2024-----------```
```18Dec  2.88M 1491 XXXX 1932```
```06Nov  2.85M 1491 XXXX 1911```
```10Oct   2.6M 1491 XXXX 1744```
```28Mar   3.4M 1635 XX03 2080```
```------------2023-----------```
```19Dec 3.845M 1635 XX03 2352```
```22Jun   2.6M 1491 XX01 1744```
```13Mar  2.24M 1491 XX01 1502```
```09Jan 2.275M 1491 XX01 1526```
```------------2022-----------```
```19Dec  2.92M 1635 XX03 1786```
```15Dec   2.4M 1491 XX01 1610```
```12Dec   2.2M 1491 XX01 1476```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</si>
  <si>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1013040, *SALES*</t>
  </si>
  <si>
    <t>*SALES*
*TRANSACTIONS**
*SOUTH RIDGE 1*
_Area: Downtown_
_Type: 3 bedroom apartment_
```Date   Price  BUA Type P/sf```
```------------2025-----------```
```11Sep  4.95M 2102 XXXX 2355```
```25Aug   5.9M 2102 XXXX 2807```
```10Jan   4.5M 2102 XXXX 2141```
```------------2024-----------```
```13Nov     5M 1974 XXXX 2533```
```01Nov   4.8M 2102 XXXX 2284```
```13Jun   4.7M 2102 XX02 2236```
```------------2023-----------```
```23Nov   4.6M 2102 XX02 2188```
```20Jul  4.25M 2102 XX02 2022```
```06Jun  3.25M 2102 XX02 1546```
```29May  3.65M 2102 XX02 1736```
```------------2022-----------```
```26Dec   3.6M 1962 XX02 1835```
```22Jun     3M 2108 XX02 1423```
```14Jun 3.325M 2102 XX02 1582```
```01Jun     7M 3621 XX02 1933```
```08Apr     3M 2102 XX02 1427```
```------------2021-----------```
```20Dec  2.97M 2102 XX02 1413```
```20Oct  3.35M 2102 XX02 1594```
```12Oct     3M 2102 XX02 1427```
```30Jun  3.03M 2102 XX02 1441```
```22Mar   2.5M 2102 XX02 1189```
```------------2020-----------```
```06Aug   2.1M 2102 XX02  999```
```------------2019-----------```
```07Oct 2.225M 2102 XX02 1059```
```02Jul     3M 2102 XX02 1427```
```------------2018-----------```
```04Dec   2.9M 2102 XX02 1380```
```12Apr   3.5M 2102 XX02 1665```
_Source: DLD, Databot_
_BUA - built-up area, sq.ft._
_P/sf - price per sq.ft._
_B - bedrooms; O - office_
_M - million, K- thousand_
_S - studio, R - shop_
_*Max 30 latest transactions_
www.trydatabot.com</t>
  </si>
  <si>
    <t>1013041, *MARKET</t>
  </si>
  <si>
    <t>*MARKET*
*SNAPSHOT*
*SOUTH RIDGE 1*
_Area: Downtown_
_Type: 3 bedroom apartment_
*Price dynamics, Dirham/sq.ft.*
_(M - median value)_
```2807|                    * ```
```    |                      ```
```    |                  *  *```
```    |               ***    ```
```    |              *    *  ```
```    |        *  *          ```
```1665|---------------------M```
```    |            *         ```
```    |     *   *   *        ```
```    |  *** **  *           ```
```999 |**                    ```
```____|______________________```
```    |Oct2019        Sep2025```
_Source: see table below_
*Latest sales transactions*
```Date   Price  BUA Type P/sf```
```------------2025-----------```
```11Sep  4.95M 2102 XXXX 2355```
```25Aug   5.9M 2102 XXXX 2807```
```10Jan   4.5M 2102 XXXX 2141```
```------------2024-----------```
```13Nov     5M 1974 XXXX 2533```
```01Nov   4.8M 2102 XXXX 2284```
```13Jun   4.7M 2102 XX02 2236```
```------------2023-----------```
```23Nov   4.6M 2102 XX02 2188```
```20Jul  4.25M 2102 XX02 2022```
```06Jun  3.25M 2102 XX02 1546```
```29May  3.65M 2102 XX02 1736```
```------------2022-----------```
```26Dec   3.6M 1962 XX02 1835```
```22Jun     3M 2108 XX02 1423```
```14Jun 3.325M 2102 XX02 1582```
```01Jun     7M 3621 XX02 1933```
```08Apr     3M 2102 XX02 1427```
```------------2021-----------```
```20Dec  2.97M 2102 XX02 1413```
```20Oct  3.35M 2102 XX02 1594```
```12Oct     3M 2102 XX02 1427```
```30Jun  3.03M 2102 XX02 1441```
```22Mar   2.5M 2102 XX02 1189```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</si>
  <si>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1013077, *SALES*</t>
  </si>
  <si>
    <t>*SALES*
*TRANSACTIONS**
*SOUTH RIDGE 1*
_Area: Downtown_
_All types/bedrooms_
```Date    Price   BUA  Type B```
```------------2025-----------```
```18Nov    2.5M  1497  XXXX 2```
```05Nov  1.825M   915  XXXX 1```
```23Sep  3.825M  1635  XXXX 2```
```17Sep    1.9M   959  XXXX 1```
```11Sep   4.95M  2102  XXXX 3```
```25Aug    5.9M  2102  XXXX 3```
```01Jul  1.935M  1060  XXXX 1```
```10Jun   3.65M  1635  XXXX 2```
```03Jun   3.75M  1635  XXXX 2```
```15May    1.8M  1060  XXXX 1```
```15May   2.85M  1491  XXXX 2```
```13May    2.9M  1491  XXXX 2```
```07May  1.775M   915  XXXX 1```
```01May   2.95M  1491  XXXX 2```
```29Apr      2M  1060  XXXX 1```
```29Apr    2.7M  1491  XXXX 2```
```17Apr    3.5M  1635  XXXX 2```
```28Feb   1.85M  1060  XXXX 1```
```27Feb      3M  1491  XXXX 2```
```10Jan    4.5M  2102  XXXX 3```
```09Jan  2.125M   915  XXXX 1```
```02Jan  1.925M  1055  XXXX 1```
```------------2024-----------```
```18Dec   2.88M  1491  XXXX 2```
```14Nov   2.23M   915  XXXX 1```
```13Nov      5M  1974  XXXX 3```
```06Nov   2.85M  1491  XXXX 2```
```01Nov    4.8M  2102  XXXX 3```
```10Oct      2M  1060  XXXX 1```
```10Oct    2.6M  1491  XXXX 2```
```02Oct  1.625M  1060  XXXX 1```
_Source: DLD, Databot_
_BUA - built-up area, sq.ft._
_P/sf - price per sq.ft._
_B - bedrooms; O - office_
_M - million, K- thousand_
_S - studio, R - shop_
_*Max 30 latest transactions_
www.trydatabot.com</t>
  </si>
  <si>
    <t>1013078, by code, *BUILDI</t>
  </si>
  <si>
    <t xml:space="preserve">*BUILDING*
*PROFILE*
*SOUTH RIDGE 1*
_Area: Downtown_
_Tap&amp;hold to copy a reply_
```-------------------------```
```Report              Reply```
```-------------------------```
*1 B/R*
```Sales, ROI        1013032```
```Price chart       1013033```
```Rentals               n/a```
*2 B/R*
```Sales, ROI        1013036```
```Price chart       1013037```
```Rentals               n/a```
*3 B/R*
```Sales, ROI        1013040```
```Price chart       1013041```
```Rentals               n/a```
*All types/bedrooms*
```Sales, ROI        1013077```
```Rentals               n/a```
</t>
  </si>
  <si>
    <t>1013096, *SALES*</t>
  </si>
  <si>
    <t>*SALES*
*TRANSACTIONS**
*SOUTH RIDGE 2*
_Area: Downtown_
_Type: 1 bedroom apartment_
```Date   Price  BUA Type P/sf```
```------------2025-----------```
```04Sep   2.1M  936 XX09 2244```
```01Aug 2.215M 1089 XXXX 2034```
```14May 1.596M 1089 XXXX 1466```
```08May  2.06M 1089 XXXX 1892```
```07Apr  2.25M 1089 XXXX 2066```
```29Jan  1.86M 1129 XXXX 1647```
```------------2024-----------```
```08Aug  1.65M  936 XX09 1763```
```10Jun  1.95M 1129 XX03 1727```
```25Apr  1.95M 1089 XX05 1791```
```07Mar 1.425M 1072 XX03 1329```
```20Feb 1.875M 1089 XX05 1722```
```16Jan   1.4M  936 XX04 1496```
```------------2023-----------```
```12Dec  1.64M 1129 XX03 1453```
```27Sep 1.327M 1089 XX05 1218```
```25Sep 1.875M 1089 XX05 1722```
```22Aug  1.26M 1023 XX01 1232```
```09Aug   1.5M 1129 XX03 1329```
```26Jul   800K 1129 XX03  709```
```18Jul  1.55M 1129 XX03 1373```
```05Jul 1.334M  875 XX04 1525```
```20Jun  1.48M 1129 XX03 1311```
```16Jun 1.825M 1089 XX05 1676```
```16Jun  1.32M  936 XX04 1410```
```24Mar 1.485M 1129 XX03 1315```
```05Jan   1.3M  936 XX04 1389```
```------------2022-----------```
```30Nov  1.41M 1129 XX03 1249```
```15Sep   1.5M 1129 XX03 1329```
```10Aug  1.25M 1129 XX03 1107```
```12Apr 1.157M  936 XX04 1236```
```02Feb  1.55M 1089 XX05 1423```
_Source: DLD, Databot_
_BUA - built-up area, sq.ft._
_P/sf - price per sq.ft._
_B - bedrooms; O - office_
_M - million, K- thousand_
_S - studio, R - shop_
_*Max 30 latest transactions_
www.trydatabot.com</t>
  </si>
  <si>
    <t>South Ridge 2</t>
  </si>
  <si>
    <t>1013097, *MARKET</t>
  </si>
  <si>
    <t>*MARKET*
*SNAPSHOT*
*SOUTH RIDGE 2*
_Area: Downtown_
_Type: 1 bedroom apartment_
*Price dynamics, Dirham/sq.ft.*
_(M - median value)_
```2244|                     *```
```    |                 *  * ```
```    |                  *   ```
```    |       *   * ***      ```
```1586|---------------------M```
```    |*               *     ```
```    |  *      **        *  ```
```    | * * *      *         ```
```    |      * *             ```
```    |                      ```
```709 |    *                 ```
```____|______________________```
```    |Jun2023        Sep2025```
_Source: see table below_
*Latest sales transactions*
```Date   Price  BUA Type P/sf```
```------------2025-----------```
```04Sep   2.1M  936 XX09 2244```
```01Aug 2.215M 1089 XXXX 2034```
```14May 1.596M 1089 XXXX 1466```
```08May  2.06M 1089 XXXX 1892```
```07Apr  2.25M 1089 XXXX 2066```
```29Jan  1.86M 1129 XXXX 1647```
```------------2024-----------```
```08Aug  1.65M  936 XX09 1763```
```10Jun  1.95M 1129 XX03 1727```
```25Apr  1.95M 1089 XX05 1791```
```07Mar 1.425M 1072 XX03 1329```
```20Feb 1.875M 1089 XX05 1722```
```16Jan   1.4M  936 XX04 1496```
```------------2023-----------```
```12Dec  1.64M 1129 XX03 1453```
```27Sep 1.327M 1089 XX05 1218```
```25Sep 1.875M 1089 XX05 1722```
```22Aug  1.26M 1023 XX01 1232```
```09Aug   1.5M 1129 XX03 1329```
```26Jul   800K 1129 XX03  709```
```18Jul  1.55M 1129 XX03 1373```
```05Jul 1.334M  875 XX04 1525```
```20Jun  1.48M 1129 XX03 1311```
```16Jun 1.825M 1089 XX05 1676```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</si>
  <si>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1013100, *SALES*</t>
  </si>
  <si>
    <t>*SALES*
*TRANSACTIONS**
*SOUTH RIDGE 2*
_Area: Downtown_
_Type: 2 bedroom apartment_
```Date   Price  BUA Type P/sf```
```------------2025-----------```
```17Sep  1.77M 1622 XXXX 1091```
```23Apr  3.76M 1679 XXXX 2239```
```18Apr  3.57M 1679 XXXX 2126```
```21Feb  3.25M 1574 XXXX 2065```
```20Feb  3.16M 1622 XXXX 1948```
```05Feb   3.6M 1622 XXXX 2219```
```------------2024-----------```
```12Sep 3.375M 1679 XXXX 2010```
```28Aug 3.375M 1622 XXXX 2081```
```03Jul  3.05M 1622 XXXX 1880```
```14May  3.15M 1679 XX02 1876```
```29Apr   2.7M 1622 XX01 1665```
```05Jan     3M 1679 XX02 1787```
```------------2023-----------```
```11Dec  3.55M 1464 XX02 2425```
```11Aug 1.475M 1679 XX02  878```
```20Jul  2.75M 1622 XX01 1695```
```14Jul 2.825M 1679 XX02 1683```
```21Jun  2.85M 1622 XX01 1757```
```08May 1.335M 1679 XX02  795```
```25Jan     2M 1679 XX02 1191```
```------------2022-----------```
```23Nov 2.825M 1679 XX02 1683```
```05Jul 2.104M 1679 XX02 1253```
```19May  2.55M 1622 XX01 1572```
```19May   2.7M 1679 XX02 1608```
```07Feb  2.45M 1679 XX02 1459```
```------------2021-----------```
```14Nov 2.099M 1679 XX02 1250```
```03Mar   1.8M 1622 XX01 1110```
```------------2020-----------```
```07Jun   2.3M 1622 XX01 1418```
```18Feb  1.95M 1679 XX02 1161```
```------------2019-----------```
```27Aug     2M 1622 XX01 1233```
```06May  2.15M 1679 XX02 1281```
_Source: DLD, Databot_
_BUA - built-up area, sq.ft._
_P/sf - price per sq.ft._
_B - bedrooms; O - office_
_M - million, K- thousand_
_S - studio, R - shop_
_*Max 30 latest transactions_
www.trydatabot.com</t>
  </si>
  <si>
    <t>1013101, *MARKET</t>
  </si>
  <si>
    <t>*MARKET*
*SNAPSHOT*
*SOUTH RIDGE 2*
_Area: Downtown_
_Type: 2 bedroom apartment_
*Price dynamics, Dirham/sq.ft.*
_(M - median value)_
```2425|         *            ```
```    |                *   * ```
```    |              *   **  ```
```    |            ** * *    ```
```1772|---------------------M```
```    |     * *  *           ```
```    |* *   *    *          ```
```    |                      ```
```    | *                    ```
```    |   *                 *```
```795 |    *   *             ```
```____|______________________```
```    |May2022        Sep2025```
_Source: see table below_
*Latest sales transactions*
```Date   Price  BUA Type P/sf```
```------------2025-----------```
```17Sep  1.77M 1622 XXXX 1091```
```23Apr  3.76M 1679 XXXX 2239```
```18Apr  3.57M 1679 XXXX 2126```
```21Feb  3.25M 1574 XXXX 2065```
```20Feb  3.16M 1622 XXXX 1948```
```05Feb   3.6M 1622 XXXX 2219```
```------------2024-----------```
```12Sep 3.375M 1679 XXXX 2010```
```28Aug 3.375M 1622 XXXX 2081```
```03Jul  3.05M 1622 XXXX 1880```
```14May  3.15M 1679 XX02 1876```
```29Apr   2.7M 1622 XX01 1665```
```05Jan     3M 1679 XX02 1787```
```------------2023-----------```
```11Dec  3.55M 1464 XX02 2425```
```11Aug 1.475M 1679 XX02  878```
```20Jul  2.75M 1622 XX01 1695```
```14Jul 2.825M 1679 XX02 1683```
```21Jun  2.85M 1622 XX01 1757```
```08May 1.335M 1679 XX02  795```
```25Jan     2M 1679 XX02 1191```
```------------2022-----------```
```23Nov 2.825M 1679 XX02 1683```
```05Jul 2.104M 1679 XX02 1253```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</si>
  <si>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1013104, *SALES*</t>
  </si>
  <si>
    <t>*SALES*
*TRANSACTIONS**
*SOUTH RIDGE 2*
_Area: Downtown_
_Type: 3 bedroom apartment_
```Date   Price  BUA Type P/sf```
```------------2024-----------```
```02Jul  4.95M 2823 XXXX 1753```
```------------2019-----------```
```02Oct  3.03M 2823 XX02 1073```
_Source: DLD, Databot_
_BUA - built-up area, sq.ft._
_P/sf - price per sq.ft._
_B - bedrooms; O - office_
_M - million, K- thousand_
_S - studio, R - shop_
_*Max 30 latest transactions_
www.trydatabot.com</t>
  </si>
  <si>
    <t>1013105, *MARKET</t>
  </si>
  <si>
    <t>*MARKET*
*SNAPSHOT*
*SOUTH RIDGE 2*
_Area: Downtown_
_Type: 3 bedroom apartment_
*Price dynamics, Dirham/sq.ft.*
_(M - median value)_
```1753|                     *```
```    |                      ```
```    |                      ```
```    |                      ```
```    |                      ```
```1413|---------------------M```
```    |                      ```
```    |                      ```
```    |                      ```
```    |                      ```
```1073|                    * ```
```____|______________________```
```    |Oct2019        Jul2024```
_Source: see table below_
*Latest sales transactions*
```Date   Price  BUA Type P/sf```
```------------2024-----------```
```02Jul  4.95M 2823 XXXX 1753```
```------------2019-----------```
```02Oct  3.03M 2823 XX02 1073```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</si>
  <si>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1013141, *SALES*</t>
  </si>
  <si>
    <t>*SALES*
*TRANSACTIONS**
*SOUTH RIDGE 2*
_Area: Downtown_
_All types/bedrooms_
```Date    Price   BUA  Type B```
```------------2025-----------```
```17Sep   1.77M  1622  XXXX 2```
```04Sep    2.1M   936  XX09 1```
```01Aug  2.215M  1089  XXXX 1```
```14May  1.596M  1089  XXXX 1```
```08May   2.06M  1089  XXXX 1```
```23Apr   3.76M  1679  XXXX 2```
```18Apr   3.57M  1679  XXXX 2```
```07Apr   2.25M  1089  XXXX 1```
```21Feb   3.25M  1574  XXXX 2```
```20Feb   3.16M  1622  XXXX 2```
```05Feb    3.6M  1622  XXXX 2```
```29Jan   1.86M  1129  XXXX 1```
```------------2024-----------```
```12Sep  3.375M  1679  XXXX 2```
```28Aug  3.375M  1622  XXXX 2```
```08Aug   1.65M   936  XX09 1```
```03Jul   3.05M  1622  XXXX 2```
```02Jul   4.95M  2823  XXXX 3```
```10Jun   1.95M  1129  XX03 1```
```14May   3.15M  1679  XX02 2```
```29Apr    2.7M  1622  XX01 2```
```25Apr   1.95M  1089  XX05 1```
```07Mar  1.425M  1072  XX03 1```
```20Feb  1.875M  1089  XX05 1```
```16Jan    1.4M   936  XX04 1```
```05Jan      3M  1679  XX02 2```
```------------2023-----------```
```12Dec   1.64M  1129  XX03 1```
```11Dec   3.55M  1464  XX02 2```
```27Sep  1.327M  1089  XX05 1```
```25Sep  1.875M  1089  XX05 1```
```22Aug   1.26M  1023  XX01 1```
_Source: DLD, Databot_
_BUA - built-up area, sq.ft._
_P/sf - price per sq.ft._
_B - bedrooms; O - office_
_M - million, K- thousand_
_S - studio, R - shop_
_*Max 30 latest transactions_
www.trydatabot.com</t>
  </si>
  <si>
    <t>1013142, by code, *BUILDI</t>
  </si>
  <si>
    <t xml:space="preserve">*BUILDING*
*PROFILE*
*SOUTH RIDGE 2*
_Area: Downtown_
_Tap&amp;hold to copy a reply_
```-------------------------```
```Report              Reply```
```-------------------------```
*1 B/R*
```Sales, ROI        1013096```
```Price chart       1013097```
```Rentals               n/a```
*2 B/R*
```Sales, ROI        1013100```
```Price chart       1013101```
```Rentals               n/a```
*3 B/R*
```Sales, ROI        1013104```
```Price chart       1013105```
```Rentals               n/a```
*All types/bedrooms*
```Sales, ROI        1013141```
```Rentals               n/a```
</t>
  </si>
  <si>
    <t>1013156, *SALES*</t>
  </si>
  <si>
    <t>*SALES*
*TRANSACTIONS**
*SOUTH RIDGE 3*
_Area: Downtown_
_Type: studio apartment_
```Date   Price  BUA Type P/sf```
```------------2024-----------```
```23Oct  1.35M  731 XXXX 1847```
```------------2021-----------```
```23Sep 988.9K  731 XXXX 1353```
_Source: DLD, Databot_
_BUA - built-up area, sq.ft._
_P/sf - price per sq.ft._
_B - bedrooms; O - office_
_M - million, K- thousand_
_S - studio, R - shop_
_*Max 30 latest transactions_
www.trydatabot.com</t>
  </si>
  <si>
    <t>South Ridge 3</t>
  </si>
  <si>
    <t>1013157, *MARKET</t>
  </si>
  <si>
    <t>*MARKET*
*SNAPSHOT*
*SOUTH RIDGE 3*
_Area: Downtown_
_Type: studio apartment_
*Price dynamics, Dirham/sq.ft.*
_(M - median value)_
```1847|                     *```
```    |                      ```
```    |                      ```
```    |                      ```
```    |                      ```
```1600|---------------------M```
```    |                      ```
```    |                      ```
```    |                      ```
```    |                      ```
```1353|                    * ```
```____|______________________```
```    |Sep2021        Oct2024```
_Source: see table below_
*Latest sales transactions*
```Date   Price  BUA Type P/sf```
```------------2024-----------```
```23Oct  1.35M  731 XXXX 1847```
```------------2021-----------```
```23Sep 988.9K  731 XXXX 1353```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</si>
  <si>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1013160, *SALES*</t>
  </si>
  <si>
    <t>*SALES*
*TRANSACTIONS**
*SOUTH RIDGE 3*
_Area: Downtown_
_Type: 1 bedroom apartment_
```Date   Price  BUA Type P/sf```
```------------2025-----------```
```15Dec     2M  974 XXXX 2053```
```23Oct 1.995M 1025 XXXX 1946```
```04Sep 1.725M  974 XXXX 1771```
```16Jul  2.05M 1025 XXXX 2000```
```27May   2.1M  857 XXXX 2450```
```01May   2.1M  985 XXXX 2132```
```18Feb  2.15M 1525 XXXX 1410```
```08Jan  1.73M  985 XXXX 1756```
```------------2024-----------```
```04Dec  1.78M 1025 XXXX 1737```
```21Nov   1.8M  985 XXXX 1827```
```08Oct  1.83M 1025 XXXX 1785```
```30Sep 1.765M 1025 XXXX 1722```
```30Jul  1.75M  985 XXXX 1777```
```11Jun   1.8M  974 XX05 1848```
```20May     2M 1132 XX01 1767```
```01Mar 1.456M  974 XX05 1495```
```22Feb 1.785M 1025 XX03 1741```
```------------2023-----------```
```13Dec  1.54M 1025 XX03 1502```
```27Sep   1.7M 1025 XX03 1659```
```06Sep  1.75M  974 XX05 1797```
```12Jul  1.44M  974 XX05 1478```
```07Jun  1.61M 1025 XX03 1571```
```12May  1.45M  974 XX05 1489```
```09Jan   1.4M 1025 XX03 1366```
```------------2022-----------```
```11Oct  1.38M  985 XX04 1401```
```17Jun 1.425M 1025 XX03 1390```
```01Jun  1.16M  857 XX02 1354```
```23May   1.3M  985 XX04 1320```
```------------2021-----------```
```28Dec   1.3M 1025 XX03 1268```
```31Aug  1.18M  985 XX04 1198```
_Source: DLD, Databot_
_BUA - built-up area, sq.ft._
_P/sf - price per sq.ft._
_B - bedrooms; O - office_
_M - million, K- thousand_
_S - studio, R - shop_
_*Max 30 latest transactions_
www.trydatabot.com</t>
  </si>
  <si>
    <t>1013161, *MARKET</t>
  </si>
  <si>
    <t>*MARKET*
*SNAPSHOT*
*SOUTH RIDGE 3*
_Area: Downtown_
_Type: 1 bedroom apartment_
*Price dynamics, Dirham/sq.ft.*
_(M - median value)_
```2450|                 *    ```
```    |                      ```
```    |                      ```
```    |                *     ```
```    |                  *  *```
```    |                    * ```
```    |  *     ** **         ```
```1769|---------------------M```
```    |     * *  *  **    *  ```
```    |*  *                  ```
```1410| *  * *        *      ```
```____|______________________```
```    |Jun2023        Dec2025```
_Source: see table below_
*Latest sales transactions*
```Date   Price  BUA Type P/sf```
```------------2025-----------```
```15Dec     2M  974 XXXX 2053```
```23Oct 1.995M 1025 XXXX 1946```
```04Sep 1.725M  974 XXXX 1771```
```16Jul  2.05M 1025 XXXX 2000```
```27May   2.1M  857 XXXX 2450```
```01May   2.1M  985 XXXX 2132```
```18Feb  2.15M 1525 XXXX 1410```
```08Jan  1.73M  985 XXXX 1756```
```------------2024-----------```
```04Dec  1.78M 1025 XXXX 1737```
```21Nov   1.8M  985 XXXX 1827```
```08Oct  1.83M 1025 XXXX 1785```
```30Sep 1.765M 1025 XXXX 1722```
```30Jul  1.75M  985 XXXX 1777```
```11Jun   1.8M  974 XX05 1848```
```20May     2M 1132 XX01 1767```
```01Mar 1.456M  974 XX05 1495```
```22Feb 1.785M 1025 XX03 1741```
```------------2023-----------```
```13Dec  1.54M 1025 XX03 1502```
```27Sep   1.7M 1025 XX03 1659```
```06Sep  1.75M  974 XX05 1797```
```12Jul  1.44M  974 XX05 1478```
```07Jun  1.61M 1025 XX03 1571```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</si>
  <si>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1013164, *SALES*</t>
  </si>
  <si>
    <t>*SALES*
*TRANSACTIONS**
*SOUTH RIDGE 3*
_Area: Downtown_
_Type: 2 bedroom apartment_
```Date   Price  BUA Type P/sf```
```------------2025-----------```
```09Sep  3.58M 1663 XXXX 2153```
```26Jun  2.65M 1560 XXXX 1699```
```12Jun  3.55M 1663 XXXX 2135```
```27Mar 3.775M 1663 XXXX 2270```
```28Feb  3.74M 1663 XXXX 2249```
```------------2024-----------```
```02Oct   3.6M 1663 XXXX 2165```
```06Sep  3.15M 1560 XXXX 2019```
```15Jul  2.65M 1560 XXXX 1699```
```11Jul   3.2M 1560 XXXX 2051```
```28Jun   3.2M 1560 XXXX 2051```
```20May   2.7M 1663 XX01 1624```
```19Apr     3M 1663 XXXX 1804```
```11Mar  3.35M 1663 XX01 2014```
```23Feb  3.25M 1560 XX02 2083```
```15Jan   4.7M 2434 XX02 1931```
```15Jan   3.1M 1560 XX02 1987```
```------------2023-----------```
```20Nov   3.3M 1560 XX02 2115```
```02Nov  2.45M 1742 XX03 1406```
```25Sep     3M 1663 XX01 1804```
```------------2022-----------```
```06Dec  2.55M 1663 XX01 1533```
```28Nov 2.575M 1560 XX02 1651```
```24Oct  2.65M 1560 XX02 1699```
```11Oct 2.727M 1663 XX01 1640```
```08Aug   150K 1663 XX01   90```
```------------2021-----------```
```14Feb 2.025M 1560 XX02 1298```
```------------2020-----------```
```09Dec  1.85M 1560 XX02 1186```
```09Nov   1.7M 1560 XX02 1090```
```28Oct  1.65M 1663 XX01  992```
```09Sep 1.285M 1417 XX04  907```
```------------2018-----------```
```11Dec   2.2M 1663 XX01 1323```
_Source: DLD, Databot_
_BUA - built-up area, sq.ft._
_P/sf - price per sq.ft._
_B - bedrooms; O - office_
_M - million, K- thousand_
_S - studio, R - shop_
_*Max 30 latest transactions_
www.trydatabot.com</t>
  </si>
  <si>
    <t>1013165, *MARKET</t>
  </si>
  <si>
    <t>*MARKET*
*SNAPSHOT*
*SOUTH RIDGE 3*
_Area: Downtown_
_Type: 2 bedroom apartment_
*Price dynamics, Dirham/sq.ft.*
_(M - median value)_
```2270|                 **   ```
```    |                *    *```
```    |     *  *          *  ```
```2001|---------------------M```
```    |      *  *  ** *      ```
```    |       *              ```
```    |   *      *           ```
```    |                      ```
```    |**            *     * ```
```    |  *        *          ```
```1406|    *                 ```
```____|______________________```
```    |Oct2022        Sep2025```
_Source: see table below_
*Latest sales transactions*
```Date   Price  BUA Type P/sf```
```------------2025-----------```
```09Sep  3.58M 1663 XXXX 2153```
```26Jun  2.65M 1560 XXXX 1699```
```12Jun  3.55M 1663 XXXX 2135```
```27Mar 3.775M 1663 XXXX 2270```
```28Feb  3.74M 1663 XXXX 2249```
```------------2024-----------```
```02Oct   3.6M 1663 XXXX 2165```
```06Sep  3.15M 1560 XXXX 2019```
```15Jul  2.65M 1560 XXXX 1699```
```11Jul   3.2M 1560 XXXX 2051```
```28Jun   3.2M 1560 XXXX 2051```
```20May   2.7M 1663 XX01 1624```
```19Apr     3M 1663 XXXX 1804```
```11Mar  3.35M 1663 XX01 2014```
```23Feb  3.25M 1560 XX02 2083```
```15Jan   4.7M 2434 XX02 1931```
```15Jan   3.1M 1560 XX02 1987```
```------------2023-----------```
```20Nov   3.3M 1560 XX02 2115```
```02Nov  2.45M 1742 XX03 1406```
```25Sep     3M 1663 XX01 1804```
```------------2022-----------```
```06Dec  2.55M 1663 XX01 1533```
```28Nov 2.575M 1560 XX02 1651```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</si>
  <si>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1013168, *SALES*</t>
  </si>
  <si>
    <t>*SALES*
*TRANSACTIONS**
*SOUTH RIDGE 3*
_Area: Downtown_
_Type: 3 bedroom apartment_
```Date   Price  BUA Type P/sf```
```------------2022-----------```
```09Sep   6.3M 3322 XX01 1896```
_Source: DLD, Databot_
_BUA - built-up area, sq.ft._
_P/sf - price per sq.ft._
_B - bedrooms; O - office_
_M - million, K- thousand_
_S - studio, R - shop_
_*Max 30 latest transactions_
www.trydatabot.com</t>
  </si>
  <si>
    <t>1013169, *MARKET</t>
  </si>
  <si>
    <t>*MARKET*
*SNAPSHOT*
*SOUTH RIDGE 3*
_Area: Downtown_
_Type: 3 bedroom apartment_
*Price dynamics, Dirham/sq.ft.*
_(M - median value)_
```1896|                     *```
```1896|----------------------```
```    |                     *```
```1896|---------------------M```
```    |                     *```
```1896|---------------------M```
```    |                     *```
```1896|---------------------M```
```    |                     *```
```1896|---------------------M```
```    |                     *```
```____|______________________```
```    |Sep2022        Sep2022```
_Source: see table below_
*Latest sales transactions*
```Date   Price  BUA Type P/sf```
```------------2022-----------```
```09Sep   6.3M 3322 XX01 1896```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</si>
  <si>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1013205, *SALES*</t>
  </si>
  <si>
    <t>*SALES*
*TRANSACTIONS**
*SOUTH RIDGE 3*
_Area: Downtown_
_All types/bedrooms_
```Date    Price   BUA  Type B```
```------------2025-----------```
```15Dec      2M   974  XXXX 1```
```23Oct  1.995M  1025  XXXX 1```
```09Sep   3.58M  1663  XXXX 2```
```04Sep  1.725M   974  XXXX 1```
```16Jul   2.05M  1025  XXXX 1```
```26Jun   2.65M  1560  XXXX 2```
```12Jun   3.55M  1663  XXXX 2```
```27May    2.1M   857  XXXX 1```
```01May    2.1M   985  XXXX 1```
```27Mar  3.775M  1663  XXXX 2```
```28Feb   3.74M  1663  XXXX 2```
```18Feb   2.15M  1525  XXXX 1```
```08Jan   1.73M   985  XXXX 1```
```------------2024-----------```
```04Dec   1.78M  1025  XXXX 1```
```21Nov    1.8M   985  XXXX 1```
```23Oct   1.35M   731  XXXX S```
```08Oct   1.83M  1025  XXXX 1```
```02Oct    3.6M  1663  XXXX 2```
```30Sep  1.765M  1025  XXXX 1```
```06Sep   3.15M  1560  XXXX 2```
```30Jul   1.75M   985  XXXX 1```
```15Jul   2.65M  1560  XXXX 2```
```11Jul    3.2M  1560  XXXX 2```
```28Jun    3.2M  1560  XXXX 2```
```11Jun    1.8M   974  XX05 1```
```20May    2.7M  1663  XX01 2```
```20May      2M  1132  XX01 1```
```19Apr      3M  1663  XXXX 2```
```11Mar   3.35M  1663  XX01 2```
```01Mar  1.456M   974  XX05 1```
_Source: DLD, Databot_
_BUA - built-up area, sq.ft._
_P/sf - price per sq.ft._
_B - bedrooms; O - office_
_M - million, K- thousand_
_S - studio, R - shop_
_*Max 30 latest transactions_
www.trydatabot.com</t>
  </si>
  <si>
    <t>1013206, by code, *BUILDI</t>
  </si>
  <si>
    <t xml:space="preserve">*BUILDING*
*PROFILE*
*SOUTH RIDGE 3*
_Area: Downtown_
_Tap&amp;hold to copy a reply_
```-------------------------```
```Report              Reply```
```-------------------------```
*Studio*
```Sales, ROI        1013156```
```Price chart       1013157```
```Rentals               n/a```
*1 B/R*
```Sales, ROI        1013160```
```Price chart       1013161```
```Rentals               n/a```
*2 B/R*
```Sales, ROI        1013164```
```Price chart       1013165```
```Rentals               n/a```
*3 B/R*
```Sales, ROI        1013168```
```Price chart       1013169```
```Rentals               n/a```
*All types/bedrooms*
```Sales, ROI        1013205```
```Rentals               n/a```
</t>
  </si>
  <si>
    <t>1013220, *SALES*</t>
  </si>
  <si>
    <t>*SALES*
*TRANSACTIONS**
*SOUTH RIDGE 4*
_Area: Downtown_
_Type: studio apartment_
```Date   Price  BUA Type P/sf```
```------------2022-----------```
```12Sep  1.13M  768 XXXX 1471```
```------------2021-----------```
```23Sep 988.9K  731 XXXX 1353```
_Source: DLD, Databot_
_BUA - built-up area, sq.ft._
_P/sf - price per sq.ft._
_B - bedrooms; O - office_
_M - million, K- thousand_
_S - studio, R - shop_
_*Max 30 latest transactions_
www.trydatabot.com</t>
  </si>
  <si>
    <t>South Ridge 4</t>
  </si>
  <si>
    <t>1013221, *MARKET</t>
  </si>
  <si>
    <t>*MARKET*
*SNAPSHOT*
*SOUTH RIDGE 4*
_Area: Downtown_
_Type: studio apartment_
*Price dynamics, Dirham/sq.ft.*
_(M - median value)_
```1471|                     *```
```    |                      ```
```    |                      ```
```    |                      ```
```    |                      ```
```1412|---------------------M```
```    |                      ```
```    |                      ```
```    |                      ```
```    |                      ```
```1353|                    * ```
```____|______________________```
```    |Sep2021        Sep2022```
_Source: see table below_
*Latest sales transactions*
```Date   Price  BUA Type P/sf```
```------------2022-----------```
```12Sep  1.13M  768 XXXX 1471```
```------------2021-----------```
```23Sep 988.9K  731 XXXX 1353```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</si>
  <si>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1013224, *SALES*</t>
  </si>
  <si>
    <t>*SALES*
*TRANSACTIONS**
*SOUTH RIDGE 4*
_Area: Downtown_
_Type: 1 bedroom apartment_
```Date   Price  BUA Type P/sf```
```------------2026-----------```
```22Jan   2.2M 1025 XXXX 2146```
```21Jan  1.75M  962 XXXX 1819```
```------------2025-----------```
```24Sep  2.15M  974 XXXX 2207```
```18Sep   1.9M 1025 XXXX 1854```
```11Sep  1.95M  974 XXXX 2002```
```13May  1.95M  974 XXXX 2002```
```02May  1.94M  974 XXXX 1992```
```30Apr  1.85M  985 XXXX 1878```
```11Mar  1.95M 1025 XXXX 1902```
```07Mar  2.05M  974 XXXX 2105```
```------------2024-----------```
```16Aug  2.25M 1487 XXXX 1513```
```26Jan  1.62M 1025 XX03 1580```
```------------2023-----------```
```16Nov 1.675M  974 XX05 1720```
```06Oct  1.63M  985 XX04 1655```
```02Oct 1.675M  974 XX05 1720```
```08Sep 1.685M 1025 XX03 1644```
```16Aug  1.33M  974 XX05 1366```
```28Jul   1.3M  974 XX05 1335```
```19May   1.7M  974 XX05 1745```
```17Jan  1.38M  985 XX04 1401```
```------------2022-----------```
```27May   1.4M  974 XX05 1437```
```09May   1.4M  974 XX05 1437```
```24Mar  1.25M 1025 XX03 1220```
```------------2021-----------```
```28Dec   1.2M  985 XX04 1218```
```26Oct   1.4M  974 XX05 1437```
```18Oct  1.67M 1132 XX01 1475```
```16Jun  1.16M 1025 XX03 1132```
```09Jun   1.2M  974 XX05 1232```
```30Mar  1.22M  974 XX05 1253```
```------------2020-----------```
```28Dec  1.05M 1025 XX03 1024```
_Source: DLD, Databot_
_BUA - built-up area, sq.ft._
_P/sf - price per sq.ft._
_B - bedrooms; O - office_
_M - million, K- thousand_
_S - studio, R - shop_
_*Max 30 latest transactions_
www.trydatabot.com</t>
  </si>
  <si>
    <t>1013225, *MARKET</t>
  </si>
  <si>
    <t>*MARKET*
*SNAPSHOT*
*SOUTH RIDGE 4*
_Area: Downtown_
_Type: 1 bedroom apartment_
*Price dynamics, Dirham/sq.ft.*
_(M - median value)_
```2207|                   *  ```
```    |            *        *```
```    |               ***    ```
```    |                      ```
```    |             **   * * ```
```1733|---------------------M```
```    |   *                  ```
```    |      ****            ```
```    |          *           ```
```    |**         *          ```
```1335|  * **                ```
```____|______________________```
```    |May2022        Jan2026```
_Source: see table below_
*Latest sales transactions*
```Date   Price  BUA Type P/sf```
```------------2026-----------```
```22Jan   2.2M 1025 XXXX 2146```
```21Jan  1.75M  962 XXXX 1819```
```------------2025-----------```
```24Sep  2.15M  974 XXXX 2207```
```18Sep   1.9M 1025 XXXX 1854```
```11Sep  1.95M  974 XXXX 2002```
```13May  1.95M  974 XXXX 2002```
```02May  1.94M  974 XXXX 1992```
```30Apr  1.85M  985 XXXX 1878```
```11Mar  1.95M 1025 XXXX 1902```
```07Mar  2.05M  974 XXXX 2105```
```------------2024-----------```
```16Aug  2.25M 1487 XXXX 1513```
```26Jan  1.62M 1025 XX03 1580```
```------------2023-----------```
```16Nov 1.675M  974 XX05 1720```
```06Oct  1.63M  985 XX04 1655```
```02Oct 1.675M  974 XX05 1720```
```08Sep 1.685M 1025 XX03 1644```
```16Aug  1.33M  974 XX05 1366```
```28Jul   1.3M  974 XX05 1335```
```19May   1.7M  974 XX05 1745```
```17Jan  1.38M  985 XX04 1401```
```------------2022-----------```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</si>
  <si>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1013228, *SALES*</t>
  </si>
  <si>
    <t>*SALES*
*TRANSACTIONS**
*SOUTH RIDGE 4*
_Area: Downtown_
_Type: 2 bedroom apartment_
```Date   Price  BUA Type P/sf```
```------------2025-----------```
```03Nov 3.622M 1742 XXXX 2079```
```13Oct  3.45M 1560 XXXX 2212```
```02Oct   3.6M 1663 XXXX 2165```
```03Sep   3.7M 1663 XXXX 2225```
```23Apr   4.1M 1560 XXXX 2628```
```02Apr 3.175M 1560 XXXX 2035```
```18Feb  3.15M 1560 XXXX 2019```
```------------2024-----------```
```18Sep  3.25M 1663 XXXX 1954```
```06May     3M 1663 XX01 1804```
```27Mar   2.9M 1560 XX02 1859```
```18Jan  3.25M 1560 XX02 2083```
```08Jan 2.362M 1663 XX01 1420```
```------------2023-----------```
```28Dec  2.85M 1663 XX01 1714```
```26Dec   2.7M 1808 XX01 1493```
```14Nov   2.8M 1663 XX01 1684```
```30Oct 3.525M 1560 XX02 2260```
```14Jun  2.95M 1560 XX02 1891```
```09May   3.1M 1663 XX01 1864```
```06Apr  2.75M 1560 XX02 1763```
```03Apr   2.6M 1417 XX04 1835```
```02Feb   2.9M 1663 XX01 1744```
```------------2022-----------```
```15Dec 2.665M 1560 XX02 1708```
```24Nov  2.45M 1560 XX02 1571```
```01Aug   2.5M 1560 XX02 1603```
```------------2021-----------```
```29Sep  2.55M 1663 XX01 1533```
```08Jun   2.2M 1663 XX01 1323```
```02May   2.5M 1560 XX02 1603```
```------------2020-----------```
```17Nov  1.65M 1663 XX01  992```
```06Aug  1.53M 1663 XX01  920```
```02Jul  1.75M 1663 XX01 1052```
_Source: DLD, Databot_
_BUA - built-up area, sq.ft._
_P/sf - price per sq.ft._
_B - bedrooms; O - office_
_M - million, K- thousand_
_S - studio, R - shop_
_*Max 30 latest transactions_
www.trydatabot.com</t>
  </si>
  <si>
    <t>1013229, *MARKET</t>
  </si>
  <si>
    <t>*MARKET*
*SNAPSHOT*
*SOUTH RIDGE 4*
_Area: Downtown_
_Type: 2 bedroom apartment_
*Price dynamics, Dirham/sq.ft.*
_(M - median value)_
```2628|                 *    ```
```    |                      ```
```    |                      ```
```    |      *           * * ```
```    |                   *  ```
```    |           *   **    *```
```1878|---------------------M```
```    |    **      * *       ```
```    | ***         *        ```
```    |*      * *            ```
```1420|        * *           ```
```____|______________________```
```    |Dec2022        Nov2025```
_Source: see table below_
*Latest sales transactions*
```Date   Price  BUA Type P/sf```
```------------2025-----------```
```03Nov 3.622M 1742 XXXX 2079```
```13Oct  3.45M 1560 XXXX 2212```
```02Oct   3.6M 1663 XXXX 2165```
```03Sep   3.7M 1663 XXXX 2225```
```23Apr   4.1M 1560 XXXX 2628```
```02Apr 3.175M 1560 XXXX 2035```
```18Feb  3.15M 1560 XXXX 2019```
```------------2024-----------```
```18Sep  3.25M 1663 XXXX 1954```
```06May     3M 1663 XX01 1804```
```27Mar   2.9M 1560 XX02 1859```
```18Jan  3.25M 1560 XX02 2083```
```08Jan 2.362M 1663 XX01 1420```
```------------2023-----------```
```28Dec  2.85M 1663 XX01 1714```
```26Dec   2.7M 1808 XX01 1493```
```14Nov   2.8M 1663 XX01 1684```
```30Oct 3.525M 1560 XX02 2260```
```14Jun  2.95M 1560 XX02 1891```
```09May   3.1M 1663 XX01 1864```
```06Apr  2.75M 1560 XX02 1763```
```03Apr   2.6M 1417 XX04 1835```
```02Feb   2.9M 1663 XX01 1744```
```------------2022-----------```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</si>
  <si>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1013269, *SALES*</t>
  </si>
  <si>
    <t>*SALES*
*TRANSACTIONS**
*SOUTH RIDGE 4*
_Area: Downtown_
_All types/bedrooms_
```Date    Price   BUA  Type B```
```------------2026-----------```
```22Jan    2.2M  1025  XXXX 1```
```21Jan   1.75M   962  XXXX 1```
```------------2025-----------```
```03Nov  3.622M  1742  XXXX 2```
```13Oct   3.45M  1560  XXXX 2```
```02Oct    3.6M  1663  XXXX 2```
```24Sep   2.15M   974  XXXX 1```
```18Sep    1.9M  1025  XXXX 1```
```11Sep   1.95M   974  XXXX 1```
```03Sep    3.7M  1663  XXXX 2```
```13May   1.95M   974  XXXX 1```
```02May   1.94M   974  XXXX 1```
```30Apr   1.85M   985  XXXX 1```
```23Apr    4.1M  1560  XXXX 2```
```02Apr  3.175M  1560  XXXX 2```
```11Mar   1.95M  1025  XXXX 1```
```07Mar   2.05M   974  XXXX 1```
```18Feb   3.15M  1560  XXXX 2```
```------------2024-----------```
```18Sep   3.25M  1663  XXXX 2```
```16Aug   2.25M  1487  XXXX 1```
```06May      3M  1663  XX01 2```
```27Mar    2.9M  1560  XX02 2```
```26Jan   1.62M  1025  XX03 1```
```18Jan   3.25M  1560  XX02 2```
```08Jan  2.362M  1663  XX01 2```
```------------2023-----------```
```28Dec   2.85M  1663  XX01 2```
```26Dec    2.7M  1808  XX01 2```
```16Nov  1.675M   974  XX05 1```
```14Nov    2.8M  1663  XX01 2```
```30Oct  3.525M  1560  XX02 2```
```06Oct   1.63M   985  XX04 1```
_Source: DLD, Databot_
_BUA - built-up area, sq.ft._
_P/sf - price per sq.ft._
_B - bedrooms; O - office_
_M - million, K- thousand_
_S - studio, R - shop_
_*Max 30 latest transactions_
www.trydatabot.com</t>
  </si>
  <si>
    <t>1013270, by code, *BUILDI</t>
  </si>
  <si>
    <t xml:space="preserve">*BUILDING*
*PROFILE*
*SOUTH RIDGE 4*
_Area: Downtown_
_Tap&amp;hold to copy a reply_
```-------------------------```
```Report              Reply```
```-------------------------```
*Studio*
```Sales, ROI        1013220```
```Price chart       1013221```
```Rentals               n/a```
*1 B/R*
```Sales, ROI        1013224```
```Price chart       1013225```
```Rentals               n/a```
*2 B/R*
```Sales, ROI        1013228```
```Price chart       1013229```
```Rentals               n/a```
*All types/bedrooms*
```Sales, ROI        1013269```
```Rentals               n/a```
</t>
  </si>
  <si>
    <t>1013284, *SALES*</t>
  </si>
  <si>
    <t>*SALES*
*TRANSACTIONS**
*SOUTH RIDGE 5*
_Area: Downtown_
_Type: studio apartment_
```Date   Price  BUA Type P/sf```
```------------2023-----------```
```22May 1.171M  867 XX02 1351```
```------------2022-----------```
```21Nov 1.075M  867 XX02 1240```
_Source: DLD, Databot_
_BUA - built-up area, sq.ft._
_P/sf - price per sq.ft._
_B - bedrooms; O - office_
_M - million, K- thousand_
_S - studio, R - shop_
_*Max 30 latest transactions_
www.trydatabot.com</t>
  </si>
  <si>
    <t>South Ridge 5</t>
  </si>
  <si>
    <t>1013285, *MARKET</t>
  </si>
  <si>
    <t>*MARKET*
*SNAPSHOT*
*SOUTH RIDGE 5*
_Area: Downtown_
_Type: studio apartment_
*Price dynamics, Dirham/sq.ft.*
_(M - median value)_
```1351|                     *```
```    |                      ```
```    |                      ```
```    |                      ```
```    |                      ```
```1296|---------------------M```
```    |                      ```
```    |                      ```
```    |                      ```
```    |                      ```
```1240|                    * ```
```____|______________________```
```    |Nov2022        May2023```
_Source: see table below_
*Latest sales transactions*
```Date   Price  BUA Type P/sf```
```------------2023-----------```
```22May 1.171M  867 XX02 1351```
```------------2022-----------```
```21Nov 1.075M  867 XX02 1240```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</si>
  <si>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1013288, *SALES*</t>
  </si>
  <si>
    <t>*SALES*
*TRANSACTIONS (RESALE)**
*SOUTH RIDGE 5*
_Area: Downtown_
_Type: 1 bedroom apartment_
```Date   Price  BUA Type P/sf```
```------------2025-----------```
```31Oct     2M  933 XXXX 2144```
```14Oct   2.2M 1091 XXXX 2016```
```04Aug   1.7M  933 XXXX 1822```
```10Jun 1.825M 1008 XXXX 1811```
```02Apr 1.825M 1091 XXXX 1673```
```20Jan  1.87M  933 XXXX 2004```
```------------2024-----------```
```23Sep 1.849M 1008 XXXX 1834```
```17Jul 1.875M 1091 XXXX 1719```
```11Jun   1.9M 1091 XX03 1742```
```29May  1.61M  933 XX04 1726```
```29Mar 550.3K 1091 XX03  504```
```22Feb 1.625M  933 XX04 1742```
```12Jan  1.65M  933 XX04 1768```
```------------2023-----------```
```16Aug  1.46M 1091 XX03 1338```
```03Aug  1.65M 1091 XX03 1512```
```19Jun  1.53M 1091 XX03 1402```
```02Mar 1.414M 1243 XX01 1137```
```------------2022-----------```
```01Nov  1.29M  933 XX04 1383```
```26Sep   1.3M 1091 XX03 1192```
```12Sep 1.366M 1091 XX03 1252```
```06Jul 1.475M 1091 XX03 1352```
```22Jun 1.335M  933 XX04 1431```
```25May 1.036M  933 XX04 1110```
```09May 1.102M  933 XX04 1181```
```------------2021-----------```
```15Nov  1.32M 1091 XX03 1210```
```21Jun   920K  868 XX04 1060```
```29Apr  1.06M  933 XX04 1136```
```------------2020-----------```
```16Sep 854.7K  933 XX04  916```
```------------2019-----------```
```01Aug 1.125M 1091 XX03 1031```
```02Jul 1.075M  933 XX04 1152```
_Source: DLD, Databot_
_BUA - built-up area, sq.ft._
_P/sf - price per sq.ft._
_B - bedrooms; O - office_
_M - million, K- thousand_
_S - studio, R - shop_
_*Max 30 latest transactions_
www.trydatabot.com</t>
  </si>
  <si>
    <t>1013289, *MARKET</t>
  </si>
  <si>
    <t>*MARKET*
*SNAPSHOT*
*SOUTH RIDGE 5*
_Area: Downtown_
_Type: 1 bedroom apartment_
*Price dynamics, Dirham/sq.ft.*
_(M - median value)_
```2144|                     *```
```    |                *   * ```
```    |         **  * *  **  ```
```1696|---------------------M```
```    |            * *  *    ```
```    |*      *              ```
```    | ** * * *             ```
```    |   * *                ```
```    |                      ```
```    |                      ```
```504 |           *          ```
```____|______________________```
```    |Jun2022        Oct2025```
_Source: see table below_
*Latest sales transactions*
```Date   Price  BUA Type P/sf```
```------------2025-----------```
```31Oct     2M  933 XXXX 2144```
```14Oct   2.2M 1091 XXXX 2016```
```04Aug   1.7M  933 XXXX 1822```
```10Jun 1.825M 1008 XXXX 1811```
```02Apr 1.825M 1091 XXXX 1673```
```20Jan  1.87M  933 XXXX 2004```
```------------2024-----------```
```23Sep 1.849M 1008 XXXX 1834```
```17Jul 1.875M 1091 XXXX 1719```
```11Jun   1.9M 1091 XX03 1742```
```29May  1.61M  933 XX04 1726```
```29Mar 550.3K 1091 XX03  504```
```22Feb 1.625M  933 XX04 1742```
```12Jan  1.65M  933 XX04 1768```
```------------2023-----------```
```16Aug  1.46M 1091 XX03 1338```
```03Aug  1.65M 1091 XX03 1512```
```19Jun  1.53M 1091 XX03 1402```
```02Mar 1.414M 1243 XX01 1137```
```------------2022-----------```
```01Nov  1.29M  933 XX04 1383```
```26Sep   1.3M 1091 XX03 1192```
```12Sep 1.366M 1091 XX03 1252```
```06Jul 1.475M 1091 XX03 1352```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</si>
  <si>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1013291, *RESELL</t>
  </si>
  <si>
    <t>*RESELL*
*VS PRIMARY*
*SOUTH RIDGE 5*
_Area: Downtown_
_Type: 1 bedroom apartment_
*Price dynamics, Dirham/sq.ft.*
_(x - primary; * - resell)_
```2144|                     *```
```    |          x     *   * ```
```    |             * *  **  ```
```    |            * *  *    ```
```1488|                      ```
```    |                      ```
```    |                      ```
```    |                      ```
```    |                      ```
```504 |           *          ```
```____|______________________```
```    |Dec1899        Oct2025```
_Source: see a table below_
*Latest resell transactions*
```Date   Price  BUA Type P/sf```
```------------2025-----------```
```31Oct     2M  933 XXXX 2144```
```14Oct   2.2M 1091 XXXX 2016```
```04Aug   1.7M  933 XXXX 1822```
```10Jun 1.825M 1008 XXXX 1811```
```02Apr 1.825M 1091 XXXX 1673```
```20Jan  1.87M  933 XXXX 2004```
```------------2024-----------```
```23Sep 1.849M 1008 XXXX 1834```
```17Jul 1.875M 1091 XXXX 1719```
```11Jun   1.9M 1091 XX03 1742```
```29May  1.61M  933 XX04 1726```
```29Mar 550.3K 1091 XX03  504```
```22Feb 1.625M  933 XX04 1742```
```12Jan  1.65M  933 XX04 1768```
```------------2023-----------```
```16Aug  1.46M 1091 XX03 1338```
```03Aug  1.65M 1091 XX03 1512```
```19Jun  1.53M 1091 XX03 1402```
*Latest primary transactions*
```------------2025-----------```
```10Apr   1.9M  933 XXXX 2036```</t>
  </si>
  <si>
    <t>1013292, *SALES*</t>
  </si>
  <si>
    <t>*SALES*
*TRANSACTIONS**
*SOUTH RIDGE 5*
_Area: Downtown_
_Type: 2 bedroom apartment_
```Date   Price  BUA Type P/sf```
```------------2025-----------```
```27Oct   2.8M 1444 XXXX 1939```
```23Sep 2.825M 1450 XXXX 1948```
```18Jul  3.05M 1450 XXXX 2103```
```30Jun     3M 1450 XXXX 2069```
```------------2024-----------```
```06Sep     3M 1450 XXXX 2069```
```23Jan 2.275M 1444 XX05 1575```
```------------2023-----------```
```16Nov   2.3M 1444 XX05 1593```
```20Sep   2.2M 1444 XX05 1524```
```21Aug  2.55M 1450 XX02 1759```
```08Jun   2.6M 1450 XX02 1793```
```19May   2.7M 2066 XX02 1307```
```18May  1.82M 1444 XX05 1260```
```10Jan 1.817M 1444 XX05 1259```
```------------2022-----------```
```07Dec  1.95M 1444 XX05 1350```
```09Sep  2.37M 1450 XX02 1634```
```11Aug     2M 1450 XX02 1379```
```07Jun  2.22M 1450 XX02 1531```
```------------2021-----------```
```08Nov  1.85M 1485 XX02 1246```
```16Sep   1.8M 1444 XX05 1247```
```09May  1.72M 1444 XX05 1191```
```02May  1.54M 1444 XX05 1066```
```26Apr 1.859M 1444 XX05 1287```
```28Mar 1.735M 1450 XX02 1197```
```02Mar   1.7M 1450 XX02 1172```
```01Mar   1.5M 1444 XX05 1039```
```20Jan   1.6M 1450 XX02 1103```
```------------2020-----------```
```30Nov 1.525M 1450 XX02 1052```
```------------2019-----------```
```10Dec 1.451M 1444 XX05 1005```
```17Nov   1.7M 1450 XX02 1172```
```------------2018-----------```
```29Nov     2M 1450 XX02 1379```
_Source: DLD, Databot_
_BUA - built-up area, sq.ft._
_P/sf - price per sq.ft._
_B - bedrooms; O - office_
_M - million, K- thousand_
_S - studio, R - shop_
_*Max 30 latest transactions_
www.trydatabot.com</t>
  </si>
  <si>
    <t>1013293, *MARKET</t>
  </si>
  <si>
    <t>*MARKET*
*SNAPSHOT*
*SOUTH RIDGE 5*
_Area: Downtown_
_Type: 2 bedroom apartment_
*Price dynamics, Dirham/sq.ft.*
_(M - median value)_
```2103|                 ***  ```
```    |                    * ```
```    |                     *```
```    |            **        ```
```    |                      ```
```    |       *       **     ```
```1528|---------------------M```
```    |              *       ```
```    |      * *             ```
```    |* ***    ***          ```
```1066| *                    ```
```____|______________________```
```    |Apr2021        Oct2025```
_Source: see table below_
*Latest sales transactions*
```Date   Price  BUA Type P/sf```
```------------2025-----------```
```27Oct   2.8M 1444 XXXX 1939```
```23Sep 2.825M 1450 XXXX 1948```
```18Jul  3.05M 1450 XXXX 2103```
```30Jun     3M 1450 XXXX 2069```
```------------2024-----------```
```06Sep     3M 1450 XXXX 2069```
```23Jan 2.275M 1444 XX05 1575```
```------------2023-----------```
```16Nov   2.3M 1444 XX05 1593```
```20Sep   2.2M 1444 XX05 1524```
```21Aug  2.55M 1450 XX02 1759```
```08Jun   2.6M 1450 XX02 1793```
```19May   2.7M 2066 XX02 1307```
```18May  1.82M 1444 XX05 1260```
```10Jan 1.817M 1444 XX05 1259```
```------------2022-----------```
```07Dec  1.95M 1444 XX05 1350```
```09Sep  2.37M 1450 XX02 1634```
```11Aug     2M 1450 XX02 1379```
```07Jun  2.22M 1450 XX02 1531```
```------------2021-----------```
```08Nov  1.85M 1485 XX02 1246```
```16Sep   1.8M 1444 XX05 1247```
```09May  1.72M 1444 XX05 1191```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</si>
  <si>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1013296, *SALES*</t>
  </si>
  <si>
    <t>*SALES*
*TRANSACTIONS**
*SOUTH RIDGE 5*
_Area: Downtown_
_Type: 3 bedroom apartment_
```Date   Price  BUA Type P/sf```
```------------2025-----------```
```16Jun  5.16M 1892 XXXX 2727```
```------------2024-----------```
```26Aug   4.2M 1892 XXXX 2220```
```23May  4.25M 1892 XX01 2246```
```29Feb   4.1M 1892 XX01 2167```
```------------2023-----------```
```29Nov     4M 1892 XX01 2114```
```19Apr  3.53M 1892 XX01 1866```
```06Mar  7.65M 3428 XX02 2232```
```------------2022-----------```
```14Dec   2.5M 1892 XX01 1321```
```30Jun 3.053M 1892 XX01 1614```
```14Feb  3.05M 1892 XX01 1612```
```10Feb 2.925M 1892 XX01 1546```
```------------2021-----------```
```04Aug  2.85M 1892 XX01 1506```
```17Jun   2.8M 1892 XX01 1480```
```17May   2.6M 1892 XX01 1374```
```------------2020-----------```
```22Oct 2.175M 1892 XX01 1150```
```30Aug  2.11M 1892 XX01 1115```
```04May     3M 1892 XX01 1586```
```------------2018-----------```
```29Apr 2.803M 1892 XX01 1482```
_Source: DLD, Databot_
_BUA - built-up area, sq.ft._
_P/sf - price per sq.ft._
_B - bedrooms; O - office_
_M - million, K- thousand_
_S - studio, R - shop_
_*Max 30 latest transactions_
www.trydatabot.com</t>
  </si>
  <si>
    <t>1013297, *MARKET</t>
  </si>
  <si>
    <t>*MARKET*
*SNAPSHOT*
*SOUTH RIDGE 5*
_Area: Downtown_
_Type: 3 bedroom apartment_
*Price dynamics, Dirham/sq.ft.*
_(M - median value)_
```2727|                     *```
```    |                      ```
```    |                      ```
```    |               *  *** ```
```    |                 *    ```
```    |                *     ```
```    |                      ```
```1599|---------------------M```
```    |     *     ***        ```
```    |    *   ***   *       ```
```1115|      **              ```
```____|______________________```
```    |Apr2018        Jun2025```
_Source: see table below_
*Latest sales transactions*
```Date   Price  BUA Type P/sf```
```------------2025-----------```
```16Jun  5.16M 1892 XXXX 2727```
```------------2024-----------```
```26Aug   4.2M 1892 XXXX 2220```
```23May  4.25M 1892 XX01 2246```
```29Feb   4.1M 1892 XX01 2167```
```------------2023-----------```
```29Nov     4M 1892 XX01 2114```
```19Apr  3.53M 1892 XX01 1866```
```06Mar  7.65M 3428 XX02 2232```
```------------2022-----------```
```14Dec   2.5M 1892 XX01 1321```
```30Jun 3.053M 1892 XX01 1614```
```14Feb  3.05M 1892 XX01 1612```
```10Feb 2.925M 1892 XX01 1546```
```------------2021-----------```
```04Aug  2.85M 1892 XX01 1506```
```17Jun   2.8M 1892 XX01 1480```
```17May   2.6M 1892 XX01 1374```
```------------2020-----------```
```22Oct 2.175M 1892 XX01 1150```
```30Aug  2.11M 1892 XX01 1115```
```04May     3M 1892 XX01 1586```
```------------2018-----------```
```29Apr 2.803M 1892 XX01 1482```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</si>
  <si>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1013333, *SALES*</t>
  </si>
  <si>
    <t>*SALES*
*TRANSACTIONS (RESALE)**
*SOUTH RIDGE 5*
_Area: Downtown_
_All types/bedrooms_
```Date    Price   BUA  Type B```
```------------2025-----------```
```31Oct      2M   933  XXXX 1```
```27Oct    2.8M  1444  XXXX 2```
```14Oct    2.2M  1091  XXXX 1```
```23Sep  2.825M  1450  XXXX 2```
```04Aug    1.7M   933  XXXX 1```
```18Jul   3.05M  1450  XXXX 2```
```30Jun      3M  1450  XXXX 2```
```16Jun   5.16M  1892  XXXX 3```
```10Jun  1.825M  1008  XXXX 1```
```02Apr  1.825M  1091  XXXX 1```
```20Jan   1.87M   933  XXXX 1```
```------------2024-----------```
```23Sep  1.849M  1008  XXXX 1```
```06Sep      3M  1450  XXXX 2```
```26Aug    4.2M  1892  XXXX 3```
```17Jul  1.875M  1091  XXXX 1```
```11Jun    1.9M  1091  XX03 1```
```29May   1.61M   933  XX04 1```
```23May   4.25M  1892  XX01 3```
```29Mar  550.3K  1091  XX03 1```
```29Feb    4.1M  1892  XX01 3```
```22Feb  1.625M   933  XX04 1```
```23Jan  2.275M  1444  XX05 2```
```12Jan   1.65M   933  XX04 1```
```------------2023-----------```
```29Nov      4M  1892  XX01 3```
```16Nov    2.3M  1444  XX05 2```
```20Sep    2.2M  1444  XX05 2```
```21Aug   2.55M  1450  XX02 2```
```16Aug   1.46M  1091  XX03 1```
```03Aug   1.65M  1091  XX03 1```
```19Jun   1.53M  1091  XX03 1```
_Source: DLD, Databot_
_BUA - built-up area, sq.ft._
_P/sf - price per sq.ft._
_B - bedrooms; O - office_
_M - million, K- thousand_
_S - studio, R - shop_
_*Max 30 latest transactions_
www.trydatabot.com</t>
  </si>
  <si>
    <t>1013334, by code, *BUILDI</t>
  </si>
  <si>
    <t xml:space="preserve">*BUILDING*
*PROFILE*
*SOUTH RIDGE 5*
_Area: Downtown_
_Tap&amp;hold to copy a reply_
```-------------------------```
```Report              Reply```
```-------------------------```
*Studio*
```Sales, ROI        1013284```
```Price chart       1013285```
```Rentals               n/a```
*1 B/R*
```Resell, ROI       1013288```
```Primary sales     1013336```
```Price chart       1013289```
```Rentals               n/a```
```Appreciation      1013291```
*2 B/R*
```Sales, ROI        1013292```
```Price chart       1013293```
```Rentals               n/a```
*3 B/R*
```Sales, ROI        1013296```
```Price chart       1013297```
```Rentals               n/a```
*All types/bedrooms*
```Resell, ROI       1013333```
```Primary sales     1013347```
```Rentals               n/a```
</t>
  </si>
  <si>
    <t>1013336, *SALES*</t>
  </si>
  <si>
    <t>*SALES*
*TRANSACTIONS (PRIMARY)**
*SOUTH RIDGE 5*
_Area: Downtown_
_Type: 1 bedroom apartment_
```Date   Price  BUA Type P/sf```
```------------2025-----------```
```10Apr   1.9M  933 XXXX 2036```
_Source: DLD, Databot_
_BUA - built-up area, sq.ft._
_P/sf - price per sq.ft._
_B - bedrooms; O - office_
_M - million, K- thousand_
_S - studio, R - shop_
_*Max 20 latest transactions_
www.trydatabot.com</t>
  </si>
  <si>
    <t>1013347, *SALES*</t>
  </si>
  <si>
    <t>*SALES*
*TRANSACTIONS (PRIMARY)**
*SOUTH RIDGE 5*
_Area: Downtown_
_All types/bedrooms_
```Date    Price   BUA  Type B```
```------------2025-----------```
```10Apr    1.9M   933  XXXX 1```
_Source: DLD, Databot_
_BUA - built-up area, sq.ft._
_P/sf - price per sq.ft._
_B - bedrooms; O - office_
_M - million, K- thousand_
_S - studio, R - shop_
_*Max 20 latest transactions_
www.trydatabot.com</t>
  </si>
  <si>
    <t>1013352, *SALES*</t>
  </si>
  <si>
    <t>*SALES*
*TRANSACTIONS**
*SOUTH RIDGE 6*
_Area: Downtown_
_Type: 1 bedroom apartment_
```Date   Price  BUA Type P/sf```
```------------2026-----------```
```12Jan  1.85M  915 XXXX 2022```
```------------2025-----------```
```05Nov  1.85M  915 XXXX 2022```
```21Aug  1.76M  915 XXXX 1923```
```30Jul     2M 1060 XXXX 1887```
```19May  1.95M 1060 XXXX 1840```
```29Apr  2.05M  915 XXXX 2240```
```11Apr 1.875M  915 XXXX 2049```
```09Apr  1.88M  915 XXXX 2055```
```07Feb  1.75M  915 XXXX 1913```
```02Jan 1.925M 1060 XXXX 1816```
```------------2024-----------```
```16Dec 1.825M 1060 XXXX 1722```
```03Jul  1.75M  915 XXXX 1913```
```24Apr  1.85M 1060 XX05 1745```
```19Feb   1.8M 1060 XX05 1698```
```06Feb  1.66M  915 XX04 1814```
```15Jan   1.6M 1060 XX05 1509```
```------------2023-----------```
```09Nov  1.54M  915 XX04 1683```
```01Nov   1.5M  915 XX04 1639```
```31Aug 1.756M 1060 XX05 1656```
```29May   900K  915 XX04  984```
```31Jan 1.525M 1060 XX05 1439```
```13Jan   1.6M 1078 XX01 1484```
```------------2021-----------```
```15Dec 1.275M  915 XX04 1393```
```09Nov 1.024M  915 XX04 1119```
```16Jun 1.025M  915 XX04 1120```
```13Jun  1.25M 1060 XX05 1179```
```13Apr  1.05M 1060 XX05  991```
```24Mar 944.3K  915 XX04 1032```
```26Jan   940K  915 XX04 1027```
```12Jan 1.035M 1060 XX05  976```
_Source: DLD, Databot_
_BUA - built-up area, sq.ft._
_P/sf - price per sq.ft._
_B - bedrooms; O - office_
_M - million, K- thousand_
_S - studio, R - shop_
_*Max 30 latest transactions_
www.trydatabot.com</t>
  </si>
  <si>
    <t>South Ridge 6</t>
  </si>
  <si>
    <t>1013353, *MARKET</t>
  </si>
  <si>
    <t>*MARKET*
*SNAPSHOT*
*SOUTH RIDGE 6*
_Area: Downtown_
_Type: 1 bedroom apartment_
*Price dynamics, Dirham/sq.ft.*
_(M - median value)_
```2240|                *     ```
```    |              *       ```
```    |               *    **```
```1815|---------------------M```
```    |       *  * **   ***  ```
```    |     *  ** *          ```
```    |   **                 ```
```    |**    *               ```
```    |                      ```
```    |                      ```
```984 |  *                   ```
```____|______________________```
```    |Jan2023        Jan2026```
_Source: see table below_
*Latest sales transactions*
```Date   Price  BUA Type P/sf```
```------------2026-----------```
```12Jan  1.85M  915 XXXX 2022```
```------------2025-----------```
```05Nov  1.85M  915 XXXX 2022```
```21Aug  1.76M  915 XXXX 1923```
```30Jul     2M 1060 XXXX 1887```
```19May  1.95M 1060 XXXX 1840```
```29Apr  2.05M  915 XXXX 2240```
```11Apr 1.875M  915 XXXX 2049```
```09Apr  1.88M  915 XXXX 2055```
```07Feb  1.75M  915 XXXX 1913```
```02Jan 1.925M 1060 XXXX 1816```
```------------2024-----------```
```16Dec 1.825M 1060 XXXX 1722```
```03Jul  1.75M  915 XXXX 1913```
```24Apr  1.85M 1060 XX05 1745```
```19Feb   1.8M 1060 XX05 1698```
```06Feb  1.66M  915 XX04 1814```
```15Jan   1.6M 1060 XX05 1509```
```------------2023-----------```
```09Nov  1.54M  915 XX04 1683```
```01Nov   1.5M  915 XX04 1639```
```31Aug 1.756M 1060 XX05 1656```
```29May   900K  915 XX04  984```
```31Jan 1.525M 1060 XX05 1439```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</si>
  <si>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1013356, *SALES*</t>
  </si>
  <si>
    <t>*SALES*
*TRANSACTIONS**
*SOUTH RIDGE 6*
_Area: Downtown_
_Type: 2 bedroom apartment_
```Date   Price  BUA Type P/sf```
```------------2025-----------```
```18Nov 3.625M 1491 XXXX 2431```
```22Jul   2.8M 1491 XXXX 1878```
```21Jul   3.9M 1635 XXXX 2385```
```11Jun  3.15M 1635 XXXX 1927```
```24Mar   3.5M 1635 XXXX 2141```
```27Feb   3.8M 1635 XXXX 2324```
```25Feb 2.765M 1491 XXXX 1854```
```06Feb   3.5M 1635 XXXX 2141```
```------------2024-----------```
```07Nov   3.5M 1635 XXXX 2141```
```23Oct   3.4M 1635 XXXX 2080```
```17Oct  4.09M 1635 XXXX 2502```
```31Jul   3.4M 1635 XXXX 2080```
```28Mar  2.49M 1491 XX01 1670```
```25Mar  2.68M 1491 XX01 1797```
```31Jan   2.7M 2355 XX04 1146```
```------------2023-----------```
```21Dec   2.5M 1491 XX01 1677```
```27Nov 2.175M 1491 XX01 1459```
```26Oct 2.825M 1635 XX03 1728```
```26Jul  2.68M 1843 XX02 1454```
```12Jun 2.102M 1491 XX01 1410```
```------------2022-----------```
```13Dec  2.78M 1635 XX03 1700```
```16Sep     3M 1635 XX03 1835```
```21Jun  2.63M 1635 XX03 1609```
```31Mar   1.9M 1491 XX01 1274```
```------------2021-----------```
```21Nov     2M 1491 XX01 1341```
```21Mar  2.05M 1635 XX03 1254```
```------------2020-----------```
```29Dec   1.7M 1635 XX03 1040```
```18Nov 1.375M 1491 XX01  922```
```28Sep   1.1M 1635 XX03  673```
```------------2019-----------```
```19May   2.3M 1635 XX03 1407```
_Source: DLD, Databot_
_BUA - built-up area, sq.ft._
_P/sf - price per sq.ft._
_B - bedrooms; O - office_
_M - million, K- thousand_
_S - studio, R - shop_
_*Max 30 latest transactions_
www.trydatabot.com</t>
  </si>
  <si>
    <t>1013357, *MARKET</t>
  </si>
  <si>
    <t>*MARKET*
*SNAPSHOT*
*SOUTH RIDGE 6*
_Area: Downtown_
_Type: 2 bedroom apartment_
*Price dynamics, Dirham/sq.ft.*
_(M - median value)_
```2502|           *          ```
```    |                *  * *```
```    |                      ```
```    |          * ***  *    ```
```    |                  *   ```
```1866|---------------------M```
```    |*       *      *    * ```
```    | *  * *  *            ```
```    |                      ```
```    |  ** *                ```
```1146|       *              ```
```____|______________________```
```    |Sep2022        Nov2025```
_Source: see table below_
*Latest sales transactions*
```Date   Price  BUA Type P/sf```
```------------2025-----------```
```18Nov 3.625M 1491 XXXX 2431```
```22Jul   2.8M 1491 XXXX 1878```
```21Jul   3.9M 1635 XXXX 2385```
```11Jun  3.15M 1635 XXXX 1927```
```24Mar   3.5M 1635 XXXX 2141```
```27Feb   3.8M 1635 XXXX 2324```
```25Feb 2.765M 1491 XXXX 1854```
```06Feb   3.5M 1635 XXXX 2141```
```------------2024-----------```
```07Nov   3.5M 1635 XXXX 2141```
```23Oct   3.4M 1635 XXXX 2080```
```17Oct  4.09M 1635 XXXX 2502```
```31Jul   3.4M 1635 XXXX 2080```
```28Mar  2.49M 1491 XX01 1670```
```25Mar  2.68M 1491 XX01 1797```
```31Jan   2.7M 2355 XX04 1146```
```------------2023-----------```
```21Dec   2.5M 1491 XX01 1677```
```27Nov 2.175M 1491 XX01 1459```
```26Oct 2.825M 1635 XX03 1728```
```26Jul  2.68M 1843 XX02 1454```
```12Jun 2.102M 1491 XX01 1410```
```------------2022-----------```
```13Dec  2.78M 1635 XX03 1700```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</si>
  <si>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1013360, *SALES*</t>
  </si>
  <si>
    <t>*SALES*
*TRANSACTIONS**
*SOUTH RIDGE 6*
_Area: Downtown_
_Type: 3 bedroom apartment_
```Date   Price  BUA Type P/sf```
```------------2025-----------```
```10Dec   5.3M 2102 XXXX 2521```
```------------2024-----------```
```13Nov  4.87M 2102 XXXX 2317```
```24Sep  4.15M 1974 XXXX 2102```
```10Jul  4.33M 2102 XXXX 2060```
```25Jun   7.6M 3077 XXXX 2470```
```------------2023-----------```
```26Oct  4.65M 2102 XX02 2212```
```19May  3.85M 2102 XX02 1832```
```------------2022-----------```
```14Sep  3.65M 2102 XX02 1736```
```10Aug   3.4M 2102 XX02 1618```
```04Jul   3.3M 2102 XX02 1570```
```20May  3.16M 2102 XX02 1503```
```27Jan  3.25M 2102 XX02 1546```
```------------2021-----------```
```24Oct   2.8M 2102 XX02 1332```
```05Jul 2.739M 2102 XX02 1303```
```20Jan   2.9M 2102 XX02 1380```
```------------2020-----------```
```20Dec 1.775M 1974 XX02  899```
```------------2019-----------```
```10Jun  1.68M 1974 XX02  851```
```------------2018-----------```
```20Dec  3.45M 2102 XX02 1641```
```04Mar   3.7M 2102 XX02 1760```
_Source: DLD, Databot_
_BUA - built-up area, sq.ft._
_P/sf - price per sq.ft._
_B - bedrooms; O - office_
_M - million, K- thousand_
_S - studio, R - shop_
_*Max 30 latest transactions_
www.trydatabot.com</t>
  </si>
  <si>
    <t>1013361, *MARKET</t>
  </si>
  <si>
    <t>*MARKET*
*SNAPSHOT*
*SOUTH RIDGE 6*
_Area: Downtown_
_Type: 3 bedroom apartment_
*Price dynamics, Dirham/sq.ft.*
_(M - median value)_
```2521|                 *   *```
```    |                    * ```
```    |                *     ```
```    |                  **  ```
```    |               *      ```
```1641|---------------------M```
```    |   **        **       ```
```    |          ***         ```
```    |       ***            ```
```    |                      ```
```851 |     **               ```
```____|______________________```
```    |Mar2018        Dec2025```
_Source: see table below_
*Latest sales transactions*
```Date   Price  BUA Type P/sf```
```------------2025-----------```
```10Dec   5.3M 2102 XXXX 2521```
```------------2024-----------```
```13Nov  4.87M 2102 XXXX 2317```
```24Sep  4.15M 1974 XXXX 2102```
```10Jul  4.33M 2102 XXXX 2060```
```25Jun   7.6M 3077 XXXX 2470```
```------------2023-----------```
```26Oct  4.65M 2102 XX02 2212```
```19May  3.85M 2102 XX02 1832```
```------------2022-----------```
```14Sep  3.65M 2102 XX02 1736```
```10Aug   3.4M 2102 XX02 1618```
```04Jul   3.3M 2102 XX02 1570```
```20May  3.16M 2102 XX02 1503```
```27Jan  3.25M 2102 XX02 1546```
```------------2021-----------```
```24Oct   2.8M 2102 XX02 1332```
```05Jul 2.739M 2102 XX02 1303```
```20Jan   2.9M 2102 XX02 1380```
```------------2020-----------```
```20Dec 1.775M 1974 XX02  899```
```------------2019-----------```
```10Jun  1.68M 1974 XX02  851```
```------------2018-----------```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</si>
  <si>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1013397, *SALES*</t>
  </si>
  <si>
    <t>*SALES*
*TRANSACTIONS**
*SOUTH RIDGE 6*
_Area: Downtown_
_All types/bedrooms_
```Date    Price   BUA  Type B```
```------------2026-----------```
```12Jan   1.85M   915  XXXX 1```
```------------2025-----------```
```10Dec    5.3M  2102  XXXX 3```
```18Nov  3.625M  1491  XXXX 2```
```05Nov   1.85M   915  XXXX 1```
```21Aug   1.76M   915  XXXX 1```
```30Jul      2M  1060  XXXX 1```
```22Jul    2.8M  1491  XXXX 2```
```21Jul    3.9M  1635  XXXX 2```
```11Jun   3.15M  1635  XXXX 2```
```19May   1.95M  1060  XXXX 1```
```29Apr   2.05M   915  XXXX 1```
```11Apr  1.875M   915  XXXX 1```
```09Apr   1.88M   915  XXXX 1```
```24Mar    3.5M  1635  XXXX 2```
```27Feb    3.8M  1635  XXXX 2```
```25Feb  2.765M  1491  XXXX 2```
```07Feb   1.75M   915  XXXX 1```
```06Feb    3.5M  1635  XXXX 2```
```02Jan  1.925M  1060  XXXX 1```
```------------2024-----------```
```16Dec  1.825M  1060  XXXX 1```
```13Nov   4.87M  2102  XXXX 3```
```07Nov    3.5M  1635  XXXX 2```
```23Oct    3.4M  1635  XXXX 2```
```17Oct   4.09M  1635  XXXX 2```
```24Sep   4.15M  1974  XXXX 3```
```31Jul    3.4M  1635  XXXX 2```
```10Jul   4.33M  2102  XXXX 3```
```03Jul   1.75M   915  XXXX 1```
```25Jun    7.6M  3077  XXXX 3```
```24Apr   1.85M  1060  XX05 1```
_Source: DLD, Databot_
_BUA - built-up area, sq.ft._
_P/sf - price per sq.ft._
_B - bedrooms; O - office_
_M - million, K- thousand_
_S - studio, R - shop_
_*Max 30 latest transactions_
www.trydatabot.com</t>
  </si>
  <si>
    <t>1013398, by code, *BUILDI</t>
  </si>
  <si>
    <t xml:space="preserve">*BUILDING*
*PROFILE*
*SOUTH RIDGE 6*
_Area: Downtown_
_Tap&amp;hold to copy a reply_
```-------------------------```
```Report              Reply```
```-------------------------```
*1 B/R*
```Sales, ROI        1013352```
```Price chart       1013353```
```Rentals               n/a```
*2 B/R*
```Sales, ROI        1013356```
```Price chart       1013357```
```Rentals               n/a```
*3 B/R*
```Sales, ROI        1013360```
```Price chart       1013361```
```Rentals               n/a```
*All types/bedrooms*
```Sales, ROI        1013397```
```Rentals               n/a```
</t>
  </si>
  <si>
    <t>1013424, *SALES*</t>
  </si>
  <si>
    <t>*SALES*
*TRANSACTIONS (RESALE)**
*SOUTH RIDGE EAST VILLAS*
_Area: Downtown_
_Type: 3 bedroom apartment_
```Date   Price  BUA Type P/sf```
```------------2023-----------```
```30Nov  5.95M 3952 XXXX 1506```
```31Oct   7.7M 3946 XXXX 1951```
```13Jun   5.4M 3825 XXXX 1412```
```------------2021-----------```
```27Jan   3.7M 3989 XXXX  928```
```------------2019-----------```
```21Apr   4.9M 4068 XXXX 1205```
```------------2018-----------```
```02Sep  4.95M 3862 XXXX 1282```
_Source: DLD, Databot_
_BUA - built-up area, sq.ft._
_P/sf - price per sq.ft._
_B - bedrooms; O - office_
_M - million, K- thousand_
_S - studio, R - shop_
_*Max 30 latest transactions_
www.trydatabot.com</t>
  </si>
  <si>
    <t>South Ridge East Villas</t>
  </si>
  <si>
    <t>1013425, *MARKET</t>
  </si>
  <si>
    <t>*MARKET*
*SNAPSHOT*
*SOUTH RIDGE EAST VILLAS*
_Area: Downtown_
_Type: 3 bedroom apartment_
*Price dynamics, Dirham/sq.ft.*
_(M - median value)_
```1951|                    * ```
```    |                      ```
```    |                      ```
```    |                      ```
```    |                     *```
```    |                   *  ```
```1347|---------------------M```
```    |                      ```
```    |                **    ```
```    |                      ```
```928 |                  *   ```
```____|______________________```
```    |Sep2018        Nov2023```
_Source: see table below_
*Latest sales transactions*
```Date   Price  BUA Type P/sf```
```------------2023-----------```
```30Nov  5.95M 3952 XXXX 1506```
```31Oct   7.7M 3946 XXXX 1951```
```13Jun   5.4M 3825 XXXX 1412```
```------------2021-----------```
```27Jan   3.7M 3989 XXXX  928```
```------------2019-----------```
```21Apr   4.9M 4068 XXXX 1205```
```------------2018-----------```
```02Sep  4.95M 3862 XXXX 1282```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</si>
  <si>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1013427, *RESELL</t>
  </si>
  <si>
    <t>*RESELL*
*VS PRIMARY*
*SOUTH RIDGE EAST VILLAS*
_Area: Downtown_
_Type: 3 bedroom apartment_
*Price dynamics, Dirham/sq.ft.*
_(x - primary; * - resell)_
```2195|          x           ```
```    |                      ```
```    |                    * ```
```    |                      ```
```1687|                      ```
```    |                     *```
```    |                   *  ```
```    |                *     ```
```    |                 *    ```
```928 |                  *   ```
```____|______________________```
```    |Dec1899        Nov2025```
_Source: see a table below_
*Latest resell transactions*
```Date   Price  BUA Type P/sf```
```------------2023-----------```
```30Nov  5.95M 3952 XXXX 1506```
```31Oct   7.7M 3946 XXXX 1951```
```13Jun   5.4M 3825 XXXX 1412```
```------------2021-----------```
```27Jan   3.7M 3989 XXXX  928```
```------------2019-----------```
```21Apr   4.9M 4068 XXXX 1205```
```------------2018-----------```
```02Sep  4.95M 3862 XXXX 1282```
*Latest primary transactions*
```------------2025-----------```
```26Nov 8.014M 3651 XXXX 2195```</t>
  </si>
  <si>
    <t>1013462, by code, *BUILDI</t>
  </si>
  <si>
    <t xml:space="preserve">*BUILDING*
*PROFILE*
*SOUTH RIDGE EAST VILLAS*
_Area: Downtown_
_Tap&amp;hold to copy a reply_
```-------------------------```
```Report              Reply```
```-------------------------```
*3 B/R*
```Resell, ROI       1013424```
```Primary sales     1013466```
```Price chart       1013425```
```Rentals               n/a```
```Appreciation      1013427```
*All types/bedrooms*
```Resell, ROI       1013461```
```Primary sales     1013475```
```Rentals               n/a```
</t>
  </si>
  <si>
    <t>1013466, *SALES*</t>
  </si>
  <si>
    <t>*SALES*
*TRANSACTIONS (PRIMARY)**
*SOUTH RIDGE EAST VILLAS*
_Area: Downtown_
_Type: 3 bedroom apartment_
```Date   Price  BUA Type P/sf```
```------------2025-----------```
```26Nov 8.014M 3651 XXXX 2195```
_Source: DLD, Databot_
_BUA - built-up area, sq.ft._
_P/sf - price per sq.ft._
_B - bedrooms; O - office_
_M - million, K- thousand_
_S - studio, R - shop_
_*Max 20 latest transactions_
www.trydatabot.com</t>
  </si>
  <si>
    <t>1013475, *SALES*</t>
  </si>
  <si>
    <t>*SALES*
*TRANSACTIONS (PRIMARY)**
*SOUTH RIDGE EAST VILLAS*
_Area: Downtown_
_All types/bedrooms_
```Date    Price   BUA  Type B```
```------------2025-----------```
```26Nov  8.014M  3651  XXXX 3```
_Source: DLD, Databot_
_BUA - built-up area, sq.ft._
_P/sf - price per sq.ft._
_B - bedrooms; O - office_
_M - million, K- thousand_
_S - studio, R - shop_
_*Max 20 latest transactions_
www.trydatabot.com</t>
  </si>
  <si>
    <t>1013488, *SALES*</t>
  </si>
  <si>
    <t>*SALES*
*TRANSACTIONS**
*SOUTH RIDGE WEST VILLAS*
_Area: Downtown_
_Type: 3 bedroom apartment_
```Date   Price  BUA Type P/sf```
```------------2024-----------```
```29Apr    10M 3867 XXXX 2586```
```29Apr    10M 3874 XXXX 2581```
```------------2023-----------```
```26Oct   6.5M 3778 XXXX 1720```
```------------2022-----------```
```02Nov 5.125M 3703 XXXX 1384```
_Source: DLD, Databot_
_BUA - built-up area, sq.ft._
_P/sf - price per sq.ft._
_B - bedrooms; O - office_
_M - million, K- thousand_
_S - studio, R - shop_
_*Max 30 latest transactions_
www.trydatabot.com</t>
  </si>
  <si>
    <t>South Ridge West Villas</t>
  </si>
  <si>
    <t>1013489, *MARKET</t>
  </si>
  <si>
    <t>*MARKET*
*SNAPSHOT*
*SOUTH RIDGE WEST VILLAS*
_Area: Downtown_
_Type: 3 bedroom apartment_
*Price dynamics, Dirham/sq.ft.*
_(M - median value)_
```2586|                    **```
```    |                      ```
```    |                      ```
```    |                      ```
```2151|---------------------M```
```    |                      ```
```    |                      ```
```    |                      ```
```    |                   *  ```
```    |                      ```
```1384|                  *   ```
```____|______________________```
```    |Nov2022        Apr2024```
_Source: see table below_
*Latest sales transactions*
```Date   Price  BUA Type P/sf```
```------------2024-----------```
```29Apr    10M 3867 XXXX 2586```
```29Apr    10M 3874 XXXX 2581```
```------------2023-----------```
```26Oct   6.5M 3778 XXXX 1720```
```------------2022-----------```
```02Nov 5.125M 3703 XXXX 1384```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</si>
  <si>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1013492, *SALES*</t>
  </si>
  <si>
    <t>*SALES*
*TRANSACTIONS**
*SOUTH RIDGE WEST VILLAS*
_Area: Downtown_
_Type: 4 bedroom apartment_
```Date   Price  BUA Type P/sf```
```------------2022-----------```
```22Aug   6.3M 5709 XXXX 1104```
_Source: DLD, Databot_
_BUA - built-up area, sq.ft._
_P/sf - price per sq.ft._
_B - bedrooms; O - office_
_M - million, K- thousand_
_S - studio, R - shop_
_*Max 30 latest transactions_
www.trydatabot.com</t>
  </si>
  <si>
    <t>1013493, *MARKET</t>
  </si>
  <si>
    <t>*MARKET*
*SNAPSHOT*
*SOUTH RIDGE WEST VILLAS*
_Area: Downtown_
_Type: 4 bedroom apartment_
*Price dynamics, Dirham/sq.ft.*
_(M - median value)_
```1104|                     *```
```1104|----------------------```
```    |                     *```
```1104|---------------------M```
```    |                     *```
```1104|---------------------M```
```    |                     *```
```1104|---------------------M```
```    |                     *```
```1104|---------------------M```
```    |                     *```
```____|______________________```
```    |Aug2022        Aug2022```
_Source: see table below_
*Latest sales transactions*
```Date   Price  BUA Type P/sf```
```------------2022-----------```
```22Aug   6.3M 5709 XXXX 1104```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</si>
  <si>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1013520, *SALES*</t>
  </si>
  <si>
    <t>*SALES*
*TRANSACTIONS**
*SOUTH RIDGE WEST VILLAS*
_Area: Downtown_ 
_Type: villa_
```Date   Price  BUA Type P/sf```
```------------2025-----------```
```27Jan 12.25M 3778 XXXX 3242```
_Source: DLD, Databot_
_BUA - built-up area, sq.ft._
_P/sf - price per sq.ft._
_B - bedrooms; O - office_
_M - million, K- thousand_
_S - studio, R - shop_
_*Max 30 latest transactions_
www.trydatabot.com</t>
  </si>
  <si>
    <t>1013521, *MARKET</t>
  </si>
  <si>
    <t>*MARKET*
*SNAPSHOT*
*SOUTH RIDGE WEST VILLAS*
_Area: Downtown_
_Type: villa_
*Price dynamics, Dirham/sq.ft.*
_(M - median value)_
```3242|                     *```
```3242|----------------------```
```    |                     *```
```3242|---------------------M```
```    |                     *```
```3242|---------------------M```
```    |                     *```
```3242|---------------------M```
```    |                     *```
```3242|---------------------M```
```    |                     *```
```____|______________________```
```    |Jan2025        Jan2025```
_Source: see table below_
*Latest sales transactions*
```Date   Price  BUA Type P/sf```
```------------2025-----------```
```27Jan 12.25M 3778 XXXX 3242```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</si>
  <si>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1013525, *SALES*</t>
  </si>
  <si>
    <t>*SALES*
*TRANSACTIONS**
*SOUTH RIDGE WEST VILLAS*
_Area: Downtown_
_All types/bedrooms_
```Date    Price   BUA  Type B```
```------------2025-----------```
```27Jan  12.25M  3778  XXXX 3```
```------------2024-----------```
```29Apr     10M  3867  XXXX 3```
```29Apr     10M  3874  XXXX 3```
```------------2023-----------```
```26Oct    6.5M  3778  XXXX 3```
```------------2022-----------```
```02Nov  5.125M  3703  XXXX 3```
```22Aug    6.3M  5709  XXXX 4```
_Source: DLD, Databot_
_BUA - built-up area, sq.ft._
_P/sf - price per sq.ft._
_B - bedrooms; O - office_
_M - million, K- thousand_
_S - studio, R - shop_
_*Max 30 latest transactions_
www.trydatabot.com</t>
  </si>
  <si>
    <t>1013526, by code, *BUILDI</t>
  </si>
  <si>
    <t xml:space="preserve">*BUILDING*
*PROFILE*
*SOUTH RIDGE WEST VILLAS*
_Area: Downtown_
_Tap&amp;hold to copy a reply_
```-------------------------```
```Report              Reply```
```-------------------------```
*3 B/R*
```Sales, ROI        1013488```
```Price chart       1013489```
```Rentals               n/a```
*4 B/R*
```Sales, ROI        1013492```
```Price chart       1013493```
```Rentals               n/a```
*Villa*
```Sales, ROI        1013520```
```Price chart       1013521```
```Rentals               n/a```
*All types/bedrooms*
```Sales, ROI        1013525```
```Rentals               n/a```
</t>
  </si>
  <si>
    <t>1013540, *SALES*</t>
  </si>
  <si>
    <r>
      <rPr/>
      <t xml:space="preserve">*SALES*
*TRANSACTIONS**
*STANDPOINT TOWER A*
_Area: Downtown_
_Type: studio apartment_
_Gross ROI=6.6% (confidence: low)_
_Median annual rent=80K_
```Date   Price  BUA Type P/sf```
```------------2025-----------```
```16May   1.2M  447 XXXX 2685```
```06Mar 1.225M  447 XXXX 2740```
```------------2024-----------```
```24Jun  1.18M  447 XXXX 2640```
```04Jun  1.23M  479 XX11 2568```
```03Jun 1.158M  447 XXXX 2591```
```15May  1.15M  447 XXXX 2573```
```05Feb   1.1M  446 XX06 2466```
```24Jan   1.2M  447 XXXX 2685```
```------------2023-----------```
```23Nov   1.1M  446 XX06 2466```
```03Aug 1.013M  479 XX11 2114```
```17May   1.1M  447 XXXX 2461```
```------------2022-----------```
```04Jul  1.41M  447 XX10 3154```
```09Mar   830K  447 XX10 1857```
```------------2021-----------```
```23May   750K  447 XX08 1678```
```------------2020-----------```
```27Sep   500K  446 XX06 1121```
```23Feb   670K  447 XX09 1499```
```------------2019-----------```
```10Nov   650K  447 XX07 1454```
```------------2018-----------```
```14May   950K  447 XX09 2125```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</si>
  <si>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Standpoint Tower A</t>
  </si>
  <si>
    <t>1013541, *MARKET</t>
  </si>
  <si>
    <t>*MARKET*
*SNAPSHOT*
*STANDPOINT TOWER A*
_Area: Downtown_
_Type: studio apartment_
*Price dynamics, Dirham/sq.ft.*
_(M - median value)_
```3154|          *           ```
```    |                      ```
```    |              *     **```
```2466|---------------------M```
```    |           * * *****  ```
```    |                      ```
```    |    *       *         ```
```    |         *            ```
```    |        *             ```
```    |     **               ```
```1121|       *              ```
```____|______________________```
```    |May2018        May2025```
_Source: see table below_
*Latest sales transactions*
```Date   Price  BUA Type P/sf```
```------------2025-----------```
```16May   1.2M  447 XXXX 2685```
```06Mar 1.225M  447 XXXX 2740```
```------------2024-----------```
```24Jun  1.18M  447 XXXX 2640```
```04Jun  1.23M  479 XX11 2568```
```03Jun 1.158M  447 XXXX 2591```
```15May  1.15M  447 XXXX 2573```
```05Feb   1.1M  446 XX06 2466```
```24Jan   1.2M  447 XXXX 2685```
```------------2023-----------```
```23Nov   1.1M  446 XX06 2466```
```03Aug 1.013M  479 XX11 2114```
```17May   1.1M  447 XXXX 2461```
```------------2022-----------```
```04Jul  1.41M  447 XX10 3154```
```09Mar   830K  447 XX10 1857```
```------------2021-----------```
```23May   750K  447 XX08 1678```
```------------2020-----------```
```27Sep   500K  446 XX06 1121```
```23Feb   670K  447 XX09 1499```
```------------2019-----------```
```10Nov   650K  447 XX07 1454```
```------------2018-----------```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</si>
  <si>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1013542, *NEW RE</t>
  </si>
  <si>
    <t>*NEW RENT*
*CONTRACTS**
_(renewals are not included)_
*STANDPOINT TOWER A+B*
_Area: Downtown_
_Type: studio apartment_
```Date  Price   BUA  Type D/s```
```------------2026-----------```
```15Jan   80K   441  XXXX 181```
```------------2025-----------```
```12Dec   83K   452  XXXX 184```
```08Dec   70K   452  XXXX 155```
```20Nov   80K   452  XXXX 177```
```01Nov   78K   441  XXXX 177```
```08Oct   78K   452  XXXX 173```
```02Oct   82K   441  XXXX 186```
```13Sep   80K   452  XXXX 177```
```11Sep   80K   441  XXXX 181```
```10Jul   81K   452  XXXX 179```
```13Jun   95K   657  XXXX 145```
```13Jun   95K   657  XXXX 145```
```27May   81K   452  XXXX 179```
```05Feb 79.5K   452  XXXX 176```
```15Jan   80K   441  XXXX 181```
```12Jan   80K   474  XXXX 169```
```------------2024-----------```
```20Dec   76K   452  XXXX 168```
```04Nov   86K   452  XXXX 190```
```15Oct   85K   452  XXXX 188```
```14Oct 68.3K   452  XXXX 151```
_Source: DLD, Databot_
_BUA - built-up area, sq.ft._
_P/sf - price per sq.ft._
_B - bedrooms; O - office_
_M - million, K- thousand_
_S - studio, R - shop_
_*20 latest contracts_
www.trydatabot.com</t>
  </si>
  <si>
    <t>1013544, *SALES*</t>
  </si>
  <si>
    <t>*SALES*
*TRANSACTIONS**
*STANDPOINT TOWER A*
_Area: Downtown_
_Type: 1 bedroom apartment_
_Gross ROI=6.17%_
_Median annual rent=120K_
```Date   Price  BUA Type P/sf```
```------------2025-----------```
```24Nov  1.75M 1189 XX14 1472```
```09Oct  1.85M  827 XXXX 2237```
```24Sep     2M  766 XX12 2611```
```10Sep  2.42M  841 XXXX 2878```
```14Aug  1.87M  714 XX06 2619```
```30Jun  2.05M  887 XXXX 2311```
```25Jun  1.85M  714 XX06 2591```
```20Jun 1.875M  789 XX06 2376```
```19Jun  1.76M  847 XX01 2078```
```27May   2.2M 1195 XX03 1841```
```22Apr  2.15M  708 XX05 3037```
```22Apr   1.8M  841 XXXX 2140```
```08Apr  1.95M  827 XXXX 2358```
```27Mar  2.55M  792 XXXX 3220```
```12Mar 1.855M  792 XXXX 2342```
```07Mar   1.9M  829 XX02 2292```
```28Feb 1.925M  829 XX02 2322```
```17Feb     2M  841 XXXX 2378```
```07Feb   2.2M  841 XXXX 2616```
```02Jan  1.42M  708 XX05 2006```
```------------2024-----------```
```14Nov  1.78M  847 XX01 2102```
```30Oct 1.725M 1195 XX03 1444```
```23Oct   1.9M  827 XXXX 2297```
```21Oct  1.68M  847 XX01 1983```
```27Sep  1.85M  829 XX02 2232```
```26Sep   1.8M  847 XX01 2125```
```25Sep   1.8M  792 XXXX 2273```
```12Sep  1.51M  827 XXXX 1826```
```26Aug   2.4M  887 XXXX 2706```
```12Aug 2.025M  708 XX05 2860```
_Source: DLD, Databot_
_BUA - built-up area, sq.ft._
_P/sf - price per sq.ft._
_B - bedrooms; O - office_
_M - million, K- thousand_
_S - studio, R - shop_
_*Max 30 latest transactions_
www.trydatabot.com</t>
  </si>
  <si>
    <t>1013545, *MARKET</t>
  </si>
  <si>
    <t>*MARKET*
*SNAPSHOT*
*STANDPOINT TOWER A*
_Area: Downtown_
_Type: 1 bedroom apartment_
*Price dynamics, Dirham/sq.ft.*
_(M - median value)_
```3220|        *             ```
```    |           *          ```
```    |                  *   ```
```    |   *             * *  ```
```    |               *      ```
```2332|---------------------M```
```    |    **** *    * *     ```
```    | *        *  *      * ```
```    |  *                   ```
```    |            *         ```
```1444|*                    *```
```____|______________________```
```    |Oct2024        Nov2025```
_Source: see table below_
*Latest sales transactions*
```Date   Price  BUA Type P/sf```
```------------2025-----------```
```24Nov  1.75M 1189 XX14 1472```
```09Oct  1.85M  827 XXXX 2237```
```24Sep     2M  766 XX12 2611```
```10Sep  2.42M  841 XXXX 2878```
```14Aug  1.87M  714 XX06 2619```
```30Jun  2.05M  887 XXXX 2311```
```25Jun  1.85M  714 XX06 2591```
```20Jun 1.875M  789 XX06 2376```
```19Jun  1.76M  847 XX01 2078```
```27May   2.2M 1195 XX03 1841```
```22Apr  2.15M  708 XX05 3037```
```22Apr   1.8M  841 XXXX 2140```
```08Apr  1.95M  827 XXXX 2358```
```27Mar  2.55M  792 XXXX 3220```
```12Mar 1.855M  792 XXXX 2342```
```07Mar   1.9M  829 XX02 2292```
```28Feb 1.925M  829 XX02 2322```
```17Feb     2M  841 XXXX 2378```
```07Feb   2.2M  841 XXXX 2616```
```02Jan  1.42M  708 XX05 2006```
```------------2024-----------```
```14Nov  1.78M  847 XX01 2102```
```30Oct 1.725M 1195 XX03 1444```
```23Oct   1.9M  827 XXXX 2297```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</si>
  <si>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1013546, *NEW RE</t>
  </si>
  <si>
    <t>*NEW RENT*
*CONTRACTS**
_(renewals are not included)_
*STANDPOINT TOWER A+B*
_Area: Downtown_
_Type: 1 bedroom apartment_
```Date  Price   BUA  Type D/s```
```------------2026-----------```
```15Jan  145K   829  XXXX 174```
```12Jan  115K   797  XXXX 144```
```09Jan  120K   710  XXXX 169```
```05Jan  120K   850  XXXX 141```
```04Jan  123K   710  XXXX 173```
```------------2025-----------```
```29Dec  120K   829  XXXX 145```
```28Dec  120K   829  XXXX 145```
```27Dec  125K   926  XXXX 135```
```19Dec  110K   829  XXXX 133```
```01Dec  120K   840  XXXX 143```
```01Dec  110K   710  XXXX 155```
```27Nov  130K   850  XXXX 153```
```27Nov  100K   850  XXXX 118```
```25Nov  110K   850  XXXX 129```
```20Nov  130K   926  XXXX 140```
```19Nov  100K   850  XXXX 118```
```02Nov  105K   829  XXXX 127```
```01Nov  130K   850  XXXX 153```
```01Nov  130K   829  XXXX 157```
```01Nov  128K   829  XXXX 154```
_Source: DLD, Databot_
_BUA - built-up area, sq.ft._
_P/sf - price per sq.ft._
_B - bedrooms; O - office_
_M - million, K- thousand_
_S - studio, R - shop_
_*20 latest contracts_
www.trydatabot.com</t>
  </si>
  <si>
    <t>1013548, *SALES*</t>
  </si>
  <si>
    <t>*SALES*
*TRANSACTIONS**
*STANDPOINT TOWER A*
_Area: Downtown_
_Type: 2 bedroom apartment_
_Gross ROI=5.74%_
_Median annual rent=163.5K_
```Date   Price  BUA Type P/sf```
```------------2026-----------```
```12Jan  3.45M 1304 XX05 2646```
```08Jan   2.9M 1209 XX10 2399```
```07Jan   2.6M 1171 XXXX 2220```
```------------2025-----------```
```26Nov   2.5M 1171 XXXX 2135```
```03Oct  3.39M 1234 XXXX 2747```
```22Jul   2.8M 1199 XXXX 2335```
```23Jun     3M 1171 XXXX 2562```
```17Jun  3.15M 1390 XX03 2266```
```03Apr     3M 1355 XX09 2214```
```24Mar     4M 1906 XX06 2099```
```04Mar 2.685M 1089 XX05 2466```
```11Feb  3.35M 1171 XXXX 2861```
```30Jan     1M  695 XXXX 1439```
```------------2024-----------```
```23Dec   2.9M 1355 XX09 2140```
```30Oct 2.375M 1209 XX13 1964```
```21Oct 2.725M 1209 XX10 2254```
```10Oct  2.43M 1304 XX05 1863```
```01Oct  2.05M 1199 XXXX 1710```
```19Aug  2.45M 1171 XXXX 2092```
```27Jun   2.4M 1199 XXXX 2002```
```25Jun 2.225M 1234 XXXX 1803```
```13May  2.16M 1234 XXXX 1750```
```07May 2.175M 1209 XX10 1799```
```15Apr  2.33M 1199 XXXX 1943```
```31Jan  2.59M 1199 XXXX 2160```
```------------2023-----------```
```25Dec  2.15M 1171 XXXX 1836```
```11Dec  3.15M 1209 XX13 2605```
```27Nov  2.55M 1355 XX09 1882```
```22Nov     3M 1209 XX10 2481```
```20Sep  2.27M 1209 XX13 1878```
_Source: DLD, Databot_
_BUA - built-up area, sq.ft._
_P/sf - price per sq.ft._
_B - bedrooms; O - office_
_M - million, K- thousand_
_S - studio, R - shop_
_*Max 30 latest transactions_
www.trydatabot.com</t>
  </si>
  <si>
    <t>1013549, *MARKET</t>
  </si>
  <si>
    <t>*MARKET*
*SNAPSHOT*
*STANDPOINT TOWER A*
_Area: Downtown_
_Type: 2 bedroom apartment_
*Price dynamics, Dirham/sq.ft.*
_(M - median value)_
```2861|          *           ```
```    |                 *    ```
```    |               *     *```
```    |           *        * ```
```    |      *       * *     ```
```2177|---------------------M```
```    |   *    *   **    **  ```
```    |  *    *              ```
```    | *   *                ```
```    |*   *                 ```
```1439|         *            ```
```____|______________________```
```    |May2024        Jan2026```
_Source: see table below_
*Latest sales transactions*
```Date   Price  BUA Type P/sf```
```------------2026-----------```
```12Jan  3.45M 1304 XX05 2646```
```08Jan   2.9M 1209 XX10 2399```
```07Jan   2.6M 1171 XXXX 2220```
```------------2025-----------```
```26Nov   2.5M 1171 XXXX 2135```
```03Oct  3.39M 1234 XXXX 2747```
```22Jul   2.8M 1199 XXXX 2335```
```23Jun     3M 1171 XXXX 2562```
```17Jun  3.15M 1390 XX03 2266```
```03Apr     3M 1355 XX09 2214```
```24Mar     4M 1906 XX06 2099```
```04Mar 2.685M 1089 XX05 2466```
```11Feb  3.35M 1171 XXXX 2861```
```30Jan     1M  695 XXXX 1439```
```------------2024-----------```
```23Dec   2.9M 1355 XX09 2140```
```30Oct 2.375M 1209 XX13 1964```
```21Oct 2.725M 1209 XX10 2254```
```10Oct  2.43M 1304 XX05 1863```
```01Oct  2.05M 1199 XXXX 1710```
```19Aug  2.45M 1171 XXXX 2092```
```27Jun   2.4M 1199 XXXX 2002```
```25Jun 2.225M 1234 XXXX 1803```
```13May  2.16M 1234 XXXX 1750```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</si>
  <si>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1013550, *NEW RE</t>
  </si>
  <si>
    <t>*NEW RENT*
*CONTRACTS**
_(renewals are not included)_
*STANDPOINT TOWER A+B*
_Area: Downtown_
_Type: 2 bedroom apartment_
```Date  Price   BUA  Type D/s```
```------------2025-----------```
```07Dec  175K  1313  XXXX 133```
```03Dec  190K  1195  XXXX 159```
```24Nov  190K  1195  XXXX 159```
```01Nov  198K  1238  XXXX 160```
```16Oct  165K  1163  XXXX 142```
```10Oct  176K  1206  XXXX 146```
```01Oct  180K  1356  XXXX 133```
```15Sep  155K  1033  XXXX 150```
```15Sep  155K  1033  XXXX 150```
```09Sep  162K  1464  XXXX 111```
```25Aug  165K  1335  XXXX 124```
```15Aug  145K  1485  XXXX  98```
```11Aug  130K  1033  XXXX 126```
```01Aug  150K  1410  XXXX 106```
```25Jul  135K  1033  XXXX 131```
```20Jul  145K  1195  XXXX 121```
```01Jul  188K  1206  XXXX 156```
```28Jun  200K  1206  XXXX 166```
```18Jun  150K  1195  XXXX 126```
```09May  160K  1206  XXXX 133```
_Source: DLD, Databot_
_BUA - built-up area, sq.ft._
_P/sf - price per sq.ft._
_B - bedrooms; O - office_
_M - million, K- thousand_
_S - studio, R - shop_
_*20 latest contracts_
www.trydatabot.com</t>
  </si>
  <si>
    <t>1013552, *SALES*</t>
  </si>
  <si>
    <t>*SALES*
*TRANSACTIONS**
*STANDPOINT TOWER A*
_Area: Downtown_
_Type: 3 bedroom apartment_
```Date   Price  BUA Type P/sf```
```------------2025-----------```
```21Jan   3.6M 1672 XXXX 2153```
```------------2024-----------```
```15Jul   3.9M 1448 XXXX 2693```
_Source: DLD, Databot_
_BUA - built-up area, sq.ft._
_P/sf - price per sq.ft._
_B - bedrooms; O - office_
_M - million, K- thousand_
_S - studio, R - shop_
_*Max 30 latest transactions_
www.trydatabot.com</t>
  </si>
  <si>
    <t>1013553, *MARKET</t>
  </si>
  <si>
    <t>*MARKET*
*SNAPSHOT*
*STANDPOINT TOWER A*
_Area: Downtown_
_Type: 3 bedroom apartment_
*Price dynamics, Dirham/sq.ft.*
_(M - median value)_
```2693|                    * ```
```    |                      ```
```    |                      ```
```    |                      ```
```    |                      ```
```2423|---------------------M```
```    |                      ```
```    |                      ```
```    |                      ```
```    |                      ```
```2153|                     *```
```____|______________________```
```    |Jul2024        Jan2025```
_Source: see table below_
*Latest sales transactions*
```Date   Price  BUA Type P/sf```
```------------2025-----------```
```21Jan   3.6M 1672 XXXX 2153```
```------------2024-----------```
```15Jul   3.9M 1448 XXXX 2693```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</si>
  <si>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1013554, *NEW RE</t>
  </si>
  <si>
    <t>*NEW RENT*
*CONTRACTS**
_(renewals are not included)_
*STANDPOINT TOWER A+B*
_Area: Downtown_
_Type: 3 bedroom apartment_
```Date  Price   BUA  Type D/s```
```------------2025-----------```
```05Mar  230K  1475  XXXX 156```
```03Feb  200K  1356  XXXX 147```
```------------2024-----------```
```20Aug  220K  1582  XXXX 139```
```15Mar  198K  1453  XXXX 136```
```------------2023-----------```
```15Feb  170K  1356  XXXX 125```
```07Feb  170K  1453  XXXX 117```
```------------2022-----------```
```01Oct  180K  1668  XXXX 108```
```20Aug  170K  1582  XXXX 107```
```20Aug  170K  1582  XXXX 107```
```10Jul  190K  1668  XXXX 114```
```23Apr  130K  1356  XXXX  96```
```------------2021-----------```
```10Dec  185K  1905  XXXX  97```
```10May  115K  1668  XXXX  69```
```31Jan  100K  1453  XXXX  69```
```------------2020-----------```
```15Sep  120K  1582  XXXX  76```
```14Sep  105K  1905  XXXX  55```
```01Apr  120K  1356  XXXX  88```
```03Jan  110K  1453  XXXX  76```
```------------2019-----------```
```14Jun  120K  1453  XXXX  83```
```------------2018-----------```
```25Feb  140K  1582  XXXX  88```
_Source: DLD, Databot_
_BUA - built-up area, sq.ft._
_P/sf - price per sq.ft._
_B - bedrooms; O - office_
_M - million, K- thousand_
_S - studio, R - shop_
_*20 latest contracts_
www.trydatabot.com</t>
  </si>
  <si>
    <t>1013574, *NEW RE</t>
  </si>
  <si>
    <t>*NEW RENT*
*CONTRACTS**
_(renewals are not included)_
*STANDPOINT TOWER A+B*
_Area: Downtown_
_Type: _
```Date  Price   BUA  Type D/s```
```------------2023-----------```
```20Apr  362K  3283  XXXX 110```
```------------2022-----------```
```25Mar  698K  7610  XXXX  92```
```------------2017-----------```
```01May  1.1M  2519  XXXX 436```
```------------2016-----------```
```05Mar  187K   958  XXXX 195```
```------------2015-----------```
```30Nov  657K  2454  XXXX 268```
```31Oct  187K   958  XXXX 195```
```31Oct  187K   958  XXXX 195```
```------------2013-----------```
```27Mar  156K   958  XXXX 163```
```------------2012-----------```
```19Dec 3.78M  7610  XXXX 497```
```19Dec 1.88M  7610  XXXX 247```
```30Nov  152K  3315  XXXX  46```
```30Nov  502K  2411  XXXX 208```
```30Nov  672K  3283  XXXX 205```
```30Nov  491K  2605  XXXX 189```
```27Nov  285K  2454  XXXX 116```
_Source: DLD, Databot_
_BUA - built-up area, sq.ft._
_P/sf - price per sq.ft._
_B - bedrooms; O - office_
_M - million, K- thousand_
_S - studio, R - shop_
_*20 latest contracts_
www.trydatabot.com</t>
  </si>
  <si>
    <t>1013588, *NEW RE</t>
  </si>
  <si>
    <t>*NEW RENT*
*CONTRACTS**
_(renewals are not included)_
*STANDPOINT TOWER A+B*
_Area: Downtown_
_All types/bedrooms_
```Date    Price   BUA Type  B```
```------------2026-----------```
```15Jan     80K   441 XXXX  S```
```15Jan  144.6K   829 XXXX  1```
```12Jan    115K   797 XXXX  1```
```09Jan    120K   710 XXXX  1```
```05Jan    120K   850 XXXX  1```
```04Jan  122.5K   710 XXXX  1```
```------------2025-----------```
```29Dec    120K   829 XXXX  1```
```28Dec    120K   829 XXXX  1```
```27Dec    125K   926 XXXX  1```
```19Dec    110K   829 XXXX  1```
```12Dec     83K   452 XXXX  S```
```08Dec     70K   452 XXXX  S```
```07Dec    175K  1313 XXXX  2```
```03Dec    190K  1195 XXXX  2```
```01Dec    120K   840 XXXX  1```
```01Dec  109.7K   710 XXXX  1```
```27Nov    130K   850 XXXX  1```
```27Nov    100K   850 XXXX  1```
```25Nov    110K   850 XXXX  1```
```24Nov    190K  1195 XXXX  2```
_Source: DLD, Databot_
_BUA - built-up area, sq.ft._
_P/sf - price per sq.ft._
_B - bedrooms; O - office_
_M - million, K- thousand_
_S - studio, R - shop_
_*20 latest contracts_
www.trydatabot.com</t>
  </si>
  <si>
    <t>1013589, *SALES*</t>
  </si>
  <si>
    <t>*SALES*
*TRANSACTIONS**
*STANDPOINT TOWER A*
_Area: Downtown_
_All types/bedrooms_
```Date    Price   BUA  Type B```
```------------2026-----------```
```12Jan   3.45M  1304  XX05 2```
```08Jan    2.9M  1209  XX10 2```
```07Jan    2.6M  1171  XXXX 2```
```------------2025-----------```
```26Nov    2.5M  1171  XXXX 2```
```24Nov   1.75M  1189  XX14 1```
```09Oct   1.85M   827  XXXX 1```
```03Oct   3.39M  1234  XXXX 2```
```24Sep      2M   766  XX12 1```
```10Sep   2.42M   841  XXXX 1```
```14Aug   1.87M   714  XX06 1```
```22Jul    2.8M  1199  XXXX 2```
```30Jun   2.05M   887  XXXX 1```
```25Jun   1.85M   714  XX06 1```
```23Jun      3M  1171  XXXX 2```
```20Jun  1.875M   789  XX06 1```
```19Jun   1.76M   847  XX01 1```
```17Jun   3.15M  1390  XX03 2```
```27May    2.2M  1195  XX03 1```
```16May    1.2M   447  XXXX S```
```22Apr   2.15M   708  XX05 1```
```22Apr    1.8M   841  XXXX 1```
```08Apr   1.95M   827  XXXX 1```
```03Apr      3M  1355  XX09 2```
```27Mar   2.55M   792  XXXX 1```
```24Mar      4M  1906  XX06 2```
```12Mar  1.855M   792  XXXX 1```
```07Mar    1.9M   829  XX02 1```
```06Mar  1.225M   447  XXXX S```
```04Mar  2.685M  1089  XX05 2```
```28Feb  1.925M   829  XX02 1```
_Source: DLD, Databot_
_BUA - built-up area, sq.ft._
_P/sf - price per sq.ft._
_B - bedrooms; O - office_
_M - million, K- thousand_
_S - studio, R - shop_
_*Max 30 latest transactions_
www.trydatabot.com</t>
  </si>
  <si>
    <t>1013590, by code, *BUILDI</t>
  </si>
  <si>
    <t xml:space="preserve">*BUILDING*
*PROFILE*
*STANDPOINT TOWER A*
_Area: Downtown_
_Tap&amp;hold to copy a reply_
```-------------------------```
```Report              Reply```
```-------------------------```
*Studio*
```Sales, ROI        1013540```
```Price chart       1013541```
```Rentals           1013542```
*1 B/R*
```Sales, ROI        1013544```
```Price chart       1013545```
```Rentals           1013546```
*2 B/R*
```Sales, ROI        1013548```
```Price chart       1013549```
```Rentals           1013550```
*3 B/R*
```Sales, ROI        1013552```
```Price chart       1013553```
```Rentals           1013554```
*All types/bedrooms*
```Sales, ROI        1013589```
```Rentals           1013588```
</t>
  </si>
  <si>
    <t>1013604, *SALES*</t>
  </si>
  <si>
    <t>*SALES*
*TRANSACTIONS**
*STANDPOINT TOWER B*
_Area: Downtown_
_Type: studio apartment_
_Gross ROI=6.67% (confidence: low)_
_Median annual rent=80K_
```Date   Price  BUA Type P/sf```
```------------2025-----------```
```01May  1.25M  656 XX07 1905```
```22Apr   1.2M  446 XX09 2691```
```22Apr   1.2M  446 XX10 2691```
```------------2024-----------```
```30Oct   1.2M  447 XXXX 2685```
```21Oct  1.15M  446 XX10 2578```
```22Apr   1.2M  440 XX08 2727```
```------------2023-----------```
```08Nov  1.16M  446 XX09 2601```
```13Jul   995K  447 XXXX 2226```
```25May   950K  447 XXXX 2125```
```04Apr   680K  446 XX09 1525```
```06Mar 1.285M  440 XX08 2920```
```13Feb     1M  446 XX09 2242```
```09Feb   750K  446 XX09 1682```
```------------2022-----------```
```15Nov   910K  446 XX10 2040```
```02Nov   835K  479 XX05 1743```
```23Mar   800K  440 XX08 1818```
```------------2021-----------```
```29Aug   740K  446 XX09 1659```
```------------2020-----------```
```03Feb   685K  447 XX08 1532```
```------------2018-----------```
```13May   950K  656 XX07 1448```
```19Mar   800K  656 XX07 1220```
_Source: DLD, Databot_
_BUA - built-up area, sq.ft._
_P/sf - price per sq.ft._
_B - bedrooms; O - office_
_M - million, K- thousand_
_S - studio, R - shop_
_*Max 30 latest transactions_
www.trydatabot.com</t>
  </si>
  <si>
    <t>Standpoint Tower B</t>
  </si>
  <si>
    <t>1013605, *MARKET</t>
  </si>
  <si>
    <t>*MARKET*
*SNAPSHOT*
*STANDPOINT TOWER B*
_Area: Downtown_
_Type: studio apartment_
*Price dynamics, Dirham/sq.ft.*
_(M - median value)_
```2920|           *          ```
```    |                * *** ```
```    |               * *    ```
```    |                      ```
```    |          *   *       ```
```2083|---------------------M```
```    |        *    *        ```
```    |      *              *```
```    |     * * *            ```
```    |   **       *         ```
```1220|  *                   ```
```____|______________________```
```    |Mar2018        May2025```
_Source: see table below_
*Latest sales transactions*
```Date   Price  BUA Type P/sf```
```------------2025-----------```
```01May  1.25M  656 XX07 1905```
```22Apr   1.2M  446 XX09 2691```
```22Apr   1.2M  446 XX10 2691```
```------------2024-----------```
```30Oct   1.2M  447 XXXX 2685```
```21Oct  1.15M  446 XX10 2578```
```22Apr   1.2M  440 XX08 2727```
```------------2023-----------```
```08Nov  1.16M  446 XX09 2601```
```13Jul   995K  447 XXXX 2226```
```25May   950K  447 XXXX 2125```
```04Apr   680K  446 XX09 1525```
```06Mar 1.285M  440 XX08 2920```
```13Feb     1M  446 XX09 2242```
```09Feb   750K  446 XX09 1682```
```------------2022-----------```
```15Nov   910K  446 XX10 2040```
```02Nov   835K  479 XX05 1743```
```23Mar   800K  440 XX08 1818```
```------------2021-----------```
```29Aug   740K  446 XX09 1659```
```------------2020-----------```
```03Feb   685K  447 XX08 1532```
```------------2018-----------```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</si>
  <si>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1013606, *NEW RE</t>
  </si>
  <si>
    <t>1013608, *SALES*</t>
  </si>
  <si>
    <t>*SALES*
*TRANSACTIONS**
*STANDPOINT TOWER B*
_Area: Downtown_
_Type: 1 bedroom apartment_
_Gross ROI=6.49%_
_Median annual rent=120K_
```Date   Price  BUA Type P/sf```
```------------2026-----------```
```20Jan   700K  549 XX03 1275```
```------------2025-----------```
```25Nov   1.8M  716 XX04 2514```
```06Oct 2.111M  716 XXXX 2948```
```02Oct   1.7M  527 XX07 3226```
```21May  1.82M  716 XX04 2542```
```14Feb 1.875M  716 XX04 2619```
```06Feb   1.8M  827 XXXX 2177```
```------------2024-----------```
```14Oct   1.7M  716 XX04 2374```
```13Aug 1.625M  827 XXXX 1965```
```15Jul  2.05M  922 XX07 2223```
```28Jun   1.7M  716 XXXX 2374```
```25Jun   1.7M  797 XX09 2133```
```15Apr   1.7M  715 XX03 2378```
```27Feb   1.5M  549 XX03 2732```
```16Feb 1.785M 1140 XX01 1566```
```05Feb 1.765M  922 XX07 1914```
```05Feb   1.2M  527 XX07 2277```
```22Jan  1.58M  877 XX02 1802```
```------------2023-----------```
```23Nov   1.6M  922 XX07 1735```
```02Nov  1.56M  877 XX02 1779```
```24Oct   1.6M  716 XX04 2235```
```23Oct   1.2M  549 XX03 2186```
```17Oct  1.55M  833 XX02 1861```
```25Sep  1.25M  527 XX07 2372```
```07Aug     1M  527 XX07 1898```
```08Jun 1.377M  716 XXXX 1923```
```19May     1M  906 XX01 1104```
```17May   975K  549 XX03 1776```
```25Apr  1.65M  716 XX04 2304```
```14Feb   1.5M  716 XX04 2095```
_Source: DLD, Databot_
_BUA - built-up area, sq.ft._
_P/sf - price per sq.ft._
_B - bedrooms; O - office_
_M - million, K- thousand_
_S - studio, R - shop_
_*Max 30 latest transactions_
www.trydatabot.com</t>
  </si>
  <si>
    <t>1013609, *MARKET</t>
  </si>
  <si>
    <t>*MARKET*
*SNAPSHOT*
*STANDPOINT TOWER B*
_Area: Downtown_
_Type: 1 bedroom apartment_
*Price dynamics, Dirham/sq.ft.*
_(M - median value)_
```3226|                  *   ```
```    |                   *  ```
```    |                      ```
```    |        *       *     ```
```    |         * *  *  *  * ```
```2229|---------------------M```
```    |**   *      *  *      ```
```    |          *  *        ```
```    |  * * *               ```
```    |   *   *              ```
```1275|                     *```
```____|______________________```
```    |Oct2023        Jan2026```
_Source: see table below_
*Latest sales transactions*
```Date   Price  BUA Type P/sf```
```------------2026-----------```
```20Jan   700K  549 XX03 1275```
```------------2025-----------```
```25Nov   1.8M  716 XX04 2514```
```06Oct 2.111M  716 XXXX 2948```
```02Oct   1.7M  527 XX07 3226```
```21May  1.82M  716 XX04 2542```
```14Feb 1.875M  716 XX04 2619```
```06Feb   1.8M  827 XXXX 2177```
```------------2024-----------```
```14Oct   1.7M  716 XX04 2374```
```13Aug 1.625M  827 XXXX 1965```
```15Jul  2.05M  922 XX07 2223```
```28Jun   1.7M  716 XXXX 2374```
```25Jun   1.7M  797 XX09 2133```
```15Apr   1.7M  715 XX03 2378```
```27Feb   1.5M  549 XX03 2732```
```16Feb 1.785M 1140 XX01 1566```
```05Feb 1.765M  922 XX07 1914```
```05Feb   1.2M  527 XX07 2277```
```22Jan  1.58M  877 XX02 1802```
```------------2023-----------```
```23Nov   1.6M  922 XX07 1735```
```02Nov  1.56M  877 XX02 1779```
```24Oct   1.6M  716 XX04 2235```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</si>
  <si>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1013610, *NEW RE</t>
  </si>
  <si>
    <t>1013612, *SALES*</t>
  </si>
  <si>
    <t>*SALES*
*TRANSACTIONS**
*STANDPOINT TOWER B*
_Area: Downtown_
_Type: 2 bedroom apartment_
_Gross ROI=6.06%_
_Median annual rent=163.5K_
```Date   Price  BUA Type P/sf```
```------------2025-----------```
```24Nov     3M 1236 XXXX 2427```
```03Nov   2.7M 1236 XXXX 2184```
```06Oct   2.7M 1247 XX07 2165```
```29May   2.4M 1152 XX12 2083```
```20May   2.8M 1031 XX05 2716```
```15May   2.8M 1340 XX11 2090```
```21Apr  3.45M 1412 XX04 2443```
```06Jan   2.6M 1152 XX12 2257```
```------------2024-----------```
```25Dec 2.275M 1167 XXXX 1949```
```20Nov 2.375M 1031 XX05 2304```
```11Nov  2.45M 1167 XXXX 2099```
```19Aug  2.35M 1031 XX05 2279```
```02Aug 2.118M 1031 XX05 2054```
```22Jul   3.1M 1316 XX03 2356```
```25Mar   2.1M 1031 XX05 2037```
```------------2023-----------```
```27Dec  2.35M 1412 XX04 1664```
```09Nov   2.6M 1167 XXXX 2228```
```01Nov 1.852M 1152 XX12 1608```
```22Aug   2.7M 1316 XX03 2052```
```17Jul 2.747M 1167 XXXX 2354```
```07Jul 1.875M 1031 XX05 1819```
```02May   2.5M 1412 XX04 1771```
```------------2022-----------```
```20Sep 2.833M 1340 XX11 2114```
```07Jan 1.535M 1167 XX10 1315```
```------------2021-----------```
```16Dec  1.97M 1167 XX10 1688```
```17Mar   1.6M 1167 XX13 1371```
```22Feb  1.82M 1459 XX02 1247```
```------------2020-----------```
```24Dec  1.35M 1167 XX10 1157```
```15Mar   1.5M 1316 XX03 1140```
```05Mar 1.405M 1450 XX03  969```
_Source: DLD, Databot_
_BUA - built-up area, sq.ft._
_P/sf - price per sq.ft._
_B - bedrooms; O - office_
_M - million, K- thousand_
_S - studio, R - shop_
_*Max 30 latest transactions_
www.trydatabot.com</t>
  </si>
  <si>
    <t>1013613, *MARKET</t>
  </si>
  <si>
    <t>*MARKET*
*SNAPSHOT*
*STANDPOINT TOWER B*
_Area: Downtown_
_Type: 2 bedroom apartment_
*Price dynamics, Dirham/sq.ft.*
_(M - median value)_
```2716|                 *    ```
```    |                      ```
```    |               *      ```
```    |  *     *            *```
```    |     *    * * *       ```
```2132|---------------------M```
```    |                   ** ```
```    |   *   * * *    * *   ```
```    |             *        ```
```    |**                    ```
```1608|    * *               ```
```____|______________________```
```    |May2023        Nov2025```
_Source: see table below_
*Latest sales transactions*
```Date   Price  BUA Type P/sf```
```------------2025-----------```
```24Nov     3M 1236 XXXX 2427```
```03Nov   2.7M 1236 XXXX 2184```
```06Oct   2.7M 1247 XX07 2165```
```29May   2.4M 1152 XX12 2083```
```20May   2.8M 1031 XX05 2716```
```15May   2.8M 1340 XX11 2090```
```21Apr  3.45M 1412 XX04 2443```
```06Jan   2.6M 1152 XX12 2257```
```------------2024-----------```
```25Dec 2.275M 1167 XXXX 1949```
```20Nov 2.375M 1031 XX05 2304```
```11Nov  2.45M 1167 XXXX 2099```
```19Aug  2.35M 1031 XX05 2279```
```02Aug 2.118M 1031 XX05 2054```
```22Jul   3.1M 1316 XX03 2356```
```25Mar   2.1M 1031 XX05 2037```
```------------2023-----------```
```27Dec  2.35M 1412 XX04 1664```
```09Nov   2.6M 1167 XXXX 2228```
```01Nov 1.852M 1152 XX12 1608```
```22Aug   2.7M 1316 XX03 2052```
```17Jul 2.747M 1167 XXXX 2354```
```07Jul 1.875M 1031 XX05 1819```
```02May   2.5M 1412 XX04 1771```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</si>
  <si>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1013614, *NEW RE</t>
  </si>
  <si>
    <t>1013616, *SALES*</t>
  </si>
  <si>
    <t>*SALES*
*TRANSACTIONS**
*STANDPOINT TOWER B*
_Area: Downtown_
_Type: 3 bedroom apartment_
```Date   Price  BUA Type P/sf```
```------------2025-----------```
```24Mar  3.85M 1475 XX02 2610```
_Source: DLD, Databot_
_BUA - built-up area, sq.ft._
_P/sf - price per sq.ft._
_B - bedrooms; O - office_
_M - million, K- thousand_
_S - studio, R - shop_
_*Max 30 latest transactions_
www.trydatabot.com</t>
  </si>
  <si>
    <t>1013617, *MARKET</t>
  </si>
  <si>
    <t>*MARKET*
*SNAPSHOT*
*STANDPOINT TOWER B*
_Area: Downtown_
_Type: 3 bedroom apartment_
*Price dynamics, Dirham/sq.ft.*
_(M - median value)_
```2610|                     *```
```2610|----------------------```
```    |                     *```
```2610|---------------------M```
```    |                     *```
```2610|---------------------M```
```    |                     *```
```2610|---------------------M```
```    |                     *```
```2610|---------------------M```
```    |                     *```
```____|______________________```
```    |Mar2025        Mar2025```
_Source: see table below_
*Latest sales transactions*
```Date   Price  BUA Type P/sf```
```------------2025-----------```
```24Mar  3.85M 1475 XX02 2610```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</si>
  <si>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1013618, *NEW RE</t>
  </si>
  <si>
    <t>1013638, *NEW RE</t>
  </si>
  <si>
    <t>1013652, *NEW RE</t>
  </si>
  <si>
    <t>1013653, *SALES*</t>
  </si>
  <si>
    <t>*SALES*
*TRANSACTIONS**
*STANDPOINT TOWER B*
_Area: Downtown_
_All types/bedrooms_
```Date    Price   BUA  Type B```
```------------2026-----------```
```20Jan    700K   549  XX03 1```
```------------2025-----------```
```25Nov    1.8M   716  XX04 1```
```24Nov      3M  1236  XXXX 2```
```03Nov    2.7M  1236  XXXX 2```
```06Oct    2.7M  1247  XX07 2```
```06Oct  2.111M   716  XXXX 1```
```02Oct    1.7M   527  XX07 1```
```29May    2.4M  1152  XX12 2```
```21May   1.82M   716  XX04 1```
```20May    2.8M  1031  XX05 2```
```15May    2.8M  1340  XX11 2```
```01May   1.25M   656  XX07 S```
```22Apr    1.2M   446  XX09 S```
```22Apr    1.2M   446  XX10 S```
```21Apr   3.45M  1412  XX04 2```
```24Mar   3.85M  1475  XX02 3```
```14Feb  1.875M   716  XX04 1```
```06Feb    1.8M   827  XXXX 1```
```06Jan    2.6M  1152  XX12 2```
```------------2024-----------```
```25Dec  2.275M  1167  XXXX 2```
```20Nov  2.375M  1031  XX05 2```
```11Nov   2.45M  1167  XXXX 2```
```30Oct    1.2M   447  XXXX S```
```21Oct   1.15M   446  XX10 S```
```14Oct    1.7M   716  XX04 1```
```19Aug   2.35M  1031  XX05 2```
```13Aug  1.625M   827  XXXX 1```
```02Aug  2.118M  1031  XX05 2```
```22Jul    3.1M  1316  XX03 2```
```15Jul   2.05M   922  XX07 1```
_Source: DLD, Databot_
_BUA - built-up area, sq.ft._
_P/sf - price per sq.ft._
_B - bedrooms; O - office_
_M - million, K- thousand_
_S - studio, R - shop_
_*Max 30 latest transactions_
www.trydatabot.com</t>
  </si>
  <si>
    <t>1013654, by code, *BUILDI</t>
  </si>
  <si>
    <t xml:space="preserve">*BUILDING*
*PROFILE*
*STANDPOINT TOWER B*
_Area: Downtown_
_Tap&amp;hold to copy a reply_
```-------------------------```
```Report              Reply```
```-------------------------```
*Studio*
```Sales, ROI        1013604```
```Price chart       1013605```
```Rentals           1013606```
*1 B/R*
```Sales, ROI        1013608```
```Price chart       1013609```
```Rentals           1013610```
*2 B/R*
```Sales, ROI        1013612```
```Price chart       1013613```
```Rentals           1013614```
*3 B/R*
```Sales, ROI        1013616```
```Price chart       1013617```
```Rentals           1013618```
*All types/bedrooms*
```Sales, ROI        1013653```
```Rentals           1013652```
</t>
  </si>
  <si>
    <t>1013668, *SALES*</t>
  </si>
  <si>
    <r>
      <rPr/>
      <t xml:space="preserve">*SALES*
*TRANSACTIONS**
*STANDPOINT TOWER A+B*
_Area: Downtown_
_Type: studio apartment_
_Gross ROI=6.65%_
_Median annual rent=80K_
```Date   Price  BUA Type P/sf```
```------------2025-----------```
```16May   1.2M  447 XXXX 2685```
```01May  1.25M  656 XX07 1905```
```22Apr   1.2M  446 XX09 2691```
```22Apr   1.2M  446 XX10 2691```
```06Mar 1.225M  447 XXXX 2740```
```------------2024-----------```
```30Oct   1.2M  447 XXXX 2685```
```21Oct  1.15M  446 XX10 2578```
```24Jun  1.18M  447 XXXX 2640```
```04Jun  1.23M  479 XX11 2568```
```03Jun 1.158M  447 XXXX 2591```
```15May  1.15M  447 XXXX 2573```
```22Apr   1.2M  440 XX08 2727```
```05Feb   1.1M  446 XX06 2466```
```24Jan   1.2M  447 XXXX 2685```
```------------2023-----------```
```23Nov   1.1M  446 XX06 2466```
```08Nov  1.16M  446 XX09 2601```
```03Aug 1.013M  479 XX11 2114```
```13Jul   995K  447 XXXX 2226```
```25May   950K  447 XXXX 2125```
```17May   1.1M  447 XXXX 2461```
```04Apr   680K  446 XX09 1525```
```06Mar 1.285M  440 XX08 2920```
```13Feb     1M  446 XX09 2242```
```09Feb   750K  446 XX09 1682```
```------------2022-----------```
```15Nov   910K  446 XX10 2040```
```02Nov   835K  479 XX05 1743```
```04Jul  1.41M  447 XX10 3154```
```23Mar   800K  440 XX08 1818```
```09Mar   830K  447 XX10 1857```
```------------2021-----------```
```29Aug   740K  446 XX09 1659```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</si>
  <si>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Standpoint Tower A+B</t>
  </si>
  <si>
    <t>1013669, *MARKET</t>
  </si>
  <si>
    <t>*MARKET*
*SNAPSHOT*
*STANDPOINT TOWER A+B*
_Area: Downtown_
_Type: studio apartment_
*Price dynamics, Dirham/sq.ft.*
_(M - median value)_
```2920|*                     ```
```    |          *      *    ```
```2585|---------------------M```
```    |      * *  ** *** ** *```
```    |  *    * *   *        ```
```    |                      ```
```    |    *                 ```
```    |   * *                ```
```    |                    * ```
```    |                      ```
```1525| *                    ```
```____|______________________```
```    |Mar2023        May2025```
_Source: see table below_
*Latest sales transactions*
```Date   Price  BUA Type P/sf```
```------------2025-----------```
```16May   1.2M  447 XXXX 2685```
```01May  1.25M  656 XX07 1905```
```22Apr   1.2M  446 XX09 2691```
```22Apr   1.2M  446 XX10 2691```
```06Mar 1.225M  447 XXXX 2740```
```------------2024-----------```
```30Oct   1.2M  447 XXXX 2685```
```21Oct  1.15M  446 XX10 2578```
```24Jun  1.18M  447 XXXX 2640```
```04Jun  1.23M  479 XX11 2568```
```03Jun 1.158M  447 XXXX 2591```
```15May  1.15M  447 XXXX 2573```
```22Apr   1.2M  440 XX08 2727```
```05Feb   1.1M  446 XX06 2466```
```24Jan   1.2M  447 XXXX 2685```
```------------2023-----------```
```23Nov   1.1M  446 XX06 2466```
```08Nov  1.16M  446 XX09 2601```
```03Aug 1.013M  479 XX11 2114```
```13Jul   995K  447 XXXX 2226```
```25May   950K  447 XXXX 2125```
```17May   1.1M  447 XXXX 2461```
```04Apr   680K  446 XX09 1525```
```06Mar 1.285M  440 XX08 2920```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</si>
  <si>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1013670, *NEW RE</t>
  </si>
  <si>
    <t>1013672, *SALES*</t>
  </si>
  <si>
    <t>*SALES*
*TRANSACTIONS**
*STANDPOINT TOWER A+B*
_Area: Downtown_
_Type: 1 bedroom apartment_
_Gross ROI=6.37%_
_Median annual rent=120K_
```Date   Price  BUA Type P/sf```
```------------2026-----------```
```20Jan   700K  549 XX03 1275```
```------------2025-----------```
```25Nov   1.8M  716 XX04 2514```
```24Nov  1.75M 1189 XX14 1472```
```09Oct  1.85M  827 XXXX 2237```
```06Oct 2.111M  716 XXXX 2948```
```02Oct   1.7M  527 XX07 3226```
```24Sep     2M  766 XX12 2611```
```10Sep  2.42M  841 XXXX 2878```
```14Aug  1.87M  714 XX06 2619```
```30Jun  2.05M  887 XXXX 2311```
```25Jun  1.85M  714 XX06 2591```
```20Jun 1.875M  789 XX06 2376```
```19Jun  1.76M  847 XX01 2078```
```27May   2.2M 1195 XX03 1841```
```21May  1.82M  716 XX04 2542```
```22Apr  2.15M  708 XX05 3037```
```22Apr   1.8M  841 XXXX 2140```
```08Apr  1.95M  827 XXXX 2358```
```27Mar  2.55M  792 XXXX 3220```
```12Mar 1.855M  792 XXXX 2342```
```07Mar   1.9M  829 XX02 2292```
```28Feb 1.925M  829 XX02 2322```
```17Feb     2M  841 XXXX 2378```
```14Feb 1.875M  716 XX04 2619```
```07Feb   2.2M  841 XXXX 2616```
```06Feb   1.8M  827 XXXX 2177```
```02Jan  1.42M  708 XX05 2006```
```------------2024-----------```
```14Nov  1.78M  847 XX01 2102```
```30Oct 1.725M 1195 XX03 1444```
```23Oct   1.9M  827 XXXX 2297```
_Source: DLD, Databot_
_BUA - built-up area, sq.ft._
_P/sf - price per sq.ft._
_B - bedrooms; O - office_
_M - million, K- thousand_
_S - studio, R - shop_
_*Max 30 latest transactions_
www.trydatabot.com</t>
  </si>
  <si>
    <t>1013673, *MARKET</t>
  </si>
  <si>
    <t>*MARKET*
*SNAPSHOT*
*STANDPOINT TOWER A+B*
_Area: Downtown_
_Type: 1 bedroom apartment_
*Price dynamics, Dirham/sq.ft.*
_(M - median value)_
```3226|   *            *     ```
```    |      *          *    ```
```    |              *       ```
```    |           * * *      ```
```2367|---------------------M```
```    |    *  *  *         * ```
```    |***         *     *   ```
```    |     *   *            ```
```    |        *             ```
```    |                   *  ```
```1275|                     *```
```____|______________________```
```    |Feb2025        Jan2026```
_Source: see table below_
*Latest sales transactions*
```Date   Price  BUA Type P/sf```
```------------2026-----------```
```20Jan   700K  549 XX03 1275```
```------------2025-----------```
```25Nov   1.8M  716 XX04 2514```
```24Nov  1.75M 1189 XX14 1472```
```09Oct  1.85M  827 XXXX 2237```
```06Oct 2.111M  716 XXXX 2948```
```02Oct   1.7M  527 XX07 3226```
```24Sep     2M  766 XX12 2611```
```10Sep  2.42M  841 XXXX 2878```
```14Aug  1.87M  714 XX06 2619```
```30Jun  2.05M  887 XXXX 2311```
```25Jun  1.85M  714 XX06 2591```
```20Jun 1.875M  789 XX06 2376```
```19Jun  1.76M  847 XX01 2078```
```27May   2.2M 1195 XX03 1841```
```21May  1.82M  716 XX04 2542```
```22Apr  2.15M  708 XX05 3037```
```22Apr   1.8M  841 XXXX 2140```
```08Apr  1.95M  827 XXXX 2358```
```27Mar  2.55M  792 XXXX 3220```
```12Mar 1.855M  792 XXXX 2342```
```07Mar   1.9M  829 XX02 2292```
```28Feb 1.925M  829 XX02 2322```
```17Feb     2M  841 XXXX 2378```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</si>
  <si>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1013674, *NEW RE</t>
  </si>
  <si>
    <t>1013676, *SALES*</t>
  </si>
  <si>
    <t>*SALES*
*TRANSACTIONS**
*STANDPOINT TOWER A+B*
_Area: Downtown_
_Type: 2 bedroom apartment_
_Gross ROI=5.68%_
_Median annual rent=163.5K_
```Date   Price  BUA Type P/sf```
```------------2026-----------```
```12Jan  3.45M 1304 XX05 2646```
```08Jan   2.9M 1209 XX10 2399```
```07Jan   2.6M 1171 XXXX 2220```
```------------2025-----------```
```26Nov   2.5M 1171 XXXX 2135```
```24Nov     3M 1236 XXXX 2427```
```03Nov   2.7M 1236 XXXX 2184```
```06Oct   2.7M 1247 XX07 2165```
```03Oct  3.39M 1234 XXXX 2747```
```22Jul   2.8M 1199 XXXX 2335```
```23Jun     3M 1171 XXXX 2562```
```17Jun  3.15M 1390 XX03 2266```
```29May   2.4M 1152 XX12 2083```
```20May   2.8M 1031 XX05 2716```
```15May   2.8M 1340 XX11 2090```
```21Apr  3.45M 1412 XX04 2443```
```03Apr     3M 1355 XX09 2214```
```24Mar     4M 1906 XX06 2099```
```04Mar 2.685M 1089 XX05 2466```
```11Feb  3.35M 1171 XXXX 2861```
```30Jan     1M  695 XXXX 1439```
```06Jan   2.6M 1152 XX12 2257```
```------------2024-----------```
```25Dec 2.275M 1167 XXXX 1949```
```23Dec   2.9M 1355 XX09 2140```
```20Nov 2.375M 1031 XX05 2304```
```11Nov  2.45M 1167 XXXX 2099```
```30Oct 2.375M 1209 XX13 1964```
```21Oct 2.725M 1209 XX10 2254```
```10Oct  2.43M 1304 XX05 1863```
```01Oct  2.05M 1199 XXXX 1710```
```19Aug  2.45M 1171 XXXX 2092```
_Source: DLD, Databot_
_BUA - built-up area, sq.ft._
_P/sf - price per sq.ft._
_B - bedrooms; O - office_
_M - million, K- thousand_
_S - studio, R - shop_
_*Max 30 latest transactions_
www.trydatabot.com</t>
  </si>
  <si>
    <t>1013677, *MARKET</t>
  </si>
  <si>
    <t>*MARKET*
*SNAPSHOT*
*STANDPOINT TOWER A+B*
_Area: Downtown_
_Type: 2 bedroom apartment_
*Price dynamics, Dirham/sq.ft.*
_(M - median value)_
```2861|   *                  ```
```    |         *    *       ```
```    |            *        *```
```    |    *  *         *  * ```
```2262|---------------------M```
```    | *         * *        ```
```    |     ** * *    ** **  ```
```    |*                     ```
```    |                      ```
```    |                      ```
```1439|  *                   ```
```____|______________________```
```    |Dec2024        Jan2026```
_Source: see table below_
*Latest sales transactions*
```Date   Price  BUA Type P/sf```
```------------2026-----------```
```12Jan  3.45M 1304 XX05 2646```
```08Jan   2.9M 1209 XX10 2399```
```07Jan   2.6M 1171 XXXX 2220```
```------------2025-----------```
```26Nov   2.5M 1171 XXXX 2135```
```24Nov     3M 1236 XXXX 2427```
```03Nov   2.7M 1236 XXXX 2184```
```06Oct   2.7M 1247 XX07 2165```
```03Oct  3.39M 1234 XXXX 2747```
```22Jul   2.8M 1199 XXXX 2335```
```23Jun     3M 1171 XXXX 2562```
```17Jun  3.15M 1390 XX03 2266```
```29May   2.4M 1152 XX12 2083```
```20May   2.8M 1031 XX05 2716```
```15May   2.8M 1340 XX11 2090```
```21Apr  3.45M 1412 XX04 2443```
```03Apr     3M 1355 XX09 2214```
```24Mar     4M 1906 XX06 2099```
```04Mar 2.685M 1089 XX05 2466```
```11Feb  3.35M 1171 XXXX 2861```
```30Jan     1M  695 XXXX 1439```
```06Jan   2.6M 1152 XX12 2257```
```------------2024-----------```
```25Dec 2.275M 1167 XXXX 1949```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</si>
  <si>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1013678, *NEW RE</t>
  </si>
  <si>
    <t>1013680, *SALES*</t>
  </si>
  <si>
    <t>*SALES*
*TRANSACTIONS**
*STANDPOINT TOWER A+B*
_Area: Downtown_
_Type: 3 bedroom apartment_
```Date   Price  BUA Type P/sf```
```------------2025-----------```
```24Mar  3.85M 1475 XX02 2610```
```21Jan   3.6M 1672 XXXX 2153```
```------------2024-----------```
```15Jul   3.9M 1448 XXXX 2693```
_Source: DLD, Databot_
_BUA - built-up area, sq.ft._
_P/sf - price per sq.ft._
_B - bedrooms; O - office_
_M - million, K- thousand_
_S - studio, R - shop_
_*Max 30 latest transactions_
www.trydatabot.com</t>
  </si>
  <si>
    <t>1013681, *MARKET</t>
  </si>
  <si>
    <t>*MARKET*
*SNAPSHOT*
*STANDPOINT TOWER A+B*
_Area: Downtown_
_Type: 3 bedroom apartment_
*Price dynamics, Dirham/sq.ft.*
_(M - median value)_
```2693|                   *  ```
```    |                      ```
```2610|---------------------M```
```    |                     *```
```    |                      ```
```    |                      ```
```    |                      ```
```    |                      ```
```    |                      ```
```    |                      ```
```2153|                    * ```
```____|______________________```
```    |Jul2024        Mar2025```
_Source: see table below_
*Latest sales transactions*
```Date   Price  BUA Type P/sf```
```------------2025-----------```
```24Mar  3.85M 1475 XX02 2610```
```21Jan   3.6M 1672 XXXX 2153```
```------------2024-----------```
```15Jul   3.9M 1448 XXXX 2693```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</si>
  <si>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1013682, *NEW RE</t>
  </si>
  <si>
    <t>1013702, *NEW RE</t>
  </si>
  <si>
    <t>1013716, *NEW RE</t>
  </si>
  <si>
    <t>1013717, *SALES*</t>
  </si>
  <si>
    <t>*SALES*
*TRANSACTIONS**
*STANDPOINT TOWER A+B*
_Area: Downtown_
_All types/bedrooms_
```Date    Price   BUA  Type B```
```------------2026-----------```
```20Jan    700K   549  XX03 1```
```12Jan   3.45M  1304  XX05 2```
```08Jan    2.9M  1209  XX10 2```
```07Jan    2.6M  1171  XXXX 2```
```------------2025-----------```
```26Nov    2.5M  1171  XXXX 2```
```25Nov    1.8M   716  XX04 1```
```24Nov   1.75M  1189  XX14 1```
```24Nov      3M  1236  XXXX 2```
```03Nov    2.7M  1236  XXXX 2```
```09Oct   1.85M   827  XXXX 1```
```06Oct    2.7M  1247  XX07 2```
```06Oct  2.111M   716  XXXX 1```
```03Oct   3.39M  1234  XXXX 2```
```02Oct    1.7M   527  XX07 1```
```24Sep      2M   766  XX12 1```
```10Sep   2.42M   841  XXXX 1```
```14Aug   1.87M   714  XX06 1```
```22Jul    2.8M  1199  XXXX 2```
```30Jun   2.05M   887  XXXX 1```
```25Jun   1.85M   714  XX06 1```
```23Jun      3M  1171  XXXX 2```
```20Jun  1.875M   789  XX06 1```
```19Jun   1.76M   847  XX01 1```
```17Jun   3.15M  1390  XX03 2```
```29May    2.4M  1152  XX12 2```
```27May    2.2M  1195  XX03 1```
```21May   1.82M   716  XX04 1```
```20May    2.8M  1031  XX05 2```
```16May    1.2M   447  XXXX S```
```15May    2.8M  1340  XX11 2```
_Source: DLD, Databot_
_BUA - built-up area, sq.ft._
_P/sf - price per sq.ft._
_B - bedrooms; O - office_
_M - million, K- thousand_
_S - studio, R - shop_
_*Max 30 latest transactions_
www.trydatabot.com</t>
  </si>
  <si>
    <t>1013718, by code, *BUILDI</t>
  </si>
  <si>
    <t xml:space="preserve">*BUILDING*
*PROFILE*
*STANDPOINT TOWER A+B*
_Area: Downtown_
_Tap&amp;hold to copy a reply_
```-------------------------```
```Report              Reply```
```-------------------------```
*Studio*
```Sales, ROI        1013668```
```Price chart       1013669```
```Rentals           1013670```
*1 B/R*
```Sales, ROI        1013672```
```Price chart       1013673```
```Rentals           1013674```
*2 B/R*
```Sales, ROI        1013676```
```Price chart       1013677```
```Rentals           1013678```
*3 B/R*
```Sales, ROI        1013680```
```Price chart       1013681```
```Rentals           1013682```
*All types/bedrooms*
```Sales, ROI        1013717```
```Rentals           1013716```
</t>
  </si>
  <si>
    <t>1013748, *SALES*</t>
  </si>
  <si>
    <t>*SALES*
*TRANSACTIONS (RESALE)**
*THE 118*
_Area: Downtown_
_Type: 4 bedroom apartment_
```Date   Price  BUA Type P/sf```
```------------2025-----------```
```31Oct 24.48M 7333 XX14 3338```
```31Oct 24.74M 6650 XXXX 3720```
```22Oct    34M 6650 XXXX 5113```
```24Jul 7.425M 2195 XXXX 3383```
```20Feb    25M 6650 XXXX 3759```
```------------2024-----------```
```12Dec 30.76M 6650 XXXX 4626```
```28Aug    26M 6650 XXXX 3910```
```04Jul  23.5M 6650 XXXX 3534```
```17May    21M 6650 XXXX 3158```
```01Mar  24.7M 6650 XXXX 3714```
```15Jan    24M 6650 XXXX 3609```
```------------2023-----------```
```25Dec  22.5M 6650 XXXX 3383```
```30Oct    24M 6650 XXXX 3609```
```12Oct  20.5M 6650 XXXX 3083```
```06Jul  21.8M 6650 XXXX 3278```
```29May    23M 6650 XXXX 3459```
```15May    22M 6650 XXXX 3308```
```17Mar    22M 6650 XXXX 3308```
```01Mar    22M 6650 XXXX 3308```
```27Jan    22M 6650 XXXX 3308```
```------------2022-----------```
```07Jul  19.5M 6650 XX20 2932```
```------------2021-----------```
```12Sep    19M 6650 XX39 2857```
_Source: DLD, Databot_
_BUA - built-up area, sq.ft._
_P/sf - price per sq.ft._
_B - bedrooms; O - office_
_M - million, K- thousand_
_S - studio, R - shop_
_*Max 30 latest transactions_
www.trydatabot.com</t>
  </si>
  <si>
    <t>The 118</t>
  </si>
  <si>
    <t>1013749, *MARKET</t>
  </si>
  <si>
    <t>*MARKET*
*SNAPSHOT*
*THE 118*
_Area: Downtown_
_Type: 4 bedroom apartment_
*Price dynamics, Dirham/sq.ft.*
_(M - median value)_
```5113|                   *  ```
```    |                      ```
```    |                *     ```
```    |                      ```
```    |                      ```
```    |               *      ```
```    |            *    *  * ```
```    |      *  * *  *       ```
```3383|---------------------M```
```    |  **** ** *  *    *  *```
```2857|**                    ```
```____|______________________```
```    |Sep2021        Oct2025```
_Source: see table below_
*Latest sales transactions*
```Date   Price  BUA Type P/sf```
```------------2025-----------```
```31Oct 24.48M 7333 XX14 3338```
```31Oct 24.74M 6650 XXXX 3720```
```22Oct    34M 6650 XXXX 5113```
```24Jul 7.425M 2195 XXXX 3383```
```20Feb    25M 6650 XXXX 3759```
```------------2024-----------```
```12Dec 30.76M 6650 XXXX 4626```
```28Aug    26M 6650 XXXX 3910```
```04Jul  23.5M 6650 XXXX 3534```
```17May    21M 6650 XXXX 3158```
```01Mar  24.7M 6650 XXXX 3714```
```15Jan    24M 6650 XXXX 3609```
```------------2023-----------```
```25Dec  22.5M 6650 XXXX 3383```
```30Oct    24M 6650 XXXX 3609```
```12Oct  20.5M 6650 XXXX 3083```
```06Jul  21.8M 6650 XXXX 3278```
```29May    23M 6650 XXXX 3459```
```15May    22M 6650 XXXX 3308```
```17Mar    22M 6650 XXXX 3308```
```01Mar    22M 6650 XXXX 3308```
```27Jan    22M 6650 XXXX 3308```
```------------2022-----------```
```07Jul  19.5M 6650 XX20 2932```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</si>
  <si>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1013750, *NEW RE</t>
  </si>
  <si>
    <t>*NEW RENT*
*CONTRACTS**
_(renewals are not included)_
*THE 118*
_Area: Downtown_
_Type: 4 bedroom apartment_
```Date  Price   BUA  Type D/s```
```------------2025-----------```
```28Jul 1.47M  6652  XXXX 220```
```01Apr 2.03M  6652  XXXX 304```
```01Feb  1.5M  6652  XXXX 225```
```01Jan  4.5M  6652  XXXX 676```
```------------2024-----------```
```01Oct  600K  6652  XXXX  90```
```01Oct  1.4M  6652  XXXX 210```
```01Sep  1.6M  6652  XXXX 241```
```29Aug  500K  6652  XXXX  75```
```15Mar  1.1M  6652  XXXX 165```
```08Feb 1.35M  6652  XXXX 203```
```01Jan  300K  6652  XXXX  45```
```------------2023-----------```
```08Dec  725K  6652  XXXX 109```
```08Dec  1.2M  7330  XXXX 164```
```08Dec 1.49M  6652  XXXX 223```
```01Nov 1.49M  6652  XXXX 223```
```11Sep  2.5M  6652  XXXX 376```
```15Jul  1.2M  7330  XXXX 164```
```01Mar  800K  6652  XXXX 120```
```10Jan  800K  6652  XXXX 120```
```01Jan  1.8M  6652  XXXX 271```
_Source: DLD, Databot_
_BUA - built-up area, sq.ft._
_P/sf - price per sq.ft._
_B - bedrooms; O - office_
_M - million, K- thousand_
_S - studio, R - shop_
_*20 latest contracts_
www.trydatabot.com</t>
  </si>
  <si>
    <t>1013751, *RESELL</t>
  </si>
  <si>
    <t>*RESELL*
*VS PRIMARY*
*THE 118*
_Area: Downtown_
_Type: 4 bedroom apartment_
*Price dynamics, Dirham/sq.ft.*
_(x - primary; * - resell)_
```5113|                   *  ```
```    |                      ```
```    |                *     ```
```    |                      ```
```4329|                      ```
```    |                      ```
```    |               *      ```
```    |            *    *  * ```
```    |        x x*  *   *   ```
```3158|         x   *       *```
```____|______________________```
```    |Dec1899        Oct2025```
_Source: see a table below_
*Latest resell transactions*
```Date   Price  BUA Type P/sf```
```------------2025-----------```
```31Oct 24.48M 7333 XX14 3338```
```31Oct 24.74M 6650 XXXX 3720```
```22Oct    34M 6650 XXXX 5113```
```24Jul 7.425M 2195 XXXX 3383```
```20Feb    25M 6650 XXXX 3759```
```------------2024-----------```
```12Dec 30.76M 6650 XXXX 4626```
```28Aug    26M 6650 XXXX 3910```
```04Jul  23.5M 6650 XXXX 3534```
```17May    21M 6650 XXXX 3158```
```01Mar  24.7M 6650 XXXX 3714```
```15Jan    24M 6650 XXXX 3609```
```------------2023-----------```
```25Dec  22.5M 6650 XXXX 3383```
```30Oct    24M 6650 XXXX 3609```
```12Oct  20.5M 6650 XXXX 3083```
```06Jul  21.8M 6650 XXXX 3278```
```29May    23M 6650 XXXX 3459```
*Latest primary transactions*
```------------2022-----------```
```25Nov  23.4M 6650 XX40 3519```
```01Sep    22M 6650 XX19 3308```
```23May  22.9M 6650 XX32 3444```
_Source: DLD, Databot_
_BUA - built-up area, sq.ft._
_P/sf - price per sq.ft._
_B - bedrooms; O - office_
_M - million, K- thousand_
_S - studio, R - shop_
www.trydatabot.com</t>
  </si>
  <si>
    <t>1013752, *SALES*</t>
  </si>
  <si>
    <t>*SALES*
*TRANSACTIONS**
*THE 118*
_Area: Downtown_
_Type: 5 bedroom apartment_
```Date   Price  BUA Type P/sf```
```------------2025-----------```
```09Apr    65M  12K XX43 5604```
_Source: DLD, Databot_
_BUA - built-up area, sq.ft._
_P/sf - price per sq.ft._
_B - bedrooms; O - office_
_M - million, K- thousand_
_S - studio, R - shop_
_*Max 30 latest transactions_
www.trydatabot.com</t>
  </si>
  <si>
    <t>1013753, *MARKET</t>
  </si>
  <si>
    <t>*MARKET*
*SNAPSHOT*
*THE 118*
_Area: Downtown_
_Type: 5 bedroom apartment_
*Price dynamics, Dirham/sq.ft.*
_(M - median value)_
```5604|                     *```
```5604|----------------------```
```    |                     *```
```5604|---------------------M```
```    |                     *```
```5604|---------------------M```
```    |                     *```
```5604|---------------------M```
```    |                     *```
```5604|---------------------M```
```    |                     *```
```____|______________________```
```    |Apr2025        Apr2025```
_Source: see table below_
*Latest sales transactions*
```Date   Price  BUA Type P/sf```
```------------2025-----------```
```09Apr    65M  12K XX43 5604```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</si>
  <si>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1013780, *NEW RE</t>
  </si>
  <si>
    <t>*NEW RENT*
*CONTRACTS**
_(renewals are not included)_
*THE 118*
_Area: Downtown_
_All types/bedrooms_
```Date    Price   BUA Type  B```
```------------2025-----------```
```28Jul  1.467M  6652 XXXX  4```
```01Apr  2.025M  6652 XXXX  4```
```01Feb    1.5M  6652 XXXX  4```
```01Jan    4.5M  6652 XXXX  4```
```------------2024-----------```
```01Oct    600K  6652 XXXX  4```
```01Oct    1.4M  6652 XXXX  4```
```01Sep    1.6M  6652 XXXX  4```
```29Aug    500K  6652 XXXX  4```
```15Mar    1.1M  6652 XXXX  4```
```08Feb   1.35M  6652 XXXX  4```
```01Jan    300K  6652 XXXX  4```
```------------2023-----------```
```08Dec    725K  6652 XXXX  4```
```08Dec    1.2M  7330 XXXX  4```
```08Dec  1.485M  6652 XXXX  4```
```01Nov  1.485M  6652 XXXX  4```
```11Sep    2.5M  6652 XXXX  4```
```15Jul    1.2M  7330 XXXX  4```
```01Mar    800K  6652 XXXX  4```
```10Jan    800K  6652 XXXX  4```
```01Jan    1.8M  6652 XXXX  4```
_Source: DLD, Databot_
_BUA - built-up area, sq.ft._
_P/sf - price per sq.ft._
_B - bedrooms; O - office_
_M - million, K- thousand_
_S - studio, R - shop_
_*20 latest contracts_
www.trydatabot.com</t>
  </si>
  <si>
    <t>1013781, *SALES*</t>
  </si>
  <si>
    <t>*SALES*
*TRANSACTIONS (RESALE)**
*THE 118*
_Area: Downtown_
_All types/bedrooms_
```Date    Price   BUA  Type B```
```------------2025-----------```
```31Oct  24.48M  7333  XX14 4```
```31Oct  24.74M  6650  XXXX 4```
```22Oct     34M  6650  XXXX 4```
```24Jul  7.425M  2195  XXXX 4```
```09Apr     65M   12K  XX43 5```
```20Feb     25M  6650  XXXX 4```
```------------2024-----------```
```12Dec  30.76M  6650  XXXX 4```
```28Aug     26M  6650  XXXX 4```
```04Jul   23.5M  6650  XXXX 4```
```17May     21M  6650  XXXX 4```
```01Mar   24.7M  6650  XXXX 4```
```07Feb     65M   11K  XX33 6```
```15Jan     24M  6650  XXXX 4```
```------------2023-----------```
```25Dec   22.5M  6650  XXXX 4```
```30Oct     24M  6650  XXXX 4```
```12Oct   20.5M  6650  XXXX 4```
```06Jul   21.8M  6650  XXXX 4```
```29May     23M  6650  XXXX 4```
```15May     22M  6650  XXXX 4```
```17Mar     22M  6650  XXXX 4```
```01Mar     22M  6650  XXXX 4```
```27Jan     22M  6650  XXXX 4```
```------------2022-----------```
```07Jul   19.5M  6650  XX20 4```
```------------2021-----------```
```12Sep     19M  6650  XX39 4```
_Source: DLD, Databot_
_BUA - built-up area, sq.ft._
_P/sf - price per sq.ft._
_B - bedrooms; O - office_
_M - million, K- thousand_
_S - studio, R - shop_
_*Max 30 latest transactions_
www.trydatabot.com</t>
  </si>
  <si>
    <t>1013782, 118, *BUILDI</t>
  </si>
  <si>
    <t xml:space="preserve">*BUILDING*
*PROFILE*
*THE 118*
_Area: Downtown_
_Tap&amp;hold to copy a reply_
```-------------------------```
```Report              Reply```
```-------------------------```
*4 B/R*
```Resell, ROI       1013748```
```Primary sales     1013787```
```Price chart       1013749```
```Rentals           1013750```
```Appreciation      1013751```
*5 B/R*
```Sales, ROI        1013752```
```Price chart       1013753```
```Rentals               n/a```
*All types/bedrooms*
```Resell, ROI       1013781```
```Primary sales     1013795```
```Rentals           1013780```
</t>
  </si>
  <si>
    <t>1013787, *SALES*</t>
  </si>
  <si>
    <t>*SALES*
*TRANSACTIONS (PRIMARY)**
*THE 118*
_Area: Downtown_
_Type: 4 bedroom apartment_
```Date   Price  BUA Type P/sf```
```------------2022-----------```
```25Nov  23.4M 6650 XX40 3519```
```01Sep    22M 6650 XX19 3308```
```23May  22.9M 6650 XX32 3444```
_Source: DLD, Databot_
_BUA - built-up area, sq.ft._
_P/sf - price per sq.ft._
_B - bedrooms; O - office_
_M - million, K- thousand_
_S - studio, R - shop_
_*Max 20 latest transactions_
www.trydatabot.com</t>
  </si>
  <si>
    <t>1013795, *SALES*</t>
  </si>
  <si>
    <t>*SALES*
*TRANSACTIONS (PRIMARY)**
*THE 118*
_Area: Downtown_
_All types/bedrooms_
```Date    Price   BUA  Type B```
```------------2022-----------```
```25Nov   23.4M  6650  XX40 4```
```01Sep     22M  6650  XX19 4```
```23May   22.9M  6650  XX32 4```
```------------2021-----------```
```26Oct   49.9M   12K  XX43 6```
_Source: DLD, Databot_
_BUA - built-up area, sq.ft._
_P/sf - price per sq.ft._
_B - bedrooms; O - office_
_M - million, K- thousand_
_S - studio, R - shop_
_*Max 20 latest transactions_
www.trydatabot.com</t>
  </si>
  <si>
    <t>1013800, *SALES*</t>
  </si>
  <si>
    <t>*SALES*
*TRANSACTIONS**
*THE ADDRESS FOUNTAIN VIEWS 1*
_Area: Downtown_
_Type: 1 bedroom apartment_
```Date   Price  BUA Type P/sf```
```------------2026-----------```
```08Jan     4M  839 XXXX 4768```
```------------2025-----------```
```19Dec  3.75M  839 XXXX 4470```
```14Oct  3.35M  839 XXXX 3993```
```30Sep   3.5M  839 XXXX 4172```
```09Sep     4M  841 XXXX 4756```
```19Aug  4.36M  841 XX05 5184```
```18Jun   3.7M  839 XX06 4410```
```06May   3.7M  840 XX03 4405```
```29Apr   3.8M  840 XX02 4524```
```27Mar     4M  841 XX05 4756```
```11Mar   4.1M  839 XX05 4887```
```27Jan   3.5M  839 XX02 4172```
```------------2024-----------```
```04Dec   3.8M  840 XX02 4524```
```12Sep   3.8M  841 XX05 4518```
```27Aug  3.55M  840 XX02 4226```
```14Jun     3M  840 XX02 3571```
```22Feb   3.6M  839 XXXX 4291```
```23Jan   3.5M  840 XX03 4167```
```15Jan  3.15M  839 XXXX 3754```
```10Jan   3.4M  839 XXXX 4052```
```------------2023-----------```
```25Dec   2.5M  839 XX03 2980```
```28Nov  3.65M  841 XXXX 4340```
```06Nov  3.25M  841 XXXX 3864```
```24Aug 2.925M  839 XXXX 3486```
```20Jun  3.45M  839 XXXX 4112```
```30May  2.75M  840 XX02 3274```
```23May   2.9M  839 XXXX 3456```
```12May   2.7M  839 XXXX 3218```
```08May  3.05M  839 XX03 3635```
```03May     3M  840 XX03 3571```
_Source: DLD, Databot_
_BUA - built-up area, sq.ft._
_P/sf - price per sq.ft._
_B - bedrooms; O - office_
_M - million, K- thousand_
_S - studio, R - shop_
_*Max 30 latest transactions_
www.trydatabot.com</t>
  </si>
  <si>
    <t>The Address Fountain Views 1</t>
  </si>
  <si>
    <t>1013801, *MARKET</t>
  </si>
  <si>
    <t>*MARKET*
*SNAPSHOT*
*THE ADDRESS FOUNTAIN VIEWS 1*
_Area: Downtown_
_Type: 1 bedroom apartment_
*Price dynamics, Dirham/sq.ft.*
_(M - median value)_
```5184|                *     ```
```    |           *          ```
```    |            *    *   *```
```    |        **   *      * ```
```4373|---------------------M```
```    |*    * *      **      ```
```    |  * *     *       **  ```
```    |                      ```
```    |      *               ```
```    |                      ```
```2980| *                    ```
```____|______________________```
```    |Nov2023        Jan2026```
_Source: see table below_
*Latest sales transactions*
```Date   Price  BUA Type P/sf```
```------------2026-----------```
```08Jan     4M  839 XXXX 4768```
```------------2025-----------```
```19Dec  3.75M  839 XXXX 4470```
```14Oct  3.35M  839 XXXX 3993```
```30Sep   3.5M  839 XXXX 4172```
```09Sep     4M  841 XXXX 4756```
```19Aug  4.36M  841 XX05 5184```
```18Jun   3.7M  839 XX06 4410```
```06May   3.7M  840 XX03 4405```
```29Apr   3.8M  840 XX02 4524```
```27Mar     4M  841 XX05 4756```
```11Mar   4.1M  839 XX05 4887```
```27Jan   3.5M  839 XX02 4172```
```------------2024-----------```
```04Dec   3.8M  840 XX02 4524```
```12Sep   3.8M  841 XX05 4518```
```27Aug  3.55M  840 XX02 4226```
```14Jun     3M  840 XX02 3571```
```22Feb   3.6M  839 XXXX 4291```
```23Jan   3.5M  840 XX03 4167```
```15Jan  3.15M  839 XXXX 3754```
```10Jan   3.4M  839 XXXX 4052```
```------------2023-----------```
```25Dec   2.5M  839 XX03 2980```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</si>
  <si>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1013804, *SALES*</t>
  </si>
  <si>
    <t>*SALES*
*TRANSACTIONS**
*THE ADDRESS FOUNTAIN VIEWS 1*
_Area: Downtown_
_Type: 2 bedroom apartment_
```Date   Price  BUA Type P/sf```
```------------2026-----------```
```20Jan   5.5M 1495 XX04 3679```
```19Jan     7M 1334 XX04 5247```
```16Jan  6.85M 1336 XX02 5127```
```------------2025-----------```
```21Nov   6.2M 1334 XX04 4648```
```23Oct   5.2M 1446 XXXX 3596```
```08Oct     5M 1445 XX01 3460```
```01Oct   6.3M 1494 XX04 4217```
```04Sep   6.1M 1447 XXXX 4216```
```01Sep  5.25M 1445 XX01 3633```
```28Jul  6.55M 1447 XX01 4527```
```24Jul  5.42M 1447 XX01 3746```
```02Jul  6.95M 1332 XX04 5218```
```19Jun   6.8M 1336 XX02 5090```
```03Jun  6.56M 1337 XX02 4907```
```14Mar   6.6M 1336 XX02 4940```
```17Feb   5.1M 1447 XX01 3525```
```07Feb   5.3M 1445 XX01 3668```
```------------2024-----------```
```12Dec   6.5M 1446 XX07 4495```
```10Dec  5.75M 1447 XX01 3974```
```04Dec   5.9M 1446 XX05 4080```
```28Nov  5.05M 1446 XX07 3492```
```31Oct 6.664M 1494 XX04 4460```
```28Oct   6.2M 1332 XX04 4655```
```23Sep     6M 1445 XX01 4152```
```28Aug  7.35M 1337 XX02 5497```
```01Aug   5.7M 1447 XX01 3939```
```18Jul   4.9M 1446 XX07 3389```
```27Jun  6.15M 1446 XX05 4253```
```10Jun   4.9M 1445 XX01 3391```
```06Jun     7M 1336 XX02 5240```
_Source: DLD, Databot_
_BUA - built-up area, sq.ft._
_P/sf - price per sq.ft._
_B - bedrooms; O - office_
_M - million, K- thousand_
_S - studio, R - shop_
_*Max 30 latest transactions_
www.trydatabot.com</t>
  </si>
  <si>
    <t>1013805, *MARKET</t>
  </si>
  <si>
    <t>*MARKET*
*SNAPSHOT*
*THE ADDRESS FOUNTAIN VIEWS 1*
_Area: Downtown_
_Type: 2 bedroom apartment_
*Price dynamics, Dirham/sq.ft.*
_(M - median value)_
```5247|          *         * ```
```    |         *         *  ```
```    |       **             ```
```    |                  *   ```
```    |*   *       *         ```
```    |                      ```
```4217|---------------------M```
```    |              **      ```
```    |  **                  ```
```    |     *     *         *```
```3460| *    *      *  **    ```
```____|______________________```
```    |Oct2024        Jan2026```
_Source: see table below_
*Latest sales transactions*
```Date   Price  BUA Type P/sf```
```------------2026-----------```
```20Jan   5.5M 1495 XX04 3679```
```19Jan     7M 1334 XX04 5247```
```16Jan  6.85M 1336 XX02 5127```
```------------2025-----------```
```21Nov   6.2M 1334 XX04 4648```
```23Oct   5.2M 1446 XXXX 3596```
```08Oct     5M 1445 XX01 3460```
```01Oct   6.3M 1494 XX04 4217```
```04Sep   6.1M 1447 XXXX 4216```
```01Sep  5.25M 1445 XX01 3633```
```28Jul  6.55M 1447 XX01 4527```
```24Jul  5.42M 1447 XX01 3746```
```02Jul  6.95M 1332 XX04 5218```
```19Jun   6.8M 1336 XX02 5090```
```03Jun  6.56M 1337 XX02 4907```
```14Mar   6.6M 1336 XX02 4940```
```17Feb   5.1M 1447 XX01 3525```
```07Feb   5.3M 1445 XX01 3668```
```------------2024-----------```
```12Dec   6.5M 1446 XX07 4495```
```10Dec  5.75M 1447 XX01 3974```
```04Dec   5.9M 1446 XX05 4080```
```28Nov  5.05M 1446 XX07 3492```
```31Oct 6.664M 1494 XX04 4460```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</si>
  <si>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1013808, *SALES*</t>
  </si>
  <si>
    <t>*SALES*
*TRANSACTIONS**
*THE ADDRESS FOUNTAIN VIEWS 1*
_Area: Downtown_
_Type: 3 bedroom apartment_
```Date   Price  BUA Type P/sf```
```------------2025-----------```
```08Dec  10.2M 2305 XX01 4425```
```04Nov  11.8M 2217 XX03 5323```
```29Aug    12M 2217 XX03 5413```
```15Aug   9.8M 1979 XX01 4952```
```04Jul  10.5M 1986 XX04 5287```
```16Jun   9.5M 1986 XX04 4783```
```25Apr  7.65M 2304 XX01 3320```
```------------2024-----------```
```03Dec  11.8M 2217 XX03 5323```
```16Sep 9.231M 2218 XX03 4162```
```10Jun   8.8M 1986 XX04 4431```
```09May   8.8M 1986 XX04 4431```
```03Apr  11.3M 2218 XX03 5095```
```25Mar  11.5M 2218 XX03 5185```
```21Mar  11.4M 2217 XX03 5142```
```13Mar    15M 5114 XX03 2933```
```04Mar  11.5M 2218 XX03 5185```
```------------2023-----------```
```21Dec  10.3M 2218 XX03 4644```
```15Dec 13.75M 3245 XX02 4237```
```14Sep  10.5M 2217 XX03 4736```
```14Jun   9.4M 2217 XX03 4240```
```23Mar     8M 1978 XX01 4044```
```------------2022-----------```
```20Dec   8.5M 2218 XX03 3832```
```11Oct   8.5M 2217 XX03 3834```
```06Oct 12.36M 5114 XX03 2417```
```24Aug  7.65M 2304 XX01 3320```
```15Aug 8.506M 1986 XX04 4283```
```15Jul 6.725M 2218 XX03 3032```
```04Jul   6.5M 2304 XX01 2821```
```01Jul   7.2M 1986 XX04 3625```
```24Jun  7.25M 1979 XX01 3663```
_Source: DLD, Databot_
_BUA - built-up area, sq.ft._
_P/sf - price per sq.ft._
_B - bedrooms; O - office_
_M - million, K- thousand_
_S - studio, R - shop_
_*Max 30 latest transactions_
www.trydatabot.com</t>
  </si>
  <si>
    <t>1013809, *MARKET</t>
  </si>
  <si>
    <t>*MARKET*
*SNAPSHOT*
*THE ADDRESS FOUNTAIN VIEWS 1*
_Area: Downtown_
_Type: 3 bedroom apartment_
*Price dynamics, Dirham/sq.ft.*
_(M - median value)_
```5413|              *    ** ```
```    |      * ***      *    ```
```    |                  *   ```
```4690|---------------------M```
```    |   * *          *     ```
```    |           **        *```
```    |  * *        *        ```
```    |**                    ```
```    |                      ```
```    |               *      ```
```2933|       *              ```
```____|______________________```
```    |Dec2022        Dec2025```
_Source: see table below_
*Latest sales transactions*
```Date   Price  BUA Type P/sf```
```------------2025-----------```
```08Dec  10.2M 2305 XX01 4425```
```04Nov  11.8M 2217 XX03 5323```
```29Aug    12M 2217 XX03 5413```
```15Aug   9.8M 1979 XX01 4952```
```04Jul  10.5M 1986 XX04 5287```
```16Jun   9.5M 1986 XX04 4783```
```25Apr  7.65M 2304 XX01 3320```
```------------2024-----------```
```03Dec  11.8M 2217 XX03 5323```
```16Sep 9.231M 2218 XX03 4162```
```10Jun   8.8M 1986 XX04 4431```
```09May   8.8M 1986 XX04 4431```
```03Apr  11.3M 2218 XX03 5095```
```25Mar  11.5M 2218 XX03 5185```
```21Mar  11.4M 2217 XX03 5142```
```13Mar    15M 5114 XX03 2933```
```04Mar  11.5M 2218 XX03 5185```
```------------2023-----------```
```21Dec  10.3M 2218 XX03 4644```
```15Dec 13.75M 3245 XX02 4237```
```14Sep  10.5M 2217 XX03 4736```
```14Jun   9.4M 2217 XX03 4240```
```23Mar     8M 1978 XX01 4044```
```------------2022-----------```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</si>
  <si>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1013812, *SALES*</t>
  </si>
  <si>
    <t>*SALES*
*TRANSACTIONS**
*THE ADDRESS FOUNTAIN VIEWS 1*
_Area: Downtown_
_Type: 4 bedroom apartment_
```Date   Price  BUA Type P/sf```
```------------2025-----------```
```13Oct    12M 2422 XX02 4955```
```19Jun  16.7M 2704 XX03 6176```
```03Mar  16.8M 2703 XX03 6215```
```10Feb  19.1M 2704 XX03 7064```
```------------2024-----------```
```08May  16.8M 2703 XX03 6215```
```29Jan  15.5M 2703 XX03 5734```
```04Jan  15.5M 2704 XX03 5732```
```------------2023-----------```
```10Feb    11M 2422 XX02 4542```
```------------2022-----------```
```17Oct  11.2M 2703 XX03 4144```
```------------2021-----------```
```02Aug    21M 6479 XX01 3241```
```01Jul  10.5M 2703 XX03 3885```
```------------2020-----------```
```14Oct  7.15M 2704 XX03 2644```
```01Mar 10.44M 2703 XX03 3862```
```------------2019-----------```
```24Dec   8.5M 2703 XX03 3145```
```19Sep   5.5M 2422 XX02 2271```
```18Sep 6.781M 2422 XX02 2800```
_Source: DLD, Databot_
_BUA - built-up area, sq.ft._
_P/sf - price per sq.ft._
_B - bedrooms; O - office_
_M - million, K- thousand_
_S - studio, R - shop_
_*Max 30 latest transactions_
www.trydatabot.com</t>
  </si>
  <si>
    <t>1013813, *MARKET</t>
  </si>
  <si>
    <t>*MARKET*
*SNAPSHOT*
*THE ADDRESS FOUNTAIN VIEWS 1*
_Area: Downtown_
_Type: 4 bedroom apartment_
*Price dynamics, Dirham/sq.ft.*
_(M - median value)_
```7064|                  *   ```
```    |                      ```
```    |                 * ** ```
```    |               **     ```
```    |                     *```
```    |              *       ```
```4343|---------------------M```
```    |             *        ```
```    |         * *          ```
```    |      * *   *         ```
```2271|       *  *           ```
```____|______________________```
```    |Sep2019        Oct2025```
_Source: see table below_
*Latest sales transactions*
```Date   Price  BUA Type P/sf```
```------------2025-----------```
```13Oct    12M 2422 XX02 4955```
```19Jun  16.7M 2704 XX03 6176```
```03Mar  16.8M 2703 XX03 6215```
```10Feb  19.1M 2704 XX03 7064```
```------------2024-----------```
```08May  16.8M 2703 XX03 6215```
```29Jan  15.5M 2703 XX03 5734```
```04Jan  15.5M 2704 XX03 5732```
```------------2023-----------```
```10Feb    11M 2422 XX02 4542```
```------------2022-----------```
```17Oct  11.2M 2703 XX03 4144```
```------------2021-----------```
```02Aug    21M 6479 XX01 3241```
```01Jul  10.5M 2703 XX03 3885```
```------------2020-----------```
```14Oct  7.15M 2704 XX03 2644```
```01Mar 10.44M 2703 XX03 3862```
```------------2019-----------```
```24Dec   8.5M 2703 XX03 3145```
```19Sep   5.5M 2422 XX02 2271```
```18Sep 6.781M 2422 XX02 2800```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</si>
  <si>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1013844, *NEW RE</t>
  </si>
  <si>
    <t>*NEW RENT*
*CONTRACTS**
_(renewals are not included)_
*THE ADDRESS FOUNTAIN VIEWS 1*
_Area: Downtown_
_All types/bedrooms_
```Date    Price   BUA Type  B```
```------------2026-----------```
```07Jan    200K   840 XXXX  check```
```01Jan    350K  1335 XXXX  check```
```------------2025-----------```
```18Dec    500K  1335 XXXX  check```
```15Jul    185K   840 XXXX  check```
```08Jul    190K   840 XXXX  check```
```26Jun    200K   840 XXXX  check```
```10Jun    260K  1442 XXXX  check```
```17May    600K  2217 XXXX  check```
```17May    600K  2217 XXXX  check```
```15May    290K  1335 XXXX  check```
```15May    265K  1442 XXXX  check```
```13May    330K  1442 XXXX  check```
```01May    280K  1442 XXXX  check```
```10Feb    200K   840 XXXX  check```
```03Feb    340K  1335 XXXX  check```
```01Feb    320K  1496 XXXX  check```
```31Jan    290K  1442 XXXX  check```
```23Jan    270K  1442 XXXX  check```
```07Jan    220K   840 XXXX  check```
```03Jan    280K  1442 XXXX  check```
_Source: DLD, Databot_
_BUA - built-up area, sq.ft._
_P/sf - price per sq.ft._
_B - bedrooms; O - office_
_M - million, K- thousand_
_S - studio, R - shop_
_*20 latest contracts_
www.trydatabot.com</t>
  </si>
  <si>
    <t>1013845, *SALES*</t>
  </si>
  <si>
    <t>*SALES*
*TRANSACTIONS**
*THE ADDRESS FOUNTAIN VIEWS 1*
_Area: Downtown_
_All types/bedrooms_
```Date    Price   BUA  Type B```
```------------2026-----------```
```20Jan    5.5M  1495  XX04 2```
```19Jan      7M  1334  XX04 2```
```16Jan   6.85M  1336  XX02 2```
```08Jan      4M   839  XXXX 1```
```------------2025-----------```
```19Dec   3.75M   839  XXXX 1```
```08Dec   10.2M  2305  XX01 3```
```21Nov    6.2M  1334  XX04 2```
```04Nov   11.8M  2217  XX03 3```
```23Oct    5.2M  1446  XXXX 2```
```14Oct   3.35M   839  XXXX 1```
```13Oct     12M  2422  XX02 4```
```08Oct      5M  1445  XX01 2```
```01Oct    6.3M  1494  XX04 2```
```30Sep    3.5M   839  XXXX 1```
```09Sep      4M   841  XXXX 1```
```04Sep    6.1M  1447  XXXX 2```
```01Sep   5.25M  1445  XX01 2```
```29Aug     12M  2217  XX03 3```
```19Aug   4.36M   841  XX05 1```
```15Aug    9.8M  1979  XX01 3```
```28Jul   6.55M  1447  XX01 2```
```24Jul   5.42M  1447  XX01 2```
```04Jul   10.5M  1986  XX04 3```
```02Jul   6.95M  1332  XX04 2```
```19Jun   16.7M  2704  XX03 4```
```19Jun    6.8M  1336  XX02 2```
```18Jun    3.7M   839  XX06 1```
```16Jun    9.5M  1986  XX04 3```
```03Jun   6.56M  1337  XX02 2```
```06May    3.7M   840  XX03 1```
_Source: DLD, Databot_
_BUA - built-up area, sq.ft._
_P/sf - price per sq.ft._
_B - bedrooms; O - office_
_M - million, K- thousand_
_S - studio, R - shop_
_*Max 30 latest transactions_
www.trydatabot.com</t>
  </si>
  <si>
    <t>1013846, by code, *BUILDI</t>
  </si>
  <si>
    <t xml:space="preserve">*BUILDING*
*PROFILE*
*THE ADDRESS FOUNTAIN VIEWS 1*
_Area: Downtown_
_Tap&amp;hold to copy a reply_
```-------------------------```
```Report              Reply```
```-------------------------```
*1 B/R*
```Sales, ROI        1013800```
```Price chart       1013801```
```Rentals               n/a```
*2 B/R*
```Sales, ROI        1013804```
```Price chart       1013805```
```Rentals               n/a```
*3 B/R*
```Sales, ROI        1013808```
```Price chart       1013809```
```Rentals               n/a```
*4 B/R*
```Sales, ROI        1013812```
```Price chart       1013813```
```Rentals               n/a```
*All types/bedrooms*
```Sales, ROI        1013845```
```Rentals           1013844```
</t>
  </si>
  <si>
    <t>1013864, *SALES*</t>
  </si>
  <si>
    <t>*SALES*
*TRANSACTIONS**
*THE ADDRESS FOUNTAIN VIEWS 2*
_Area: Downtown_
_Type: 1 bedroom apartment_
```Date   Price  BUA Type P/sf```
```------------2026-----------```
```21Jan   4.6M  854 XX06 5386```
```08Jan  3.95M  853 XX02 4631```
```------------2025-----------```
```16Dec   3.8M  853 XX02 4455```
```11Nov     4M  854 XX06 4684```
```28Oct   3.7M  852 XX05 4343```
```24Oct     3M  852 XX05 3521```
```23Oct   3.4M  853 XX02 3986```
```13Oct   3.7M  854 XXXX 4333```
```28May   2.5M  853 XX02 2931```
```17Apr   2.5M  851 XX03 2938```
```------------2024-----------```
```18Nov     4M  852 XX05 4695```
```03Jun   3.6M  853 XX02 4220```
```28May   3.6M  854 XX06 4215```
```10Jan   3.6M  852 XX05 4225```
```------------2023-----------```
```13Dec  3.25M  854 XX06 3806```
```10Nov  3.27M  852 XX05 3838```
```22May  3.25M  852 XX05 3815```
```21Mar   3.1M  852 XX03 3638```
```13Mar   2.8M  854 XX06 3279```
```09Mar  3.25M  852 XX03 3815```
```30Jan   2.7M  851 XX03 3173```
```17Jan 3.163M  854 XX06 3704```
```------------2022-----------```
```29Nov     3M  853 XX02 3517```
```31Oct  2.85M  853 XX02 3341```
```24Oct  3.25M  852 XX03 3815```
```11Oct   2.5M  852 XX03 2934```
```06Oct   3.2M  852 XX05 3756```
```17Aug   2.6M  854 XX06 3044```
```04Jul  2.55M  851 XX03 2996```
```13Jun 2.181M  852 XX05 2560```
_Source: DLD, Databot_
_BUA - built-up area, sq.ft._
_P/sf - price per sq.ft._
_B - bedrooms; O - office_
_M - million, K- thousand_
_S - studio, R - shop_
_*Max 30 latest transactions_
www.trydatabot.com</t>
  </si>
  <si>
    <t>The Address Fountain Views 2</t>
  </si>
  <si>
    <t>1013865, *MARKET</t>
  </si>
  <si>
    <t>*MARKET*
*SNAPSHOT*
*THE ADDRESS FOUNTAIN VIEWS 2*
_Area: Downtown_
_Type: 1 bedroom apartment_
*Price dynamics, Dirham/sq.ft.*
_(M - median value)_
```5386|                     *```
```    |                      ```
```    |                      ```
```    |           *      * * ```
```    |              *  * *  ```
```    |        ***           ```
```3912|---------------------M```
```    |  *  ***       *      ```
```    |*   *                 ```
```    |   *            *     ```
```2931| *          **        ```
```____|______________________```
```    |Jan2023        Jan2026```
_Source: see table below_
*Latest sales transactions*
```Date   Price  BUA Type P/sf```
```------------2026-----------```
```21Jan   4.6M  854 XX06 5386```
```08Jan  3.95M  853 XX02 4631```
```------------2025-----------```
```16Dec   3.8M  853 XX02 4455```
```11Nov     4M  854 XX06 4684```
```28Oct   3.7M  852 XX05 4343```
```24Oct     3M  852 XX05 3521```
```23Oct   3.4M  853 XX02 3986```
```13Oct   3.7M  854 XXXX 4333```
```28May   2.5M  853 XX02 2931```
```17Apr   2.5M  851 XX03 2938```
```------------2024-----------```
```18Nov     4M  852 XX05 4695```
```03Jun   3.6M  853 XX02 4220```
```28May   3.6M  854 XX06 4215```
```10Jan   3.6M  852 XX05 4225```
```------------2023-----------```
```13Dec  3.25M  854 XX06 3806```
```10Nov  3.27M  852 XX05 3838```
```22May  3.25M  852 XX05 3815```
```21Mar   3.1M  852 XX03 3638```
```13Mar   2.8M  854 XX06 3279```
```09Mar  3.25M  852 XX03 3815```
```30Jan   2.7M  851 XX03 3173```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</si>
  <si>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1013866, *NEW RE</t>
  </si>
  <si>
    <t>*NEW RENT*
*CONTRACTS**
_(renewals are not included)_
*THE ADDRESS FOUNTAIN VIEWS 2*
_Area: Downtown_
_Type: 1 bedroom apartment_
```Date  Price   BUA  Type D/s```
```------------2024-----------```
```06Nov  210K   850  XXXX 247```
```------------2022-----------```
```15Aug  200K   850  XXXX 235```
```------------2021-----------```
```01Jul  155K   850  XXXX 182```
```------------2020-----------```
```01Jun  110K   850  XXXX 129```
_Source: DLD, Databot_
_BUA - built-up area, sq.ft._
_P/sf - price per sq.ft._
_B - bedrooms; O - office_
_M - million, K- thousand_
_S - studio, R - shop_
_*20 latest contracts_
www.trydatabot.com</t>
  </si>
  <si>
    <t>1013868, *SALES*</t>
  </si>
  <si>
    <t>*SALES*
*TRANSACTIONS**
*THE ADDRESS FOUNTAIN VIEWS 2*
_Area: Downtown_
_Type: 2 bedroom apartment_
```Date   Price  BUA Type P/sf```
```------------2026-----------```
```13Jan   5.5M 1452 XX01 3788```
```------------2025-----------```
```16Dec     5M 1452 XX07 3444```
```08Dec     6M 1505 XX04 3987```
```03Nov   6.5M 1355 XX04 4797```
```16Oct   7.3M 1355 XX04 5387```
```28Jul  6.15M 1362 XX02 4515```
```10Jul  5.65M 1452 XX07 3891```
```30Jun   5.6M 1452 XX07 3857```
```19May     4M 1505 XX04 2658```
```21Apr  5.35M 1452 XX05 3685```
```17Apr     5M 1452 XX01 3444```
```28Feb  6.05M 1362 XX02 4442```
```27Feb   6.8M 1362 XX02 4993```
```25Feb  6.85M 1355 XX04 5055```
```04Feb   4.8M 1452 XX01 3306```
```------------2024-----------```
```18Nov   5.1M 1452 XX01 3512```
```24Oct   6.1M 1362 XX02 4479```
```18Oct   3.9M 1362 XX02 2863```
```18Oct  5.71M 1452 XX07 3932```
```16Jul     5M 1452 XX07 3444```
```13Jun     5M 1452 XX07 3444```
```13May   4.9M 1452 XX01 3375```
```18Apr  5.15M 1452 XXXX 3547```
```21Mar  4.95M 1452 XX07 3409```
```01Mar   5.4M 1452 XXXX 3719```
```15Feb  5.65M 1452 XXXX 3891```
```01Feb   6.3M 1507 XX04 4180```
```------------2023-----------```
```18Dec     6M 1355 XX04 4428```
```01Dec   6.8M 1355 XX04 5018```
```20Nov   6.7M 1355 XX04 4945```
_Source: DLD, Databot_
_BUA - built-up area, sq.ft._
_P/sf - price per sq.ft._
_B - bedrooms; O - office_
_M - million, K- thousand_
_S - studio, R - shop_
_*Max 30 latest transactions_
www.trydatabot.com</t>
  </si>
  <si>
    <t>1013869, *MARKET</t>
  </si>
  <si>
    <t>*MARKET*
*SNAPSHOT*
*THE ADDRESS FOUNTAIN VIEWS 2*
_Area: Downtown_
_Type: 2 bedroom apartment_
*Price dynamics, Dirham/sq.ft.*
_(M - median value)_
```5387|                 *    ```
```    |        **            ```
```    |                  *   ```
```    |     *    *     *     ```
```    |                      ```
```    |   *           *   *  ```
```3823|---------------------M```
```    |            * *      *```
```    |***   *    *        * ```
```    |       *              ```
```2658|    *        *        ```
```____|______________________```
```    |May2024        Jan2026```
_Source: see table below_
*Latest sales transactions*
```Date   Price  BUA Type P/sf```
```------------2026-----------```
```13Jan   5.5M 1452 XX01 3788```
```------------2025-----------```
```16Dec     5M 1452 XX07 3444```
```08Dec     6M 1505 XX04 3987```
```03Nov   6.5M 1355 XX04 4797```
```16Oct   7.3M 1355 XX04 5387```
```28Jul  6.15M 1362 XX02 4515```
```10Jul  5.65M 1452 XX07 3891```
```30Jun   5.6M 1452 XX07 3857```
```19May     4M 1505 XX04 2658```
```21Apr  5.35M 1452 XX05 3685```
```17Apr     5M 1452 XX01 3444```
```28Feb  6.05M 1362 XX02 4442```
```27Feb   6.8M 1362 XX02 4993```
```25Feb  6.85M 1355 XX04 5055```
```04Feb   4.8M 1452 XX01 3306```
```------------2024-----------```
```18Nov   5.1M 1452 XX01 3512```
```24Oct   6.1M 1362 XX02 4479```
```18Oct   3.9M 1362 XX02 2863```
```18Oct  5.71M 1452 XX07 3932```
```16Jul     5M 1452 XX07 3444```
```13Jun     5M 1452 XX07 3444```
```13May   4.9M 1452 XX01 3375```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</si>
  <si>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1013872, *SALES*</t>
  </si>
  <si>
    <t>*SALES*
*TRANSACTIONS**
*THE ADDRESS FOUNTAIN VIEWS 2*
_Area: Downtown_
_Type: 3 bedroom apartment_
```Date   Price  BUA Type P/sf```
```------------2026-----------```
```15Jan  14.1M 2237 XX03 6303```
```------------2025-----------```
```10Nov  14.5M 2236 XX03 6485```
```29May    11M 2236 XX03 4919```
```01May  14.5M 2237 XX03 6482```
```14Apr  11.9M 2236 XX03 5322```
```------------2024-----------```
```14Oct  10.6M 2237 XX03 4738```
```22Jul  14.5M 1993 XX04 7275```
```13Jun 10.05M 2002 XX01 5020```
```07Feb  8.96M 2002 XX01 4476```
```25Jan 1.552M 2237 XX03  694```
```------------2023-----------```
```25Aug   9.7M 1993 XX04 4867```
```24Aug   9.2M 2237 XX03 4113```
```14Aug 10.55M 2237 XX03 4716```
```25Jul  10.5M 2237 XX03 4694```
```------------2022-----------```
```08Dec   8.9M 2237 XX03 3979```
```22Nov     9M 2237 XX03 4023```
```22Nov   8.6M 2236 XX03 3846```
```10Nov   8.6M 2236 XX03 3846```
```16Jun   8.3M 2375 XXXX 3495```
```15Mar  7.35M 2236 XX03 3287```
```02Mar   7.7M 2237 XX03 3442```
```26Jan   7.5M 2236 XX03 3354```
```11Jan     7M 2237 XX03 3129```
```------------2021-----------```
```28Dec   8.5M 2236 XX03 3801```
```31Oct  6.95M 1993 XXXX 3487```
```25Oct  6.65M 2002 XXXX 3322```
```13Jun     6M 2325 XXXX 2581```
```07Apr 8.749M 2237 XX03 3911```
```01Mar 4.079M 2237 XX03 1823```
```------------2020-----------```
```08Nov   4.9M 2236 XX03 2191```
_Source: DLD, Databot_
_BUA - built-up area, sq.ft._
_P/sf - price per sq.ft._
_B - bedrooms; O - office_
_M - million, K- thousand_
_S - studio, R - shop_
_*Max 30 latest transactions_
www.trydatabot.com</t>
  </si>
  <si>
    <t>1013873, *MARKET</t>
  </si>
  <si>
    <t>*MARKET*
*SNAPSHOT*
*THE ADDRESS FOUNTAIN VIEWS 2*
_Area: Downtown_
_Type: 3 bedroom apartment_
*Price dynamics, Dirham/sq.ft.*
_(M - median value)_
```7275|               *      ```
```    |                  * **```
```    |                      ```
```    |              *  *    ```
```4585|---------------------M```
```    |        ** * *  *  *  ```
```    |    ****  *           ```
```    |****                  ```
```    |                      ```
```    |                      ```
```694 |            *         ```
```____|______________________```
```    |Jan2022        Jan2026```
_Source: see table below_
*Latest sales transactions*
```Date   Price  BUA Type P/sf```
```------------2026-----------```
```15Jan  14.1M 2237 XX03 6303```
```------------2025-----------```
```10Nov  14.5M 2236 XX03 6485```
```29May    11M 2236 XX03 4919```
```01May  14.5M 2237 XX03 6482```
```14Apr  11.9M 2236 XX03 5322```
```------------2024-----------```
```14Oct  10.6M 2237 XX03 4738```
```22Jul  14.5M 1993 XX04 7275```
```13Jun 10.05M 2002 XX01 5020```
```07Feb  8.96M 2002 XX01 4476```
```25Jan 1.552M 2237 XX03  694```
```------------2023-----------```
```25Aug   9.7M 1993 XX04 4867```
```24Aug   9.2M 2237 XX03 4113```
```14Aug 10.55M 2237 XX03 4716```
```25Jul  10.5M 2237 XX03 4694```
```------------2022-----------```
```08Dec   8.9M 2237 XX03 3979```
```22Nov     9M 2237 XX03 4023```
```22Nov   8.6M 2236 XX03 3846```
```10Nov   8.6M 2236 XX03 3846```
```16Jun   8.3M 2375 XXXX 3495```
```15Mar  7.35M 2236 XX03 3287```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</si>
  <si>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1013874, *NEW RE</t>
  </si>
  <si>
    <t>*NEW RENT*
*CONTRACTS**
_(renewals are not included)_
*THE ADDRESS FOUNTAIN VIEWS 2*
_Area: Downtown_
_Type: 3 bedroom apartment_
```Date  Price   BUA  Type D/s```
```------------2024-----------```
```28Sep  730K  2239  XXXX 326```
```------------2023-----------```
```28Sep  730K  2239  XXXX 326```
```------------2022-----------```
```18Mar  305K  2239  XXXX 136```
```------------2021-----------```
```18Mar  305K  2239  XXXX 136```
```------------2020-----------```
```18Mar  305K  2239  XXXX 136```
_Source: DLD, Databot_
_BUA - built-up area, sq.ft._
_P/sf - price per sq.ft._
_B - bedrooms; O - office_
_M - million, K- thousand_
_S - studio, R - shop_
_*20 latest contracts_
www.trydatabot.com</t>
  </si>
  <si>
    <t>1013876, *SALES*</t>
  </si>
  <si>
    <t>*SALES*
*TRANSACTIONS**
*THE ADDRESS FOUNTAIN VIEWS 2*
_Area: Downtown_
_Type: 4 bedroom apartment_
```Date   Price  BUA Type P/sf```
```------------2026-----------```
```16Jan    18M 2731 XX02 6591```
```------------2025-----------```
```11Dec    15M 2731 XX02 5492```
```------------2024-----------```
```22Apr  13.5M 2455 XX03 5499```
```12Feb  13.9M 2731 XX02 5090```
```------------2023-----------```
```10Jul    12M 2455 XX03 4888```
```19Jun  14.7M 2730 XX02 5385```
```------------2022-----------```
```03Feb  10.5M 2731 XXXX 3845```
```------------2020-----------```
```10Oct 15.29M 6510 XX01 2349```
```12Mar   5.2M 2455 XXXX 2118```
```------------2019-----------```
```02Oct     5M 2455 XXXX 2037```
```------------2018-----------```
```22Jan     7M 2730 XXXX 2564```
_Source: DLD, Databot_
_BUA - built-up area, sq.ft._
_P/sf - price per sq.ft._
_B - bedrooms; O - office_
_M - million, K- thousand_
_S - studio, R - shop_
_*Max 30 latest transactions_
www.trydatabot.com</t>
  </si>
  <si>
    <t>1013877, *MARKET</t>
  </si>
  <si>
    <t>*MARKET*
*SNAPSHOT*
*THE ADDRESS FOUNTAIN VIEWS 2*
_Area: Downtown_
_Type: 4 bedroom apartment_
*Price dynamics, Dirham/sq.ft.*
_(M - median value)_
```6591|                     *```
```    |                      ```
```    |                   ** ```
```    |                * *   ```
```4888|---------------------M```
```    |                 *    ```
```    |                      ```
```    |               *      ```
```    |                      ```
```    |           *          ```
```2037|            ***       ```
```____|______________________```
```    |Jan2018        Jan2026```
_Source: see table below_
*Latest sales transactions*
```Date   Price  BUA Type P/sf```
```------------2026-----------```
```16Jan    18M 2731 XX02 6591```
```------------2025-----------```
```11Dec    15M 2731 XX02 5492```
```------------2024-----------```
```22Apr  13.5M 2455 XX03 5499```
```12Feb  13.9M 2731 XX02 5090```
```------------2023-----------```
```10Jul    12M 2455 XX03 4888```
```19Jun  14.7M 2730 XX02 5385```
```------------2022-----------```
```03Feb  10.5M 2731 XXXX 3845```
```------------2020-----------```
```10Oct 15.29M 6510 XX01 2349```
```12Mar   5.2M 2455 XXXX 2118```
```------------2019-----------```
```02Oct     5M 2455 XXXX 2037```
```------------2018-----------```
```22Jan     7M 2730 XXXX 2564```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</si>
  <si>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1013908, *NEW RE</t>
  </si>
  <si>
    <t>*NEW RENT*
*CONTRACTS**
_(renewals are not included)_
*THE ADDRESS FOUNTAIN VIEWS 2*
_Area: Downtown_
_All types/bedrooms_
```Date    Price   BUA Type  B```
```------------2026-----------```
```13Jan    250K   850 XXXX  check```
```------------2025-----------```
```01Jul    280K  1453 XXXX  check```
```01Jul    140K   850 XXXX  check```
```01Jul    140K   850 XXXX  check```
```30Jun    280K  1453 XXXX  check```
```21May  166.2K   850 XXXX  check```
```12May    830K  2454 XXXX  check```
```11May    230K   850 XXXX  check```
```04Apr    320K  1356 XXXX  check```
```01Apr    100K  1453 XXXX  check```
```21Mar    350K  1507 XXXX  check```
```06Mar    350K  1356 XXXX  check```
```03Mar    250K   850 XXXX  check```
```01Mar    270K  1453 XXXX  check```
```29Jan    205K   850 XXXX  check```
```14Jan    300K  1453 XXXX  check```
```09Jan    280K  1453 XXXX  check```
```------------2024-----------```
```19Dec    250K  1453 XXXX  check```
```16Dec    200K   850 XXXX  check```
```14Dec    230K   850 XXXX  check```
_Source: DLD, Databot_
_BUA - built-up area, sq.ft._
_P/sf - price per sq.ft._
_B - bedrooms; O - office_
_M - million, K- thousand_
_S - studio, R - shop_
_*20 latest contracts_
www.trydatabot.com</t>
  </si>
  <si>
    <t>1013909, *SALES*</t>
  </si>
  <si>
    <t>*SALES*
*TRANSACTIONS**
*THE ADDRESS FOUNTAIN VIEWS 2*
_Area: Downtown_
_All types/bedrooms_
```Date    Price   BUA  Type B```
```------------2026-----------```
```21Jan    4.6M   854  XX06 1```
```16Jan     18M  2731  XX02 4```
```15Jan   14.1M  2237  XX03 3```
```13Jan    5.5M  1452  XX01 2```
```08Jan   3.95M   853  XX02 1```
```------------2025-----------```
```16Dec      5M  1452  XX07 2```
```16Dec    3.8M   853  XX02 1```
```11Dec     15M  2731  XX02 4```
```08Dec      6M  1505  XX04 2```
```11Nov      4M   854  XX06 1```
```10Nov   14.5M  2236  XX03 3```
```03Nov    6.5M  1355  XX04 2```
```28Oct    3.7M   852  XX05 1```
```24Oct      3M   852  XX05 1```
```23Oct    3.4M   853  XX02 1```
```16Oct    7.3M  1355  XX04 2```
```13Oct    3.7M   854  XXXX 1```
```28Jul   6.15M  1362  XX02 2```
```10Jul   5.65M  1452  XX07 2```
```30Jun    5.6M  1452  XX07 2```
```29May     11M  2236  XX03 3```
```28May    2.5M   853  XX02 1```
```19May      4M  1505  XX04 2```
```01May   14.5M  2237  XX03 3```
```21Apr   5.35M  1452  XX05 2```
```17Apr      5M  1452  XX01 2```
```17Apr    2.5M   851  XX03 1```
```14Apr   11.9M  2236  XX03 3```
```28Feb   6.05M  1362  XX02 2```
```27Feb    6.8M  1362  XX02 2```
_Source: DLD, Databot_
_BUA - built-up area, sq.ft._
_P/sf - price per sq.ft._
_B - bedrooms; O - office_
_M - million, K- thousand_
_S - studio, R - shop_
_*Max 30 latest transactions_
www.trydatabot.com</t>
  </si>
  <si>
    <t>1013910, by code, *BUILDI</t>
  </si>
  <si>
    <t xml:space="preserve">*BUILDING*
*PROFILE*
*THE ADDRESS FOUNTAIN VIEWS 2*
_Area: Downtown_
_Tap&amp;hold to copy a reply_
```-------------------------```
```Report              Reply```
```-------------------------```
*1 B/R*
```Sales, ROI        1013864```
```Price chart       1013865```
```Rentals           1013866```
*2 B/R*
```Sales, ROI        1013868```
```Price chart       1013869```
```Rentals               n/a```
*3 B/R*
```Sales, ROI        1013872```
```Price chart       1013873```
```Rentals           1013874```
*4 B/R*
```Sales, ROI        1013876```
```Price chart       1013877```
```Rentals               n/a```
*All types/bedrooms*
```Sales, ROI        1013909```
```Rentals           1013908```
</t>
  </si>
  <si>
    <t>1013924, *SALES*</t>
  </si>
  <si>
    <t>*SALES*
*TRANSACTIONS (RESALE)**
*THE ADDRESS FOUNTAIN VIEWS 3*
_Area: Downtown_
_Type: studio apartment_
```Date   Price  BUA Type P/sf```
```------------2024-----------```
```05Jun   2.6M  814 XX06 3194```
```------------2023-----------```
```30Aug  2.95M  817 XX05 3611```
```22Jun  2.27M  814 XX06 2789```
_Source: DLD, Databot_
_BUA - built-up area, sq.ft._
_P/sf - price per sq.ft._
_B - bedrooms; O - office_
_M - million, K- thousand_
_S - studio, R - shop_
_*Max 30 latest transactions_
www.trydatabot.com</t>
  </si>
  <si>
    <t>The Address Fountain Views 3</t>
  </si>
  <si>
    <t>1013925, *MARKET</t>
  </si>
  <si>
    <t>*MARKET*
*SNAPSHOT*
*THE ADDRESS FOUNTAIN VIEWS 3*
_Area: Downtown_
_Type: studio apartment_
*Price dynamics, Dirham/sq.ft.*
_(M - median value)_
```3611|                    * ```
```    |                      ```
```    |                      ```
```    |                      ```
```    |                      ```
```3194|---------------------M```
```    |                     *```
```    |                      ```
```    |                      ```
```    |                      ```
```2789|                   *  ```
```____|______________________```
```    |Jun2023        Jun2024```
_Source: see table below_
*Latest sales transactions*
```Date   Price  BUA Type P/sf```
```------------2024-----------```
```05Jun   2.6M  814 XX06 3194```
```------------2023-----------```
```30Aug  2.95M  817 XX05 3611```
```22Jun  2.27M  814 XX06 2789```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</si>
  <si>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1013926, *NEW RE</t>
  </si>
  <si>
    <t>*NEW RENT*
*CONTRACTS**
_(renewals are not included)_
*THE ADDRESS FOUNTAIN VIEWS 3*
_Area: Downtown_
_Type: studio apartment_
```Date  Price   BUA  Type D/s```
```------------2025-----------```
```13Aug  145K   818  XXXX 177```
```------------2024-----------```
```13Apr  150K   818  XXXX 183```
```------------2022-----------```
```15Mar  180K   840  XXXX 214```
_Source: DLD, Databot_
_BUA - built-up area, sq.ft._
_P/sf - price per sq.ft._
_B - bedrooms; O - office_
_M - million, K- thousand_
_S - studio, R - shop_
_*20 latest contracts_
www.trydatabot.com</t>
  </si>
  <si>
    <t>1013927, *RESELL</t>
  </si>
  <si>
    <t>*RESELL*
*VS PRIMARY*
*THE ADDRESS FOUNTAIN VIEWS 3*
_Area: Downtown_
_Type: studio apartment_
*Price dynamics, Dirham/sq.ft.*
_(x - primary; * - resell)_
```3611|                    * ```
```    |                      ```
```    |                      ```
```    |                     *```
```3111|                      ```
```    |                      ```
```    |                      ```
```    |                   *  ```
```    |                      ```
```2359|         xx           ```
```____|______________________```
```    |Dec1899        Jun2024```
_Source: see a table below_
*Latest resell transactions*
```Date   Price  BUA Type P/sf```
```------------2024-----------```
```05Jun   2.6M  814 XX06 3194```
```------------2023-----------```
```30Aug  2.95M  817 XX05 3611```
```22Jun  2.27M  814 XX06 2789```
*Latest primary transactions*
```------------2020-----------```
```19Apr  1.92M  814 XX06 2359```
```------------2019-----------```
```11Dec 1.928M  817 XX05 2359```
_Source: DLD, Databot_
_BUA - built-up area, sq.ft._
_P/sf - price per sq.ft._
_B - bedrooms; O - office_
_M - million, K- thousand_
_S - studio, R - shop_
www.trydatabot.com</t>
  </si>
  <si>
    <t>1013928, *SALES*</t>
  </si>
  <si>
    <t>*SALES*
*TRANSACTIONS (RESALE)**
*THE ADDRESS FOUNTAIN VIEWS 3*
_Area: Downtown_
_Type: 1 bedroom apartment_
_Gross ROI=6.7%_
_Median annual rent=187.5K_
```Date   Price  BUA Type P/sf```
```------------2025-----------```
```17Nov   3.3M  839 XX05 3933```
```08Oct     3M  839 XXXX 3576```
```19Aug     3M  839 XX05 3576```
```22Jul   2.6M  839 XX05 3099```
```03Jun   3.2M 1072 XX06 2985```
```07May  2.55M  839 XX05 3039```
```15Apr   2.8M  839 XX05 3337```
```10Feb  2.92M  839 XX05 3480```
```------------2024-----------```
```25Nov   2.9M  839 XX05 3456```
```29Oct  2.95M  839 XX05 3516```
```14Oct   2.6M  842 XX05 3088```
```17Sep  2.86M  839 XX05 3409```
```13Sep     3M  839 XX05 3576```
```08Aug  3.25M 1072 XX06 3032```
```24Jul  2.95M  842 XX05 3504```
```13Jun   3.2M 1072 XX06 2985```
```16Feb  3.47M 1072 XX06 3237```
```08Feb  3.21M 1072 XX06 2994```
```07Feb     3M 1072 XX06 2799```
```------------2023-----------```
```12Oct   2.8M 1072 XX06 2612```
```20Sep   3.1M 1072 XX06 2892```
```14Jun  2.65M  839 XX05 3159```
```07Apr  3.15M 1072 XX06 2938```
```13Mar  2.81M 1072 XX06 2621```
```05Jan 5.172M 2300 XX05 2249```
```------------2022-----------```
```31Aug   2.3M  839 XX05 2741```
```28Jul  2.38M  839 XX05 2837```
```03Jun  2.25M  842 XX06 2672```
```25Mar  2.24M 1072 XX06 2090```
```------------2021-----------```
```16Sep   1.8M  839 XX05 2145```
_Source: DLD, Databot_
_BUA - built-up area, sq.ft._
_P/sf - price per sq.ft._
_B - bedrooms; O - office_
_M - million, K- thousand_
_S - studio, R - shop_
_*Max 30 latest transactions_
www.trydatabot.com</t>
  </si>
  <si>
    <t>1013929, *MARKET</t>
  </si>
  <si>
    <t>*MARKET*
*SNAPSHOT*
*THE ADDRESS FOUNTAIN VIEWS 3*
_Area: Downtown_
_Type: 1 bedroom apartment_
*Price dynamics, Dirham/sq.ft.*
_(M - median value)_
```3933|                     *```
```    |                      ```
```    |                      ```
```    |       * *  * *    ** ```
```    |          *  *        ```
```    |     *         *      ```
```3198|---------------------M```
```    |*          *      *   ```
```    |    * * *       **    ```
```    | * *                  ```
```2612|  *                   ```
```____|______________________```
```    |Jun2023        Nov2025```
_Source: see table below_
*Latest sales transactions*
```Date   Price  BUA Type P/sf```
```------------2025-----------```
```17Nov   3.3M  839 XX05 3933```
```08Oct     3M  839 XXXX 3576```
```19Aug     3M  839 XX05 3576```
```22Jul   2.6M  839 XX05 3099```
```03Jun   3.2M 1072 XX06 2985```
```07May  2.55M  839 XX05 3039```
```15Apr   2.8M  839 XX05 3337```
```10Feb  2.92M  839 XX05 3480```
```------------2024-----------```
```25Nov   2.9M  839 XX05 3456```
```29Oct  2.95M  839 XX05 3516```
```14Oct   2.6M  842 XX05 3088```
```17Sep  2.86M  839 XX05 3409```
```13Sep     3M  839 XX05 3576```
```08Aug  3.25M 1072 XX06 3032```
```24Jul  2.95M  842 XX05 3504```
```13Jun   3.2M 1072 XX06 2985```
```16Feb  3.47M 1072 XX06 3237```
```08Feb  3.21M 1072 XX06 2994```
```07Feb     3M 1072 XX06 2799```
```------------2023-----------```
```12Oct   2.8M 1072 XX06 2612```
```20Sep   3.1M 1072 XX06 2892```
```14Jun  2.65M  839 XX05 3159```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</si>
  <si>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1013930, *NEW RE</t>
  </si>
  <si>
    <t>*NEW RENT*
*CONTRACTS**
_(renewals are not included)_
*THE ADDRESS FOUNTAIN VIEWS 3*
_Area: Downtown_
_Type: 1 bedroom apartment_
```Date  Price   BUA  Type D/s```
```------------2025-----------```
```04Jun  185K   840  XXXX 220```
```13May  190K  1076  XXXX 177```
```20Mar  175K   840  XXXX 208```
```19Feb  200K  1076  XXXX 186```
```19Feb  200K  1076  XXXX 186```
```17Feb  180K   840  XXXX 214```
```06Feb  210K   840  XXXX 250```
```------------2024-----------```
```01Mar  260K  1076  XXXX 242```
```------------2023-----------```
```01Dec  220K  1076  XXXX 204```
```10Oct  190K   840  XXXX 226```
```10Mar  215K   840  XXXX 256```
```06Feb  190K   840  XXXX 226```
```------------2022-----------```
```31Oct  205K  1076  XXXX 191```
```19Sep  160K   840  XXXX 190```
```07May  131K  1076  XXXX 122```
```06Feb  165K   840  XXXX 196```
```------------2021-----------```
```07May  125K  1076  XXXX 116```
```17Mar  125K   840  XXXX 149```
```10Feb  145K   840  XXXX 173```
```------------2020-----------```
```26Oct  120K  1076  XXXX 112```
_Source: DLD, Databot_
_BUA - built-up area, sq.ft._
_P/sf - price per sq.ft._
_B - bedrooms; O - office_
_M - million, K- thousand_
_S - studio, R - shop_
_*20 latest contracts_
www.trydatabot.com</t>
  </si>
  <si>
    <t>1013931, *RESELL</t>
  </si>
  <si>
    <t>*RESELL*
*VS PRIMARY*
*THE ADDRESS FOUNTAIN VIEWS 3*
_Area: Downtown_
_Type: 1 bedroom apartment_
*Price dynamics, Dirham/sq.ft.*
_(x - primary; * - resell)_
```3933|                     *```
```    |                   ** ```
```    |     x      ****      ```
```    |         x *    * *   ```
```2865|          x      *    ```
```    | x      x             ```
```    |x     x               ```
```    |   xx  x              ```
```    |                      ```
```1259|  x                   ```
```____|______________________```
```    |Jun2020        Nov2025```
_Source: see a table below_
*Latest resell transactions*
```Date   Price  BUA Type P/sf```
```------------2025-----------```
```17Nov   3.3M  839 XX05 3933```
```08Oct     3M  839 XXXX 3576```
```19Aug     3M  839 XX05 3576```
```22Jul   2.6M  839 XX05 3099```
```03Jun   3.2M 1072 XX06 2985```
```07May  2.55M  839 XX05 3039```
```15Apr   2.8M  839 XX05 3337```
```10Feb  2.92M  839 XX05 3480```
```------------2024-----------```
```25Nov   2.9M  839 XX05 3456```
```29Oct  2.95M  839 XX05 3516```
```14Oct   2.6M  842 XX05 3088```
```17Sep  2.86M  839 XX05 3409```
```13Sep     3M  839 XX05 3576```
```08Aug  3.25M 1072 XX06 3032```
```24Jul  2.95M  842 XX05 3504```
```13Jun   3.2M 1072 XX06 2985```
```16Feb  3.47M 1072 XX06 3237```
*Latest primary transactions*
```------------2022-----------```
```28Dec  2.95M 1072 XX06 2752```
```12Oct   2.6M  839 XX05 3099```
```01Aug   2.2M  842 XX06 2613```
```12May  2.35M 1072 XX06 2192```
```09Mar   2.4M 1072 XX06 2239```
```13Jan 2.889M  842 XX05 3431```
```------------2021-----------```
```02Nov  2.25M 1072 XX06 2099```
```11Feb  2.15M 1072 XX06 2006```
```------------2020-----------```
```23Sep  1.35M 1072 XX06 1259```
```28Jul 2.101M  839 XX05 2504```
```21Jun 2.538M 1072 XX06 2367```
```21Jun  2.03M  839 XX05 2419```
```------------2019-----------```
_Source: DLD, Databot_
_BUA - built-up area, sq.ft._
_P/sf - price per sq.ft._
_B - bedrooms; O - office_
_M - million, K- thousand_
_S - studio, R - shop_
www.trydatabot.com</t>
  </si>
  <si>
    <t>1013932, *SALES*</t>
  </si>
  <si>
    <t>*SALES*
*TRANSACTIONS (RESALE)**
*THE ADDRESS FOUNTAIN VIEWS 3*
_Area: Downtown_
_Type: 2 bedroom apartment_
```Date   Price  BUA Type P/sf```
```------------2026-----------```
```13Jan   6.9M 1580 XX01 4367```
```12Jan 6.995M 1580 XX01 4427```
```------------2025-----------```
```05Nov  7.27M 1580 XX01 4601```
```14Oct   7.7M 1580 XX01 4873```
```13Oct   7.5M 1602 XX04 4682```
```30May  7.15M 1602 XX04 4463```
```08May 7.825M 2087 XX04 3749```
```27Feb   7.5M 1580 XX01 4747```
```02Jan   6.4M 1580 XX01 4051```
```------------2024-----------```
```24Dec   7.4M 1602 XX04 4619```
```18Dec   6.4M 1580 XX01 4051```
```11Nov     6M 1580 XX01 3797```
```06Nov   6.5M 1580 XX01 4114```
```17Sep   7.1M 1602 XX04 4432```
```09Jul   6.2M 1580 XX01 3924```
```21Mar   6.5M 1580 XX01 4114```
```22Feb     7M 1602 XX04 4370```
```------------2023-----------```
```11Dec   6.5M 1580 XX01 4114```
```11Jul     7M 1602 XX04 4370```
```07Jun   5.8M 1580 XX01 3671```
```17Apr   6.4M 1602 XX04 3995```
```06Apr  5.95M 1580 XX01 3766```
```14Feb   6.3M 1580 XX01 3987```
```09Feb   6.1M 1580 XX01 3861```
```------------2022-----------```
```15Sep   5.9M 1602 XX04 3683```
```17Aug  5.65M 1602 XX04 3527```
```30Jun   5.4M 1580 XX01 3418```
```30Jun   5.6M 1602 XX04 3496```
```16Jun   5.4M 1580 XX01 3418```
```17May   6.2M 2087 XX04 2971```
_Source: DLD, Databot_
_BUA - built-up area, sq.ft._
_P/sf - price per sq.ft._
_B - bedrooms; O - office_
_M - million, K- thousand_
_S - studio, R - shop_
_*Max 30 latest transactions_
www.trydatabot.com</t>
  </si>
  <si>
    <t>1013933, *MARKET</t>
  </si>
  <si>
    <t>*MARKET*
*SNAPSHOT*
*THE ADDRESS FOUNTAIN VIEWS 3*
_Area: Downtown_
_Type: 2 bedroom apartment_
*Price dynamics, Dirham/sq.ft.*
_(M - median value)_
```4873|                  *   ```
```    |              *       ```
```    |            *    * *  ```
```    |                *     ```
```    |   * *  *           **```
```4241|---------------------M```
```    |                      ```
```    |    * *  *            ```
```    | *         * *        ```
```    |       *  *           ```
```3671|* *            *      ```
```____|______________________```
```    |Apr2023        Jan2026```
_Source: see table below_
*Latest sales transactions*
```Date   Price  BUA Type P/sf```
```------------2026-----------```
```13Jan   6.9M 1580 XX01 4367```
```12Jan 6.995M 1580 XX01 4427```
```------------2025-----------```
```05Nov  7.27M 1580 XX01 4601```
```14Oct   7.7M 1580 XX01 4873```
```13Oct   7.5M 1602 XX04 4682```
```30May  7.15M 1602 XX04 4463```
```08May 7.825M 2087 XX04 3749```
```27Feb   7.5M 1580 XX01 4747```
```02Jan   6.4M 1580 XX01 4051```
```------------2024-----------```
```24Dec   7.4M 1602 XX04 4619```
```18Dec   6.4M 1580 XX01 4051```
```11Nov     6M 1580 XX01 3797```
```06Nov   6.5M 1580 XX01 4114```
```17Sep   7.1M 1602 XX04 4432```
```09Jul   6.2M 1580 XX01 3924```
```21Mar   6.5M 1580 XX01 4114```
```22Feb     7M 1602 XX04 4370```
```------------2023-----------```
```11Dec   6.5M 1580 XX01 4114```
```11Jul     7M 1602 XX04 4370```
```07Jun   5.8M 1580 XX01 3671```
```17Apr   6.4M 1602 XX04 3995```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</si>
  <si>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1013934, *NEW RE</t>
  </si>
  <si>
    <t>*NEW RENT*
*CONTRACTS**
_(renewals are not included)_
*THE ADDRESS FOUNTAIN VIEWS 3*
_Area: Downtown_
_Type: 2 bedroom apartment_
```Date  Price   BUA  Type D/s```
```------------2025-----------```
```18Mar  500K  1582  XXXX 316```
```------------2024-----------```
```05Feb  440K  1582  XXXX 278```
```------------2023-----------```
```01Jul  380K  1604  XXXX 237```
```03Feb  385K  1582  XXXX 243```
```------------2022-----------```
```28Dec  480K  1604  XXXX 299```
```------------2021-----------```
```03Dec  380K  1604  XXXX 237```
```01Nov  281K  2088  XXXX 134```
```24Jun  275K  1604  XXXX 171```
```------------2020-----------```
```29Jul  190K  2088  XXXX  91```
```21May  170K  1604  XXXX 106```
_Source: DLD, Databot_
_BUA - built-up area, sq.ft._
_P/sf - price per sq.ft._
_B - bedrooms; O - office_
_M - million, K- thousand_
_S - studio, R - shop_
_*20 latest contracts_
www.trydatabot.com</t>
  </si>
  <si>
    <t>1013935, *RESELL</t>
  </si>
  <si>
    <t>*RESELL*
*VS PRIMARY*
*THE ADDRESS FOUNTAIN VIEWS 3*
_Area: Downtown_
_Type: 2 bedroom apartment_
*Price dynamics, Dirham/sq.ft.*
_(x - primary; * - resell)_
```4873|              *   *   ```
```    |            *   ** ** ```
```    |           * *       *```
```    |         xx    *      ```
```3557|                      ```
```    |       xx             ```
```    | x x                  ```
```    |  x xxx               ```
```    |                      ```
```1582|x                     ```
```____|______________________```
```    |Sep2020        Jan2026```
_Source: see a table below_
*Latest resell transactions*
```Date   Price  BUA Type P/sf```
```------------2026-----------```
```13Jan   6.9M 1580 XX01 4367```
```12Jan 6.995M 1580 XX01 4427```
```------------2025-----------```
```05Nov  7.27M 1580 XX01 4601```
```14Oct   7.7M 1580 XX01 4873```
```13Oct   7.5M 1602 XX04 4682```
```30May  7.15M 1602 XX04 4463```
```08May 7.825M 2087 XX04 3749```
```27Feb   7.5M 1580 XX01 4747```
```02Jan   6.4M 1580 XX01 4051```
```------------2024-----------```
```24Dec   7.4M 1602 XX04 4619```
```18Dec   6.4M 1580 XX01 4051```
```11Nov     6M 1580 XX01 3797```
```06Nov   6.5M 1580 XX01 4114```
```17Sep   7.1M 1602 XX04 4432```
```09Jul   6.2M 1580 XX01 3924```
```21Mar   6.5M 1580 XX01 4114```
*Latest primary transactions*
```------------2024-----------```
```25Jan   6.3M 1580 XX01 3987```
```------------2022-----------```
```09Jun   6.1M 1602 XX04 3808```
```04Feb   5.2M 1602 XX04 3246```
```------------2021-----------```
```21Sep   5.3M 1602 XX04 3308```
```08Jun 4.293M 1580 XX01 2717```
```08Mar 4.253M 1580 XX01 2692```
```24Feb  4.05M 1580 XX01 2563```
```------------2020-----------```
```24Dec 4.536M 1602 XX04 2831```
```30Nov 3.855M 1602 XX04 2406```
```02Nov 4.411M 1580 XX01 2792```
```20Sep   2.5M 1580 XX01 1582```
```20Jul 4.835M 1602 XX04 3018```
_Source: DLD, Databot_
_BUA - built-up area, sq.ft._
_P/sf - price per sq.ft._
_B - bedrooms; O - office_
_M - million, K- thousand_
_S - studio, R - shop_
www.trydatabot.com</t>
  </si>
  <si>
    <t>1013936, *SALES*</t>
  </si>
  <si>
    <t>*SALES*
*TRANSACTIONS (RESALE)**
*THE ADDRESS FOUNTAIN VIEWS 3*
_Area: Downtown_
_Type: 3 bedroom apartment_
```Date   Price  BUA Type P/sf```
```------------2025-----------```
```24Dec    12M 2181 XXXX 5502```
```24Dec  14.7M 2182 XXXX 6737```
```18Nov    14M 2182 XXXX 6416```
```11Sep  12.5M 2182 XXXX 5729```
```------------2024-----------```
```24Dec    14M 2182 XX03 6416```
```23Dec 13.25M 2182 XX02 6072```
```22Aug  11.1M 2182 XX03 5087```
```------------2023-----------```
```05Oct  12.5M 2182 XXXX 5729```
```20Sep    11M 2182 XXXX 5041```
```25May  10.3M 2182 XXXX 4720```
```13Mar  9.55M 2182 XXXX 4377```
```06Feb   8.7M 2182 XXXX 3987```
```------------2022-----------```
```10Nov   8.1M 2182 XX02 3712```
```06Apr   8.7M 2182 XX03 3987```
```25Mar     5M 2182 XX03 2291```
```21Feb   8.5M 2181 XX03 3897```
```------------2021-----------```
```27Jul   7.5M 2182 XX03 3437```
```09Jun  6.55M 2182 XX02 3002```
```24May     7M 2181 XX03 3210```
```08Apr   7.5M 2182 XX03 3437```
```11Mar   7.6M 2182 XX03 3483```
```09Feb     6M 2182 XX03 2750```
```03Feb     6M 2182 XX03 2750```
```14Jan   5.2M 2181 XX03 2384```
```------------2020-----------```
```25Oct   4.9M 2181 XX02 2247```
```15Oct   5.5M 2182 XX02 2521```
```31Aug   4.6M 2182 XX03 2108```
```10May   5.4M 2182 XX02 2475```
```------------2018-----------```
```08Jul   5.3M 2182 XX02 2429```
```22May   7.1M 2182 XX02 3254```
_Source: DLD, Databot_
_BUA - built-up area, sq.ft._
_P/sf - price per sq.ft._
_B - bedrooms; O - office_
_M - million, K- thousand_
_S - studio, R - shop_
_*Max 30 latest transactions_
www.trydatabot.com</t>
  </si>
  <si>
    <t>1013937, *MARKET</t>
  </si>
  <si>
    <t>*MARKET*
*SNAPSHOT*
*THE ADDRESS FOUNTAIN VIEWS 3*
_Area: Downtown_
_Type: 3 bedroom apartment_
*Price dynamics, Dirham/sq.ft.*
_(M - median value)_
```6737|                    * ```
```    |                ** *  ```
```    |              *   *   ```
```    |                     *```
```    |             * *      ```
```    |           **         ```
```4182|---------------------M```
```    |      * * *           ```
```    | **  *   *            ```
```    |*  **                 ```
```2291|       *              ```
```____|______________________```
```    |Feb2021        Dec2025```
_Source: see table below_
*Latest sales transactions*
```Date   Price  BUA Type P/sf```
```------------2025-----------```
```24Dec    12M 2181 XXXX 5502```
```24Dec  14.7M 2182 XXXX 6737```
```18Nov    14M 2182 XXXX 6416```
```11Sep  12.5M 2182 XXXX 5729```
```------------2024-----------```
```24Dec    14M 2182 XX03 6416```
```23Dec 13.25M 2182 XX02 6072```
```22Aug  11.1M 2182 XX03 5087```
```------------2023-----------```
```05Oct  12.5M 2182 XXXX 5729```
```20Sep    11M 2182 XXXX 5041```
```25May  10.3M 2182 XXXX 4720```
```13Mar  9.55M 2182 XXXX 4377```
```06Feb   8.7M 2182 XXXX 3987```
```------------2022-----------```
```10Nov   8.1M 2182 XX02 3712```
```06Apr   8.7M 2182 XX03 3987```
```25Mar     5M 2182 XX03 2291```
```21Feb   8.5M 2181 XX03 3897```
```------------2021-----------```
```27Jul   7.5M 2182 XX03 3437```
```09Jun  6.55M 2182 XX02 3002```
```24May     7M 2181 XX03 3210```
```08Apr   7.5M 2182 XX03 3437```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</si>
  <si>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1013938, *NEW RE</t>
  </si>
  <si>
    <t>*NEW RENT*
*CONTRACTS**
_(renewals are not included)_
*THE ADDRESS FOUNTAIN VIEWS 3*
_Area: Downtown_
_Type: 3 bedroom apartment_
```Date  Price   BUA  Type D/s```
```------------2025-----------```
```07May  700K  2185  XXXX 320```
```------------2024-----------```
```01Jun 1.06M  2992  XXXX 354```
```25May  520K  2185  XXXX 238```
```------------2023-----------```
```28Jun  640K  2185  XXXX 293```
```------------2022-----------```
```07May  550K  2185  XXXX 252```
```17Feb  400K  2185  XXXX 183```
```------------2021-----------```
```15Dec  580K  2185  XXXX 265```
```24May  350K  2185  XXXX 160```
```05Apr  380K  2185  XXXX 174```
```------------2020-----------```
```24Nov  350K  2185  XXXX 160```
_Source: DLD, Databot_
_BUA - built-up area, sq.ft._
_P/sf - price per sq.ft._
_B - bedrooms; O - office_
_M - million, K- thousand_
_S - studio, R - shop_
_*20 latest contracts_
www.trydatabot.com</t>
  </si>
  <si>
    <t>1013939, *RESELL</t>
  </si>
  <si>
    <t>*RESELL*
*VS PRIMARY*
*THE ADDRESS FOUNTAIN VIEWS 3*
_Area: Downtown_
_Type: 3 bedroom apartment_
*Price dynamics, Dirham/sq.ft.*
_(x - primary; * - resell)_
```6737|                    * ```
```    |                ** *  ```
```    |              *   *   ```
```    |             * *     *```
```4777|       x    *         ```
```    |     x   xx*          ```
```    |                      ```
```    | x                    ```
```    |x xxx x               ```
```1833|        x             ```
```____|______________________```
```    |Jul2020        Dec2025```
_Source: see a table below_
*Latest resell transactions*
```Date   Price  BUA Type P/sf```
```------------2025-----------```
```24Dec    12M 2181 XXXX 5502```
```24Dec  14.7M 2182 XXXX 6737```
```18Nov    14M 2182 XXXX 6416```
```11Sep  12.5M 2182 XXXX 5729```
```------------2024-----------```
```24Dec    14M 2182 XX03 6416```
```23Dec 13.25M 2182 XX02 6072```
```22Aug  11.1M 2182 XX03 5087```
```------------2023-----------```
```05Oct  12.5M 2182 XXXX 5729```
```20Sep    11M 2182 XXXX 5041```
```25May  10.3M 2182 XXXX 4720```
```13Mar  9.55M 2182 XXXX 4377```
```06Feb   8.7M 2182 XXXX 3987```
```------------2022-----------```
```10Nov   8.1M 2182 XX02 3712```
```06Apr   8.7M 2182 XX03 3987```
```25Mar     5M 2182 XX03 2291```
*Latest primary transactions*
```------------2022-----------```
```03Nov   9.3M 2182 XX03 4262```
```11Aug   9.1M 2182 XX03 4170```
```10Aug     4M 2182 XX03 1833```
```06Apr 10.11M 2182 XX03 4633```
```------------2021-----------```
```16Nov 6.415M 2182 XX03 2940```
```15Nov 8.922M 2181 XX02 4091```
```11Oct 6.666M 2182 XX02 3055```
```02Mar 8.289M 2987 XX03 2775```
```------------2020-----------```
```19Oct 6.425M 2181 XX02 2946```
```04Oct 6.785M 2182 XX02 3109```
```12Jul 6.656M 2182 XX03 3050```
```22Mar 6.479M 2182 XX02 2969```
```10Feb 8.065M 2182 XX03 3696```
_Source: DLD, Databot_
_BUA - built-up area, sq.ft._
_P/sf - price per sq.ft._
_B - bedrooms; O - office_
_M - million, K- thousand_
_S - studio, R - shop_
www.trydatabot.com</t>
  </si>
  <si>
    <t>1013940, *SALES*</t>
  </si>
  <si>
    <t>*SALES*
*TRANSACTIONS (RESALE)**
*THE ADDRESS FOUNTAIN VIEWS 3*
_Area: Downtown_
_Type: 4 bedroom apartment_
```Date   Price  BUA Type P/sf```
```------------2026-----------```
```19Jan  23.5M 3541 XX01 6637```
```------------2025-----------```
```24Nov    25M 3520 XX02 7102```
```------------2024-----------```
```18Mar    21M 3541 XX01 5931```
```11Mar 19.51M 4080 XX02 4781```
```16Feb  17.3M 3541 XX01 4886```
```07Feb  17.3M 3541 XX01 4886```
```------------2023-----------```
```04Sep  12.2M 3541 XX01 3445```
```03Jul    16M 3520 XX02 4545```
```------------2022-----------```
```27Oct    15M 3520 XX02 4261```
```27Oct 14.83M 3520 XX02 4213```
```15Sep  15.3M 3541 XX01 4321```
```30Jun    42M 8307 XXXX 5056```
```01Jun  14.6M 3541 XX01 4123```
```07Mar  14.5M 3520 XX02 4119```
```------------2021-----------```
```28Jul    12M 3520 XX02 3409```
```15Jun    12M 3520 XX02 3409```
```------------2020-----------```
```29Nov  13.8M 3520 XX02 3920```
```04Oct 32.48M 8307 XXXX 3910```
```29Jul   8.5M 3541 XX01 2400```
_Source: DLD, Databot_
_BUA - built-up area, sq.ft._
_P/sf - price per sq.ft._
_B - bedrooms; O - office_
_M - million, K- thousand_
_S - studio, R - shop_
_*Max 30 latest transactions_
www.trydatabot.com</t>
  </si>
  <si>
    <t>1013941, *MARKET</t>
  </si>
  <si>
    <t>*MARKET*
*SNAPSHOT*
*THE ADDRESS FOUNTAIN VIEWS 3*
_Area: Downtown_
_Type: 4 bedroom apartment_
*Price dynamics, Dirham/sq.ft.*
_(M - median value)_
```7102|                    * ```
```    |                     *```
```    |                   *  ```
```    |                      ```
```    |          *           ```
```    |              * ***   ```
```4261|---------------------M```
```    |        ** ***        ```
```    |    **                ```
```    |      **       *      ```
```2400|   *                  ```
```____|______________________```
```    |Jul2020        Jan2026```
_Source: see table below_
*Latest sales transactions*
```Date   Price  BUA Type P/sf```
```------------2026-----------```
```19Jan  23.5M 3541 XX01 6637```
```------------2025-----------```
```24Nov    25M 3520 XX02 7102```
```------------2024-----------```
```18Mar    21M 3541 XX01 5931```
```11Mar 19.51M 4080 XX02 4781```
```16Feb  17.3M 3541 XX01 4886```
```07Feb  17.3M 3541 XX01 4886```
```------------2023-----------```
```04Sep  12.2M 3541 XX01 3445```
```03Jul    16M 3520 XX02 4545```
```------------2022-----------```
```27Oct    15M 3520 XX02 4261```
```27Oct 14.83M 3520 XX02 4213```
```15Sep  15.3M 3541 XX01 4321```
```30Jun    42M 8307 XXXX 5056```
```01Jun  14.6M 3541 XX01 4123```
```07Mar  14.5M 3520 XX02 4119```
```------------2021-----------```
```28Jul    12M 3520 XX02 3409```
```15Jun    12M 3520 XX02 3409```
```------------2020-----------```
```29Nov  13.8M 3520 XX02 3920```
```04Oct 32.48M 8307 XXXX 3910```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</si>
  <si>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1013943, *RESELL</t>
  </si>
  <si>
    <t>*RESELL*
*VS PRIMARY*
*THE ADDRESS FOUNTAIN VIEWS 3*
_Area: Downtown_
_Type: 4 bedroom apartment_
*Price dynamics, Dirham/sq.ft.*
_(x - primary; * - resell)_
```7102|                    * ```
```    |                     *```
```    |                      ```
```    |                   *  ```
```5278|                      ```
```    |                ***   ```
```    |           ****       ```
```    |                      ```
```    |      xxx      *      ```
```2542|         xx           ```
```____|______________________```
```    |Dec1899        Jan2026```
_Source: see a table below_
*Latest resell transactions*
```Date   Price  BUA Type P/sf```
```------------2026-----------```
```19Jan  23.5M 3541 XX01 6637```
```------------2025-----------```
```24Nov    25M 3520 XX02 7102```
```------------2024-----------```
```18Mar    21M 3541 XX01 5931```
```11Mar 19.51M 4080 XX02 4781```
```16Feb  17.3M 3541 XX01 4886```
```07Feb  17.3M 3541 XX01 4886```
```------------2023-----------```
```04Sep  12.2M 3541 XX01 3445```
```03Jul    16M 3520 XX02 4545```
```------------2022-----------```
```27Oct    15M 3520 XX02 4261```
```27Oct 14.83M 3520 XX02 4213```
```15Sep  15.3M 3541 XX01 4321```
```30Jun    42M 8307 XXXX 5056```
```01Jun  14.6M 3541 XX01 4123```
```07Mar  14.5M 3520 XX02 4119```
*Latest primary transactions*
```------------2021-----------```
```20May  10.5M 3520 XX02 2983```
```------------2020-----------```
```16Nov     9M 3541 XX01 2542```
```02Jul 12.02M 3541 XX01 3394```
```21Jun 11.93M 3520 XX02 3390```
```21Jun 12.01M 3541 XX01 3391```
_Source: DLD, Databot_
_BUA - built-up area, sq.ft._
_P/sf - price per sq.ft._
_B - bedrooms; O - office_
_M - million, K- thousand_
_S - studio, R - shop_
www.trydatabot.com</t>
  </si>
  <si>
    <t>1013944, *SALES*</t>
  </si>
  <si>
    <t>*SALES*
*TRANSACTIONS (RESALE)**
*THE ADDRESS FOUNTAIN VIEWS 3*
_Area: Downtown_
_Type: 5 bedroom apartment_
```Date   Price  BUA Type P/sf```
```------------2025-----------```
```12Jun    38M 5419 XX02 7012```
_Source: DLD, Databot_
_BUA - built-up area, sq.ft._
_P/sf - price per sq.ft._
_B - bedrooms; O - office_
_M - million, K- thousand_
_S - studio, R - shop_
_*Max 30 latest transactions_
www.trydatabot.com</t>
  </si>
  <si>
    <t>1013945, *MARKET</t>
  </si>
  <si>
    <t>*MARKET*
*SNAPSHOT*
*THE ADDRESS FOUNTAIN VIEWS 3*
_Area: Downtown_
_Type: 5 bedroom apartment_
*Price dynamics, Dirham/sq.ft.*
_(M - median value)_
```7012|                     *```
```7012|----------------------```
```    |                     *```
```7012|---------------------M```
```    |                     *```
```7012|---------------------M```
```    |                     *```
```7012|---------------------M```
```    |                     *```
```7012|---------------------M```
```    |                     *```
```____|______________________```
```    |Jun2025        Jun2025```
_Source: see table below_
*Latest sales transactions*
```Date   Price  BUA Type P/sf```
```------------2025-----------```
```12Jun    38M 5419 XX02 7012```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</si>
  <si>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1013947, *RESELL</t>
  </si>
  <si>
    <t>*RESELL*
*VS PRIMARY*
*THE ADDRESS FOUNTAIN VIEWS 3*
_Area: Downtown_
_Type: 5 bedroom apartment_
*Price dynamics, Dirham/sq.ft.*
_(x - primary; * - resell)_
```7012|                     *```
```    |                      ```
```    |                      ```
```    |                      ```
```5600|                      ```
```    |                      ```
```    |                      ```
```    |                      ```
```    |                      ```
```3486|         xx           ```
```____|______________________```
```    |Dec1899        Jun2025```
_Source: see a table below_
*Latest resell transactions*
```Date   Price  BUA Type P/sf```
```------------2025-----------```
```12Jun    38M 5419 XX02 7012```
*Latest primary transactions*
```------------2020-----------```
```02Nov 18.89M 5419 XX01 3486```
```18Mar 18.89M 5419 XX02 3486```
_Source: DLD, Databot_
_BUA - built-up area, sq.ft._
_P/sf - price per sq.ft._
_B - bedrooms; O - office_
_M - million, K- thousand_
_S - studio, R - shop_
www.trydatabot.com</t>
  </si>
  <si>
    <t>1013958, *NEW RE</t>
  </si>
  <si>
    <t>*NEW RENT*
*CONTRACTS**
_(renewals are not included)_
*THE ADDRESS FOUNTAIN VIEWS 3*
_Area: Downtown_
_Type: _
```Date  Price   BUA  Type D/s```
```------------2022-----------```
```06Oct  732K  6534  XXXX 112```
```06Oct  732K  6534  XXXX 112```
```------------2021-----------```
```01Sep  362K  1410  XXXX 257```
_Source: DLD, Databot_
_BUA - built-up area, sq.ft._
_P/sf - price per sq.ft._
_B - bedrooms; O - office_
_M - million, K- thousand_
_S - studio, R - shop_
_*20 latest contracts_
www.trydatabot.com</t>
  </si>
  <si>
    <t>1013972, *NEW RE</t>
  </si>
  <si>
    <t>*NEW RENT*
*CONTRACTS**
_(renewals are not included)_
*THE ADDRESS FOUNTAIN VIEWS 3*
_Area: Downtown_
_All types/bedrooms_
```Date    Price   BUA Type  B```
```------------2026-----------```
```01Jan    210K  1076 XXXX  check```
```------------2025-----------```
```13Aug    145K   818 XXXX  S```
```15Jun    190K  1076 XXXX  check```
```15Jun    190K  1076 XXXX  check```
```04Jun    185K   840 XXXX  1```
```13May    190K  1076 XXXX  1```
```07May    700K  2185 XXXX  3```
```20Mar    175K   840 XXXX  1```
```18Mar    500K  1582 XXXX  2```
```19Feb    200K  1076 XXXX  1```
```19Feb    200K  1076 XXXX  1```
```17Feb    180K   840 XXXX  1```
```06Feb    210K   840 XXXX  1```
```20Jan    721K  2185 XXXX  check```
```08Jan    200K   840 XXXX  check```
```------------2024-----------```
```15Dec   1.64M  3541 XXXX  check```
```15Dec    220K  1076 XXXX  check```
```10Dec    440K  1604 XXXX  check```
```01Dec    450K  1604 XXXX  check```
```01Dec    215K  1076 XXXX  check```
_Source: DLD, Databot_
_BUA - built-up area, sq.ft._
_P/sf - price per sq.ft._
_B - bedrooms; O - office_
_M - million, K- thousand_
_S - studio, R - shop_
_*20 latest contracts_
www.trydatabot.com</t>
  </si>
  <si>
    <t>1013973, *SALES*</t>
  </si>
  <si>
    <t>*SALES*
*TRANSACTIONS (RESALE)**
*THE ADDRESS FOUNTAIN VIEWS 3*
_Area: Downtown_
_All types/bedrooms_
```Date    Price   BUA  Type B```
```------------2026-----------```
```19Jan   23.5M  3541  XX01 4```
```13Jan    6.9M  1580  XX01 2```
```12Jan  6.995M  1580  XX01 2```
```------------2025-----------```
```24Dec     12M  2181  XXXX 3```
```24Dec   14.7M  2182  XXXX 3```
```24Nov     25M  3520  XX02 4```
```18Nov     14M  2182  XXXX 3```
```17Nov    3.3M   839  XX05 1```
```05Nov   7.27M  1580  XX01 2```
```14Oct    7.7M  1580  XX01 2```
```13Oct    7.5M  1602  XX04 2```
```08Oct      3M   839  XXXX 1```
```11Sep   12.5M  2182  XXXX 3```
```19Aug      3M   839  XX05 1```
```22Jul    2.6M   839  XX05 1```
```12Jun     38M  5419  XX02 5```
```03Jun    3.2M  1072  XX06 1```
```30May   7.15M  1602  XX04 2```
```08May  7.825M  2087  XX04 2```
```07May   2.55M   839  XX05 1```
```15Apr    2.8M   839  XX05 1```
```27Feb    7.5M  1580  XX01 2```
```10Feb   2.92M   839  XX05 1```
```02Jan    6.4M  1580  XX01 2```
```------------2024-----------```
```24Dec    7.4M  1602  XX04 2```
```24Dec     14M  2182  XX03 3```
```23Dec  13.25M  2182  XX02 3```
```18Dec    6.4M  1580  XX01 2```
```25Nov    2.9M   839  XX05 1```
```11Nov      6M  1580  XX01 2```
_Source: DLD, Databot_
_BUA - built-up area, sq.ft._
_P/sf - price per sq.ft._
_B - bedrooms; O - office_
_M - million, K- thousand_
_S - studio, R - shop_
_*Max 30 latest transactions_
www.trydatabot.com</t>
  </si>
  <si>
    <t>1013974, by code, *BUILDI</t>
  </si>
  <si>
    <t xml:space="preserve">*BUILDING*
*PROFILE*
*THE ADDRESS FOUNTAIN VIEWS 3*
_Area: Downtown_
_Tap&amp;hold to copy a reply_
```-------------------------```
```Report              Reply```
```-------------------------```
*Studio*
```Resell, ROI       1013924```
```Primary sales     1013975```
```Price chart       1013925```
```Rentals           1013926```
```Appreciation      1013927```
*1 B/R*
```Resell, ROI       1013928```
```Primary sales     1013976```
```Price chart       1013929```
```Rentals           1013930```
```Appreciation      1013931```
*2 B/R*
```Resell, ROI       1013932```
```Primary sales     1013977```
```Price chart       1013933```
```Rentals           1013934```
```Appreciation      1013935```
*3 B/R*
```Resell, ROI       1013936```
```Primary sales     1013978```
```Price chart       1013937```
```Rentals           1013938```
```Appreciation      1013939```
*4 B/R*
```Resell, ROI       1013940```
```Primary sales     1013979```
```Price chart       1013941```
```Rentals               n/a```
```Appreciation      1013943```
*5 B/R*
```Resell, ROI       1013944```
```Primary sales     1013980```
```Price chart       1013945```
```Rentals               n/a```
```Appreciation      1013947```
*All types/bedrooms*
```Resell, ROI       1013973```
```Primary sales     1013987```
```Rentals           1013972```
</t>
  </si>
  <si>
    <t>1013975, *SALES*</t>
  </si>
  <si>
    <r>
      <rPr/>
      <t xml:space="preserve">*SALES*
*TRANSACTIONS (PRIMARY)**
*THE ADDRESS FOUNTAIN VIEWS 3*
_Area: Downtown_
_Type: studio apartment_
```Date   Price  BUA Type P/sf```
```------------2020-----------```
```19Apr  1.92M  814 XX06 2359```
```------------2019-----------```
```11Dec 1.928M  817 XX05 2359```
_Source: DLD, Databot_
_BUA - built-up area, sq.ft._
_P/sf - price per sq.ft._
_B - bedrooms; O - office_
_M - million, K- thousand_
_S - studio, R - shop_
_*Max 20 latest transactions_
</t>
    </r>
    <r>
      <rPr>
        <color rgb="FF1155CC"/>
        <u/>
      </rPr>
      <t>www.trydatabot.com</t>
    </r>
  </si>
  <si>
    <t>1013976, *SALES*</t>
  </si>
  <si>
    <t>*SALES*
*TRANSACTIONS (PRIMARY)**
*THE ADDRESS FOUNTAIN VIEWS 3*
_Area: Downtown_
_Type: 1 bedroom apartment_
```Date   Price  BUA Type P/sf```
```------------2022-----------```
```28Dec  2.95M 1072 XX06 2752```
```12Oct   2.6M  839 XX05 3099```
```01Aug   2.2M  842 XX06 2613```
```12May  2.35M 1072 XX06 2192```
```09Mar   2.4M 1072 XX06 2239```
```13Jan 2.889M  842 XX05 3431```
```------------2021-----------```
```02Nov  2.25M 1072 XX06 2099```
```11Feb  2.15M 1072 XX06 2006```
```------------2020-----------```
```23Sep  1.35M 1072 XX06 1259```
```28Jul 2.101M  839 XX05 2504```
```21Jun 2.538M 1072 XX06 2367```
```21Jun  2.03M  839 XX05 2419```
```------------2019-----------```
```20Jun   2.1M 1072 XX06 1959```
_Source: DLD, Databot_
_BUA - built-up area, sq.ft._
_P/sf - price per sq.ft._
_B - bedrooms; O - office_
_M - million, K- thousand_
_S - studio, R - shop_
_*Max 20 latest transactions_
www.trydatabot.com</t>
  </si>
  <si>
    <t>1013977, *SALES*</t>
  </si>
  <si>
    <r>
      <rPr/>
      <t xml:space="preserve">*SALES*
*TRANSACTIONS (PRIMARY)**
*THE ADDRESS FOUNTAIN VIEWS 3*
_Area: Downtown_
_Type: 2 bedroom apartment_
```Date   Price  BUA Type P/sf```
```------------2024-----------```
```25Jan   6.3M 1580 XX01 3987```
```------------2022-----------```
```09Jun   6.1M 1602 XX04 3808```
```04Feb   5.2M 1602 XX04 3246```
```------------2021-----------```
```21Sep   5.3M 1602 XX04 3308```
```08Jun 4.293M 1580 XX01 2717```
```08Mar 4.253M 1580 XX01 2692```
```24Feb  4.05M 1580 XX01 2563```
```------------2020-----------```
```24Dec 4.536M 1602 XX04 2831```
```30Nov 3.855M 1602 XX04 2406```
```02Nov 4.411M 1580 XX01 2792```
```20Sep   2.5M 1580 XX01 1582```
```20Jul 4.835M 1602 XX04 3018```
```21Jun 4.403M 1580 XX01 2787```
```21Jun 4.701M 1602 XX04 2934```
```04Jun 4.544M 1602 XX04 2836```
```01Mar 4.372M 1580 XX01 2767```
_Source: DLD, Databot_
_BUA - built-up area, sq.ft._
_P/sf - price per sq.ft._
_B - bedrooms; O - office_
_M - million, K- thousand_
_S - studio, R - shop_
_*Max 20 latest transactions_
</t>
    </r>
    <r>
      <rPr>
        <color rgb="FF1155CC"/>
        <u/>
      </rPr>
      <t>www.trydatabot.com</t>
    </r>
  </si>
  <si>
    <t>1013978, *SALES*</t>
  </si>
  <si>
    <r>
      <rPr/>
      <t xml:space="preserve">*SALES*
*TRANSACTIONS (PRIMARY)**
*THE ADDRESS FOUNTAIN VIEWS 3*
_Area: Downtown_
_Type: 3 bedroom apartment_
```Date   Price  BUA Type P/sf```
```------------2022-----------```
```03Nov   9.3M 2182 XX03 4262```
```11Aug   9.1M 2182 XX03 4170```
```10Aug     4M 2182 XX03 1833```
```06Apr 10.11M 2182 XX03 4633```
```------------2021-----------```
```16Nov 6.415M 2182 XX03 2940```
```15Nov 8.922M 2181 XX02 4091```
```11Oct 6.666M 2182 XX02 3055```
```02Mar 8.289M 2987 XX03 2775```
```------------2020-----------```
```19Oct 6.425M 2181 XX02 2946```
```04Oct 6.785M 2182 XX02 3109```
```12Jul 6.656M 2182 XX03 3050```
```22Mar 6.479M 2182 XX02 2969```
```10Feb 8.065M 2182 XX03 3696```
```------------2019-----------```
```10Feb   5.7M 2182 XX02 2612```
_Source: DLD, Databot_
_BUA - built-up area, sq.ft._
_P/sf - price per sq.ft._
_B - bedrooms; O - office_
_M - million, K- thousand_
_S - studio, R - shop_
_*Max 20 latest transactions_
</t>
    </r>
    <r>
      <rPr>
        <color rgb="FF1155CC"/>
        <u/>
      </rPr>
      <t>www.trydatabot.com</t>
    </r>
  </si>
  <si>
    <t>1013979, *SALES*</t>
  </si>
  <si>
    <r>
      <rPr/>
      <t xml:space="preserve">*SALES*
*TRANSACTIONS (PRIMARY)**
*THE ADDRESS FOUNTAIN VIEWS 3*
_Area: Downtown_
_Type: 4 bedroom apartment_
```Date   Price  BUA Type P/sf```
```------------2021-----------```
```20May  10.5M 3520 XX02 2983```
```------------2020-----------```
```16Nov     9M 3541 XX01 2542```
```02Jul 12.02M 3541 XX01 3394```
```21Jun 11.93M 3520 XX02 3390```
```21Jun 12.01M 3541 XX01 3391```
_Source: DLD, Databot_
_BUA - built-up area, sq.ft._
_P/sf - price per sq.ft._
_B - bedrooms; O - office_
_M - million, K- thousand_
_S - studio, R - shop_
_*Max 20 latest transactions_
</t>
    </r>
    <r>
      <rPr>
        <color rgb="FF1155CC"/>
        <u/>
      </rPr>
      <t>www.trydatabot.com</t>
    </r>
  </si>
  <si>
    <t>1013980, *SALES*</t>
  </si>
  <si>
    <r>
      <rPr/>
      <t xml:space="preserve">*SALES*
*TRANSACTIONS (PRIMARY)**
*THE ADDRESS FOUNTAIN VIEWS 3*
_Area: Downtown_
_Type: 5 bedroom apartment_
```Date   Price  BUA Type P/sf```
```------------2020-----------```
```02Nov 18.89M 5419 XX01 3486```
```18Mar 18.89M 5419 XX02 3486```
_Source: DLD, Databot_
_BUA - built-up area, sq.ft._
_P/sf - price per sq.ft._
_B - bedrooms; O - office_
_M - million, K- thousand_
_S - studio, R - shop_
_*Max 20 latest transactions_
</t>
    </r>
    <r>
      <rPr>
        <color rgb="FF1155CC"/>
        <u/>
      </rPr>
      <t>www.trydatabot.com</t>
    </r>
  </si>
  <si>
    <t>1013987, *SALES*</t>
  </si>
  <si>
    <r>
      <rPr/>
      <t xml:space="preserve">*SALES*
*TRANSACTIONS (PRIMARY)**
*THE ADDRESS FOUNTAIN VIEWS 3*
_Area: Downtown_
_All types/bedrooms_
```Date    Price   BUA  Type B```
```------------2024-----------```
```25Jan    6.3M  1580  XX01 2```
```------------2022-----------```
```28Dec   2.95M  1072  XX06 1```
```03Nov    9.3M  2182  XX03 3```
```12Oct    2.6M   839  XX05 1```
```11Aug    9.1M  2182  XX03 3```
```10Aug      4M  2182  XX03 3```
```01Aug    2.2M   842  XX06 1```
```09Jun    6.1M  1602  XX04 2```
```12May   2.35M  1072  XX06 1```
```06Apr  10.11M  2182  XX03 3```
```09Mar    2.4M  1072  XX06 1```
```04Feb    5.2M  1602  XX04 2```
```13Jan  2.889M   842  XX05 1```
```------------2021-----------```
```16Nov  6.415M  2182  XX03 3```
```15Nov  8.922M  2181  XX02 3```
```02Nov   2.25M  1072  XX06 1```
```11Oct  6.666M  2182  XX02 3```
```21Sep    5.3M  1602  XX04 2```
```08Jun  4.293M  1580  XX01 2```
```20May   10.5M  3520  XX02 4```
_Source: DLD, Databot_
_BUA - built-up area, sq.ft._
_P/sf - price per sq.ft._
_B - bedrooms; O - office_
_M - million, K- thousand_
_S - studio, R - shop_
_*Max 20 latest transactions_
</t>
    </r>
    <r>
      <rPr>
        <color rgb="FF1155CC"/>
        <u/>
      </rPr>
      <t>www.trydatabot.com</t>
    </r>
  </si>
  <si>
    <t>1013988, *SALES*</t>
  </si>
  <si>
    <t>*SALES*
*TRANSACTIONS**
*THE ADDRESS DUBAI MALL*
_Area: Downtown_
_Type: studio apartment_
```Date   Price  BUA Type P/sf```
```------------2026-----------```
```16Jan  2.25M  553 XX15 4069```
```12Jan  2.34M  646 XXXX 3622```
```------------2025-----------```
```10Dec  2.22M  553 XX15 4014```
```05Dec  2.15M  647 XX13 3323```
```10Nov   2.2M  553 XX15 3978```
```13Oct 2.075M  604 XX12 3435```
```08Oct  2.15M  551 XXXX 3902```
```30Sep   2.4M  729 XX20 3292```
```03Sep  1.25M  551 XXXX 2269```
```28Aug  2.05M  553 XX15 3707```
```27Aug   2.2M  646 XXXX 3406```
```22Aug 1.588M  729 XX20 2178```
```06Aug     2M  604 XX12 3311```
```09Jul  2.25M  646 XXXX 3483```
```23Jun     2M  647 XX13 3091```
```18Jun  2.35M  729 XX20 3224```
```17Jun 2.425M  729 XX20 3326```
```19May     2M  553 XX15 3617```
```15May  2.15M  647 XX13 3323```
```24Apr     2M  647 XX13 3091```
```17Apr   1.7M  551 XXXX 3085```
```24Mar   2.1M  646 XXXX 3251```
```17Mar  2.03M  551 XXXX 3684```
```13Mar  1.78M  551 XXXX 3230```
```28Feb   2.1M  604 XX12 3477```
```24Feb     2M  551 XXXX 3630```
```19Feb   636K  281 XXXX 2263```
```19Feb   2.1M  646 XXXX 3251```
```20Jan  1.35M  551 XXXX 2450```
```16Jan 1.925M  547 XX18 3519```
_Source: DLD, Databot_
_BUA - built-up area, sq.ft._
_P/sf - price per sq.ft._
_B - bedrooms; O - office_
_M - million, K- thousand_
_S - studio, R - shop_
_*Max 30 latest transactions_
www.trydatabot.com</t>
  </si>
  <si>
    <t>The Address Dubai Mall</t>
  </si>
  <si>
    <t>1013989, *MARKET</t>
  </si>
  <si>
    <t>*MARKET*
*SNAPSHOT*
*THE ADDRESS DUBAI MALL*
_Area: Downtown_
_Type: studio apartment_
*Price dynamics, Dirham/sq.ft.*
_(M - median value)_
```4069|                 * * *```
```    |               *      ```
```    |    *       *       * ```
```    |        *       *     ```
```3325|---------------------M```
```    |*  * **  * *  *   *   ```
```    | **    *              ```
```    |                      ```
```    |                      ```
```    |                      ```
```2178|          *  *        ```
```____|______________________```
```    |Mar2025        Jan2026```
_Source: see table below_
*Latest sales transactions*
```Date   Price  BUA Type P/sf```
```------------2026-----------```
```16Jan  2.25M  553 XX15 4069```
```12Jan  2.34M  646 XXXX 3622```
```------------2025-----------```
```10Dec  2.22M  553 XX15 4014```
```05Dec  2.15M  647 XX13 3323```
```10Nov   2.2M  553 XX15 3978```
```13Oct 2.075M  604 XX12 3435```
```08Oct  2.15M  551 XXXX 3902```
```30Sep   2.4M  729 XX20 3292```
```03Sep  1.25M  551 XXXX 2269```
```28Aug  2.05M  553 XX15 3707```
```27Aug   2.2M  646 XXXX 3406```
```22Aug 1.588M  729 XX20 2178```
```06Aug     2M  604 XX12 3311```
```09Jul  2.25M  646 XXXX 3483```
```23Jun     2M  647 XX13 3091```
```18Jun  2.35M  729 XX20 3224```
```17Jun 2.425M  729 XX20 3326```
```19May     2M  553 XX15 3617```
```15May  2.15M  647 XX13 3323```
```24Apr     2M  647 XX13 3091```
```17Apr   1.7M  551 XXXX 3085```
```24Mar   2.1M  646 XXXX 3251```
```17Mar  2.03M  551 XXXX 3684```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</si>
  <si>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1013992, *SALES*</t>
  </si>
  <si>
    <t>*SALES*
*TRANSACTIONS**
*THE ADDRESS DUBAI MALL*
_Area: Downtown_
_Type: 1 bedroom apartment_
```Date   Price  BUA Type P/sf```
```------------2026-----------```
```20Jan   2.2M  811 XX07 2713```
```------------2025-----------```
```29Dec  1.67M  727 XX03 2297```
```23Dec     2M  768 XX05 2604```
```16Dec  2.55M  724 XX08 3522```
```15Dec  2.65M  951 XX10 2787```
```09Dec  2.55M  768 XX05 3320```
```03Dec 2.725M  951 XX11 2865```
```26Nov   2.6M  724 XX08 3591```
```24Nov   2.6M  724 XX08 3591```
```18Nov 2.825M  951 XX11 2971```
```14Nov   2.8M  951 XX10 2944```
```10Nov  2.35M  747 XX04 3146```
```30Sep   2.8M  951 XX11 2944```
```07Aug   2.4M  747 XX04 3213```
```10Jun   2.8M  768 XX05 3646```
```03Jun 2.225M  724 XX08 3073```
```29May   1.8M  811 XX07 2219```
```28May   1.8M  768 XX05 2344```
```26May  2.25M  727 XX03 3095```
```09May  2.65M  951 XX10 2787```
```13Mar  1.75M  727 XX03 2407```
```25Feb  2.35M  727 XX03 3232```
```25Feb   2.2M  864 XX06 2546```
```23Jan  2.65M  951 XX11 2787```
```22Jan   2.1M  864 XX06 2431```
```------------2024-----------```
```24Dec  2.54M  951 XX10 2671```
```06Nov   2.3M  747 XX04 3079```
```06Nov   2.5M  951 XX10 2629```
```25Sep  2.28M  724 XX08 3149```
```19Sep 2.255M  724 XX08 3115```
_Source: DLD, Databot_
_BUA - built-up area, sq.ft._
_P/sf - price per sq.ft._
_B - bedrooms; O - office_
_M - million, K- thousand_
_S - studio, R - shop_
_*Max 30 latest transactions_
www.trydatabot.com</t>
  </si>
  <si>
    <t>1013993, *MARKET</t>
  </si>
  <si>
    <t>*MARKET*
*SNAPSHOT*
*THE ADDRESS DUBAI MALL*
_Area: Downtown_
_Type: 1 bedroom apartment_
*Price dynamics, Dirham/sq.ft.*
_(M - median value)_
```3646|       *     **       ```
```    |                  *   ```
```    |                *     ```
```    |*       * *           ```
```    |   *  *               ```
```2958|---------------------M```
```    |         * **  *      ```
```    |  *              *    ```
```    |                   * *```
```    | *                    ```
```2219|    **              * ```
```____|______________________```
```    |Feb2025        Jan2026```
_Source: see table below_
*Latest sales transactions*
```Date   Price  BUA Type P/sf```
```------------2026-----------```
```20Jan   2.2M  811 XX07 2713```
```------------2025-----------```
```29Dec  1.67M  727 XX03 2297```
```23Dec     2M  768 XX05 2604```
```16Dec  2.55M  724 XX08 3522```
```15Dec  2.65M  951 XX10 2787```
```09Dec  2.55M  768 XX05 3320```
```03Dec 2.725M  951 XX11 2865```
```26Nov   2.6M  724 XX08 3591```
```24Nov   2.6M  724 XX08 3591```
```18Nov 2.825M  951 XX11 2971```
```14Nov   2.8M  951 XX10 2944```
```10Nov  2.35M  747 XX04 3146```
```30Sep   2.8M  951 XX11 2944```
```07Aug   2.4M  747 XX04 3213```
```10Jun   2.8M  768 XX05 3646```
```03Jun 2.225M  724 XX08 3073```
```29May   1.8M  811 XX07 2219```
```28May   1.8M  768 XX05 2344```
```26May  2.25M  727 XX03 3095```
```09May  2.65M  951 XX10 2787```
```13Mar  1.75M  727 XX03 2407```
```25Feb  2.35M  727 XX03 3232```
```25Feb   2.2M  864 XX06 2546```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</si>
  <si>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1013996, *SALES*</t>
  </si>
  <si>
    <t>*SALES*
*TRANSACTIONS**
*THE ADDRESS DUBAI MALL*
_Area: Downtown_
_Type: 2 bedroom apartment_
```Date   Price  BUA Type P/sf```
```------------2023-----------```
```27Dec  4.95M 1458 XX02 3395```
```20Dec 6.725M 2656 XX08 2532```
```20Dec 7.275M 3124 XX09 2329```
```15Dec  4.95M 1458 XX02 3395```
```22Nov   5.8M 1458 XX02 3978```
```23Oct  4.95M 1458 XX02 3395```
```23Oct  4.95M 1458 XX02 3395```
```23Oct  4.95M 1458 XX02 3395```
```16Jun   2.1M 1458 XX02 1440```
```07Apr   4.7M 1458 XX02 3224```
```------------2021-----------```
```21Jun   3.5M 1458 XX02 2401```
```------------2019-----------```
```13Feb 3.468M 1458 XX02 2379```
```------------2018-----------```
```19Nov   3.5M 1458 XX02 2401```
```02Oct  3.25M 1458 XX02 2229```
```08Jul   3.9M 1458 XX02 2675```
_Source: DLD, Databot_
_BUA - built-up area, sq.ft._
_P/sf - price per sq.ft._
_B - bedrooms; O - office_
_M - million, K- thousand_
_S - studio, R - shop_
_*Max 30 latest transactions_
www.trydatabot.com</t>
  </si>
  <si>
    <t>1013997, *MARKET</t>
  </si>
  <si>
    <t>*MARKET*
*SNAPSHOT*
*THE ADDRESS DUBAI MALL*
_Area: Downtown_
_Type: 2 bedroom apartment_
*Price dynamics, Dirham/sq.ft.*
_(M - median value)_
```3978|                 *    ```
```    |                      ```
```    |              *** *  *```
```    |            *         ```
```    |                      ```
```2675|---------------------M```
```    |       *              ```
```    |         ***       ** ```
```    |        *             ```
```    |                      ```
```1440|             *        ```
```____|______________________```
```    |Jul2018        Dec2023```
_Source: see table below_
*Latest sales transactions*
```Date   Price  BUA Type P/sf```
```------------2023-----------```
```27Dec  4.95M 1458 XX02 3395```
```20Dec 6.725M 2656 XX08 2532```
```20Dec 7.275M 3124 XX09 2329```
```15Dec  4.95M 1458 XX02 3395```
```22Nov   5.8M 1458 XX02 3978```
```23Oct  4.95M 1458 XX02 3395```
```23Oct  4.95M 1458 XX02 3395```
```23Oct  4.95M 1458 XX02 3395```
```16Jun   2.1M 1458 XX02 1440```
```07Apr   4.7M 1458 XX02 3224```
```------------2021-----------```
```21Jun   3.5M 1458 XX02 2401```
```------------2019-----------```
```13Feb 3.468M 1458 XX02 2379```
```------------2018-----------```
```19Nov   3.5M 1458 XX02 2401```
```02Oct  3.25M 1458 XX02 2229```
```08Jul   3.9M 1458 XX02 2675```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</si>
  <si>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1014000, *SALES*</t>
  </si>
  <si>
    <t>*SALES*
*TRANSACTIONS**
*THE ADDRESS DUBAI MALL*
_Area: Downtown_
_Type: 3 bedroom apartment_
```Date   Price  BUA Type P/sf```
```------------2025-----------```
```09May   7.6M 1982 XX01 3835```
```30Apr     6M 1982 XX01 3027```
```------------2024-----------```
```20Mar  20.2M 4865 XX02 4152```
```20Mar  18.3M 5357 XX01 3416```
```06Feb   7.2M 1982 XX01 3633```
```------------2023-----------```
```27Dec   7.2M 1982 XX01 3633```
```15Dec   7.2M 1982 XX01 3633```
```30Nov   7.8M 1982 XX01 3935```
```13Nov  10.5M 4526 XX06 2320```
```23Oct   7.2M 1982 XX01 3633```
```23Oct   7.2M 1982 XX01 3633```
```23Oct   7.2M 1982 XX01 3633```
```16Jun   6.2M 1982 XX01 3128```
```02Feb   5.8M 1982 XX01 2926```
```------------2022-----------```
```16Dec   5.8M 1982 XX01 2926```
```14Sep  4.55M 1982 XX01 2296```
```09Feb   4.3M 1982 XX01 2170```
```31Jan     5M 1982 XX01 2523```
```27Jan   5.5M 1982 XX01 2775```
```------------2021-----------```
```29Jun   8.5M 4526 XX06 1878```
```------------2020-----------```
```07Dec   2.7M 1982 XX01 1362```
```20Jan 3.005M 1982 XX01 1516```
```------------2019-----------```
```16May     5M 1982 XX01 2523```
```------------2018-----------```
```13Aug     5M 1982 XX01 2523```
```07May 2.972M 1982 XX01 1500```
_Source: DLD, Databot_
_BUA - built-up area, sq.ft._
_P/sf - price per sq.ft._
_B - bedrooms; O - office_
_M - million, K- thousand_
_S - studio, R - shop_
_*Max 30 latest transactions_
www.trydatabot.com</t>
  </si>
  <si>
    <t>1014001, *MARKET</t>
  </si>
  <si>
    <t>*MARKET*
*SNAPSHOT*
*THE ADDRESS DUBAI MALL*
_Area: Downtown_
_Type: 3 bedroom apartment_
*Price dynamics, Dirham/sq.ft.*
_(M - median value)_
```4152|                   *  ```
```    |              *      *```
```    |          ***  ***    ```
```    |                  *   ```
```3078|---------------------M```
```    |       ***          * ```
```    |   *                  ```
```    |    *                 ```
```    |     **      *        ```
```    |  *                   ```
```1362|**                    ```
```____|______________________```
```    |Jan2020        May2025```
_Source: see table below_
*Latest sales transactions*
```Date   Price  BUA Type P/sf```
```------------2025-----------```
```09May   7.6M 1982 XX01 3835```
```30Apr     6M 1982 XX01 3027```
```------------2024-----------```
```20Mar  20.2M 4865 XX02 4152```
```20Mar  18.3M 5357 XX01 3416```
```06Feb   7.2M 1982 XX01 3633```
```------------2023-----------```
```27Dec   7.2M 1982 XX01 3633```
```15Dec   7.2M 1982 XX01 3633```
```30Nov   7.8M 1982 XX01 3935```
```13Nov  10.5M 4526 XX06 2320```
```23Oct   7.2M 1982 XX01 3633```
```23Oct   7.2M 1982 XX01 3633```
```23Oct   7.2M 1982 XX01 3633```
```16Jun   6.2M 1982 XX01 3128```
```02Feb   5.8M 1982 XX01 2926```
```------------2022-----------```
```16Dec   5.8M 1982 XX01 2926```
```14Sep  4.55M 1982 XX01 2296```
```09Feb   4.3M 1982 XX01 2170```
```31Jan     5M 1982 XX01 2523```
```27Jan   5.5M 1982 XX01 2775```
```------------2021-----------```
```29Jun   8.5M 4526 XX06 1878```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</si>
  <si>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1014037, *SALES*</t>
  </si>
  <si>
    <t>*SALES*
*TRANSACTIONS**
*THE ADDRESS DUBAI MALL*
_Area: Downtown_
_All types/bedrooms_
```Date    Price   BUA  Type B```
```------------2026-----------```
```20Jan    2.2M   811  XX07 1```
```16Jan   2.25M   553  XX15 S```
```12Jan   2.34M   646  XXXX S```
```------------2025-----------```
```29Dec   1.67M   727  XX03 1```
```23Dec      2M   768  XX05 1```
```16Dec   2.55M   724  XX08 1```
```15Dec   2.65M   951  XX10 1```
```10Dec   2.22M   553  XX15 S```
```09Dec   2.55M   768  XX05 1```
```05Dec   2.15M   647  XX13 S```
```03Dec  2.725M   951  XX11 1```
```26Nov    2.6M   724  XX08 1```
```24Nov    2.6M   724  XX08 1```
```18Nov  2.825M   951  XX11 1```
```14Nov    2.8M   951  XX10 1```
```10Nov    2.2M   553  XX15 S```
```10Nov   2.35M   747  XX04 1```
```13Oct  2.075M   604  XX12 S```
```08Oct   2.15M   551  XXXX S```
```30Sep    2.8M   951  XX11 1```
```30Sep    2.4M   729  XX20 S```
```03Sep   1.25M   551  XXXX S```
```28Aug   2.05M   553  XX15 S```
```27Aug    2.2M   646  XXXX S```
```22Aug  1.588M   729  XX20 S```
```07Aug    2.4M   747  XX04 1```
```06Aug      2M   604  XX12 S```
```09Jul   2.25M   646  XXXX S```
```23Jun      2M   647  XX13 S```
```18Jun   2.35M   729  XX20 S```
_Source: DLD, Databot_
_BUA - built-up area, sq.ft._
_P/sf - price per sq.ft._
_B - bedrooms; O - office_
_M - million, K- thousand_
_S - studio, R - shop_
_*Max 30 latest transactions_
www.trydatabot.com</t>
  </si>
  <si>
    <t>1014038, by code, *BUILDI</t>
  </si>
  <si>
    <t xml:space="preserve">*BUILDING*
*PROFILE*
*THE ADDRESS DUBAI MALL*
_Area: Downtown_
_Tap&amp;hold to copy a reply_
```-------------------------```
```Report              Reply```
```-------------------------```
*Studio*
```Sales, ROI        1013988```
```Price chart       1013989```
```Rentals               n/a```
*1 B/R*
```Sales, ROI        1013992```
```Price chart       1013993```
```Rentals               n/a```
*2 B/R*
```Sales, ROI        1013996```
```Price chart       1013997```
```Rentals               n/a```
*3 B/R*
```Sales, ROI        1014000```
```Price chart       1014001```
```Rentals               n/a```
*All types/bedrooms*
```Sales, ROI        1014037```
```Rentals               n/a```
</t>
  </si>
  <si>
    <t>1014056, *SALES*</t>
  </si>
  <si>
    <r>
      <rPr/>
      <t xml:space="preserve">*SALES*
*TRANSACTIONS (RESALE)**
*THE ADDRESS RESIDENCES DUBAI OPERA T1*
_Area: Downtown_
_Type: 1 bedroom apartment_
_Gross ROI=6.52%_
_Median annual rent=200K_
```Date   Price  BUA Type P/sf```
```------------2025-----------```
```17Nov  3.15M  802 XX05 3928```
```13Nov  2.95M  799 XX05 3692```
```03Sep   3.1M  801 XX05 3870```
```28May  2.95M  801 XX05 3683```
```09May  3.06M  801 XX05 3820```
```01May 3.075M  802 XX05 3834```
```------------2024-----------```
```14Nov     3M  799 XX05 3755```
```25Oct  3.28M  802 XX05 4090```
```21Oct  3.35M  801 XX05 4182```
```21Oct  3.25M  801 XX05 4057```
```01Apr   3.2M  801 XX05 3995```
```20Mar   3.1M  802 XX05 3865```
```28Feb   3.1M  802 XX05 3865```
```12Feb   3.2M  802 XX05 3990```
```30Jan   3.1M  801 XX05 3870```
```09Jan   3.1M  801 XX05 3870```
```------------2023-----------```
```28Dec   3.1M  802 XX05 3865```
```25Oct 2.985M  799 XX05 3736```
```05Oct   3.2M  802 XX05 3990```
```28Sep 2.305M  802 XX05 2874```
```16Aug  3.08M  802 XX05 3840```
```23Jun   2.8M  802 XX05 3491```
```12May  2.53M  799 XXXX 3166```
```12Apr   2.8M  802 XX05 3491```
```------------2022-----------```
```15Nov  2.55M  801 XX05 3184```
```15Sep 2.222M  801 XX05 2774```
```27Jun  2.22M  801 XX05 2772```
```22Jun   2.3M  802 XX05 2868```
```24May   2.3M  802 XX05 2868```
```------------2021-----------```
```28Nov   1.7M  802 XX05 2120```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</si>
  <si>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The Address Residences Dubai Opera T1</t>
  </si>
  <si>
    <t>1014057, *MARKET</t>
  </si>
  <si>
    <t>*MARKET*
*SNAPSHOT*
*THE ADDRESS RESIDENCES DUBAI OPERA T1*
_Area: Downtown_
_Type: 1 bedroom apartment_
*Price dynamics, Dirham/sq.ft.*
_(M - median value)_
```4182|             *        ```
```    |   *    *  ** *       ```
```3865|---------------------M```
```    |     *** **        * *```
```    | *  *          ***    ```
```    |                  * * ```
```    |*                     ```
```    |                      ```
```    |                      ```
```    |                      ```
```2874|  *                   ```
```____|______________________```
```    |Jun2023        Nov2025```
_Source: see table below_
*Latest sales transactions*
```Date   Price  BUA Type P/sf```
```------------2025-----------```
```17Nov  3.15M  802 XX05 3928```
```13Nov  2.95M  799 XX05 3692```
```03Sep   3.1M  801 XX05 3870```
```28May  2.95M  801 XX05 3683```
```09May  3.06M  801 XX05 3820```
```01May 3.075M  802 XX05 3834```
```------------2024-----------```
```14Nov     3M  799 XX05 3755```
```25Oct  3.28M  802 XX05 4090```
```21Oct  3.35M  801 XX05 4182```
```21Oct  3.25M  801 XX05 4057```
```01Apr   3.2M  801 XX05 3995```
```20Mar   3.1M  802 XX05 3865```
```28Feb   3.1M  802 XX05 3865```
```12Feb   3.2M  802 XX05 3990```
```30Jan   3.1M  801 XX05 3870```
```09Jan   3.1M  801 XX05 3870```
```------------2023-----------```
```28Dec   3.1M  802 XX05 3865```
```25Oct 2.985M  799 XX05 3736```
```05Oct   3.2M  802 XX05 3990```
```28Sep 2.305M  802 XX05 2874```
```16Aug  3.08M  802 XX05 3840```
```23Jun   2.8M  802 XX05 3491```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</si>
  <si>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1014058, *NEW RE</t>
  </si>
  <si>
    <t>*NEW RENT*
*CONTRACTS**
_(renewals are not included)_
*THE ADDRESS RESIDENCES DUBAI OPERA T1+T2*
_Area: Downtown_
_Type: 1 bedroom apartment_
```Date  Price   BUA  Type D/s```
```------------2026-----------```
```03Jan  195K   797  XXXX 245```
```------------2025-----------```
```13Dec  170K   797  XXXX 213```
```02Dec  210K   807  XXXX 260```
```17Nov  220K   807  XXXX 273```
```13Nov  210K   797  XXXX 263```
```12Nov  200K   797  XXXX 251```
```10Nov  210K   797  XXXX 263```
```05Nov  200K   797  XXXX 251```
```17Oct  200K   807  XXXX 248```
```16Oct  195K   797  XXXX 245```
```16Oct  200K   797  XXXX 251```
```16Oct  210K   807  XXXX 260```
```12Oct  220K   797  XXXX 276```
```11Oct  180K   797  XXXX 226```
```09Oct  209K   797  XXXX 263```
```03Oct  200K   797  XXXX 251```
```28Sep  220K  1475  XXXX 149```
```27Sep  190K   797  XXXX 238```
```25Sep  185K   807  XXXX 229```
```22Sep  220K   990  XXXX 222```
_Source: DLD, Databot_
_BUA - built-up area, sq.ft._
_P/sf - price per sq.ft._
_B - bedrooms; O - office_
_M - million, K- thousand_
_S - studio, R - shop_
_*20 latest contracts_
www.trydatabot.com</t>
  </si>
  <si>
    <t>1014059, *RESELL</t>
  </si>
  <si>
    <t>*RESELL*
*VS PRIMARY*
*THE ADDRESS RESIDENCES DUBAI OPERA T1*
_Area: Downtown_
_Type: 1 bedroom apartment_
*Price dynamics, Dirham/sq.ft.*
_(x - primary; * - resell)_
```4182|             *        ```
```    |           ** *       ```
```    |                *  * *```
```    |               * *  * ```
```3618|                  *   ```
```    |                      ```
```    |                      ```
```    |                      ```
```    |        xxx           ```
```2774|     xxx              ```
```____|______________________```
```    |Dec1899        Nov2025```
_Source: see a table below_
*Latest resell transactions*
```Date   Price  BUA Type P/sf```
```------------2025-----------```
```17Nov  3.15M  802 XX05 3928```
```13Nov  2.95M  799 XX05 3692```
```03Sep   3.1M  801 XX05 3870```
```28May  2.95M  801 XX05 3683```
```09May  3.06M  801 XX05 3820```
```01May 3.075M  802 XX05 3834```
```------------2024-----------```
```14Nov     3M  799 XX05 3755```
```25Oct  3.28M  802 XX05 4090```
```21Oct  3.35M  801 XX05 4182```
```21Oct  3.25M  801 XX05 4057```
```01Apr   3.2M  801 XX05 3995```
```20Mar   3.1M  802 XX05 3865```
```28Feb   3.1M  802 XX05 3865```
```12Feb   3.2M  802 XX05 3990```
```30Jan   3.1M  801 XX05 3870```
```09Jan   3.1M  801 XX05 3870```
```------------2023-----------```
*Latest primary transactions*
```------------2022-----------```
```13May 2.487M  802 XX05 3101```
```------------2021-----------```
```07Nov 3.016M  982 XX01 3071```
```15Aug 2.412M  802 XX05 3007```
```------------2020-----------```
```11Jun 2.305M  802 XX05 2874```
```21Apr 2.225M  802 XX05 2774```
```------------2019-----------```
```24Nov 2.319M  801 XX05 2895```
_Source: DLD, Databot_
_BUA - built-up area, sq.ft._
_P/sf - price per sq.ft._
_B - bedrooms; O - office_
_M - million, K- thousand_
_S - studio, R - shop_
www.trydatabot.com</t>
  </si>
  <si>
    <t>1014060, *SALES*</t>
  </si>
  <si>
    <t>*SALES*
*TRANSACTIONS (RESALE)**
*THE ADDRESS RESIDENCES DUBAI OPERA T1*
_Area: Downtown_
_Type: 2 bedroom apartment_
_Gross ROI=5.82%_
_Median annual rent=255K_
```Date   Price  BUA Type P/sf```
```------------2025-----------```
```16Dec  3.28M 1236 XXXX 2654```
```27Nov   4.4M 1188 XXXX 3704```
```20Nov     4M 1226 XXXX 3263```
```19Nov   4.1M 1189 XX04 3448```
```18Nov  3.83M 1195 XXXX 3205```
```06Nov  4.15M 1234 XX07 3363```
```03Nov   4.3M 1226 XX06 3507```
```23Oct   4.1M 1258 XX03 3259```
```01Oct   4.2M 1252 XX07 3355```
```24Sep   4.3M 1197 XX06 3592```
```11Sep     6M 1384 XXXX 4335```
```02Sep     8M 1196 XX09 6689```
```01Sep   4.8M 1189 XX04 4037```
```15Aug     4M 1186 XX02 3373```
```13Aug  4.15M 1236 XX07 3358```
```06Aug  7.85M 1545 XX09 5081```
```30Jul  4.45M 1179 XX03 3774```
```03Jun   4.2M 1226 XX06 3426```
```12May  4.31M 1252 XX07 3442```
```29Apr   7.5M 1196 XX09 6271```
```29Apr 4.025M 1089 XX06 3696```
```20Mar   4.5M 1188 XX04 3788```
```12Mar  4.59M 1189 XX04 3860```
```04Mar  4.55M 1260 XX03 3611```
```03Mar  4.35M 1189 XX04 3659```
```25Feb  4.27M 1195 XX06 3573```
```25Feb  4.53M 1226 XX06 3695```
```17Feb  4.07M 1258 XX03 3235```
```14Feb   4.1M 1252 XX07 3275```
```10Feb   4.3M 1258 XX03 3418```
_Source: DLD, Databot_
_BUA - built-up area, sq.ft._
_P/sf - price per sq.ft._
_B - bedrooms; O - office_
_M - million, K- thousand_
_S - studio, R - shop_
_*Max 30 latest transactions_
www.trydatabot.com</t>
  </si>
  <si>
    <t>1014061, *MARKET</t>
  </si>
  <si>
    <t>*MARKET*
*SNAPSHOT*
*THE ADDRESS RESIDENCES DUBAI OPERA T1*
_Area: Downtown_
_Type: 2 bedroom apartment_
*Price dynamics, Dirham/sq.ft.*
_(M - median value)_
```6689|          *           ```
```    |  *                   ```
```    |                      ```
```    |                      ```
```    |      *               ```
```    |                      ```
```    |           *          ```
```    |**   *   *          * ```
```3478|---------------------M```
```    |   **  **   ********  ```
```2654|                     *```
```____|______________________```
```    |Mar2025        Dec2025```
_Source: see table below_
*Latest sales transactions*
```Date   Price  BUA Type P/sf```
```------------2025-----------```
```16Dec  3.28M 1236 XXXX 2654```
```27Nov   4.4M 1188 XXXX 3704```
```20Nov     4M 1226 XXXX 3263```
```19Nov   4.1M 1189 XX04 3448```
```18Nov  3.83M 1195 XXXX 3205```
```06Nov  4.15M 1234 XX07 3363```
```03Nov   4.3M 1226 XX06 3507```
```23Oct   4.1M 1258 XX03 3259```
```01Oct   4.2M 1252 XX07 3355```
```24Sep   4.3M 1197 XX06 3592```
```11Sep     6M 1384 XXXX 4335```
```02Sep     8M 1196 XX09 6689```
```01Sep   4.8M 1189 XX04 4037```
```15Aug     4M 1186 XX02 3373```
```13Aug  4.15M 1236 XX07 3358```
```06Aug  7.85M 1545 XX09 5081```
```30Jul  4.45M 1179 XX03 3774```
```03Jun   4.2M 1226 XX06 3426```
```12May  4.31M 1252 XX07 3442```
```29Apr   7.5M 1196 XX09 6271```
```29Apr 4.025M 1089 XX06 3696```
```20Mar   4.5M 1188 XX04 3788```
```12Mar  4.59M 1189 XX04 3860```
```04Mar  4.55M 1260 XX03 3611```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</si>
  <si>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1014062, *NEW RE</t>
  </si>
  <si>
    <t>*NEW RENT*
*CONTRACTS**
_(renewals are not included)_
*THE ADDRESS RESIDENCES DUBAI OPERA T1+T2*
_Area: Downtown_
_Type: 2 bedroom apartment_
```Date  Price   BUA  Type D/s```
```------------2026-----------```
```01Feb  310K  1195  XXXX 259```
```23Jan  250K  1259  XXXX 199```
```15Jan  265K  1259  XXXX 210```
```04Jan  200K  1055  XXXX 190```
```01Jan  260K  1216  XXXX 214```
```------------2025-----------```
```26Dec  331K  1227  XXXX 270```
```25Dec  230K  1055  XXXX 218```
```19Dec  250K  1238  XXXX 202```
```15Dec  274K  1259  XXXX 218```
```13Dec  250K  1259  XXXX 199```
```10Dec  250K  1259  XXXX 199```
```10Dec  250K  1184  XXXX 211```
```09Dec  360K  1227  XXXX 293```
```06Dec  280K  1238  XXXX 226```
```01Dec  420K  1550  XXXX 271```
```01Dec  360K  1227  XXXX 293```
```29Nov  250K  1259  XXXX 199```
```29Nov  265K  1130  XXXX 235```
```28Nov  250K  1195  XXXX 209```
```22Nov  250K  1259  XXXX 199```
_Source: DLD, Databot_
_BUA - built-up area, sq.ft._
_P/sf - price per sq.ft._
_B - bedrooms; O - office_
_M - million, K- thousand_
_S - studio, R - shop_
_*20 latest contracts_
www.trydatabot.com</t>
  </si>
  <si>
    <t>1014063, *RESELL</t>
  </si>
  <si>
    <t>*RESELL*
*VS PRIMARY*
*THE ADDRESS RESIDENCES DUBAI OPERA T1*
_Area: Downtown_
_Type: 2 bedroom apartment_
*Price dynamics, Dirham/sq.ft.*
_(x - primary; * - resell)_
```4335|           *          ```
```    |                      ```
```    |                      ```
```    |                      ```
```3615|            *       * ```
```    |             * ** *   ```
```    |              *  * *  ```
```    |         xx           ```
```    |  x   xxx             ```
```2540|xx xxx               *```
```____|______________________```
```    |Mar2022        Dec2025```
_Source: see a table below_
*Latest resell transactions*
```Date   Price  BUA Type P/sf```
```------------2025-----------```
```16Dec  3.28M 1236 XXXX 2654```
```27Nov   4.4M 1188 XXXX 3704```
```20Nov     4M 1226 XXXX 3263```
```19Nov   4.1M 1189 XX04 3448```
```18Nov  3.83M 1195 XXXX 3205```
```06Nov  4.15M 1234 XX07 3363```
```03Nov   4.3M 1226 XX06 3507```
```23Oct   4.1M 1258 XX03 3259```
```01Oct   4.2M 1252 XX07 3355```
```24Sep   4.3M 1197 XX06 3592```
```11Sep     6M 1384 XXXX 4335```
```02Sep     8M 1196 XX09 6689```
```01Sep   4.8M 1189 XX04 4037```
```15Aug     4M 1186 XX02 3373```
```13Aug  4.15M 1236 XX07 3358```
```06Aug  7.85M 1545 XX09 5081```
```30Jul  4.45M 1179 XX03 3774```
```03Jun   4.2M 1226 XX06 3426```
*Latest primary transactions*
```------------2023-----------```
```30May 3.912M 1256 XX03 3115```
```------------2022-----------```
```07Dec 3.682M 1198 XX06 3073```
```17Oct 3.584M 1258 XX03 2849```
```20Jul  3.44M 1198 XX06 2871```
```14Jul 3.822M 1334 XX08 2865```
```14Jul 3.191M 1256 XX03 2540```
```07Jul 3.135M 1234 XX07 2540```
```27Apr 3.208M 1186 XX02 2705```
```04Apr 3.269M 1198 XX06 2729```
```23Mar 3.173M 1220 XX06 2601```
```23Mar 3.271M 1258 XX03 2600```
```22Mar 3.543M 1236 XX07 2866```
```23Feb 3.529M 1249 XX07 2825```
```23Feb 3.444M 1249 XX07 2757```
_Source: DLD, Databot_
_BUA - built-up area, sq.ft._
_P/sf - price per sq.ft._
_B - bedrooms; O - office_
_M - million, K- thousand_
_S - studio, R - shop_
www.trydatabot.com</t>
  </si>
  <si>
    <t>1014064, *SALES*</t>
  </si>
  <si>
    <t>*SALES*
*TRANSACTIONS (RESALE)**
*THE ADDRESS RESIDENCES DUBAI OPERA T1*
_Area: Downtown_
_Type: 3 bedroom apartment_
_Gross ROI=4.26%_
_Median annual rent=400K_
```Date   Price  BUA Type P/sf```
```------------2025-----------```
```08Dec 2.888M 1671 XX01 1728```
```19Nov    12M 1575 XX02 7619```
```03Nov  7.75M 1563 XX02 4958```
```03Sep     9M 1564 XX02 5754```
```14Jul    10M 1564 XX02 6394```
```03Jul     9M 1549 XX01 5810```
```18Jun  11.1M 1575 XX02 7048```
```30May  9.05M 1781 XX08 5081```
```23May  10.4M 1677 XX01 6202```
```05May   8.6M 1782 XX08 4826```
```24Mar    11M 1677 XX01 6559```
```04Mar 10.65M 1677 XX01 6351```
```26Feb 8.238M 1782 XX08 4623```
```25Feb   8.6M 1781 XX08 4829```
```14Feb   9.3M 1575 XX02 5905```
```13Feb   8.8M 1564 XX02 5627```
```07Feb     8M 1766 XX08 4530```
```23Jan   9.7M 1671 XX01 5805```
```22Jan   9.2M 1565 XX05 5879```
```22Jan  8.15M 1781 XX08 4576```
```------------2024-----------```
```19Dec  10.5M 1564 XX02 6714```
```26Nov   7.5M 1781 XX08 4211```
```18Nov  9.85M 1671 XX01 5895```
```11Nov     9M 1564 XX02 5754```
```03Oct     8M 1564 XX02 5115```
```30Aug   8.5M 1564 XX02 5435```
```01Aug   6.5M 1573 XX02 4132```
```25Jun   7.4M 1563 XX02 4734```
```10Jun  10.2M 1677 XX01 6082```
```06Jun   9.5M 1677 XX01 5665```
_Source: DLD, Databot_
_BUA - built-up area, sq.ft._
_P/sf - price per sq.ft._
_B - bedrooms; O - office_
_M - million, K- thousand_
_S - studio, R - shop_
_*Max 30 latest transactions_
www.trydatabot.com</t>
  </si>
  <si>
    <t>1014065, *MARKET</t>
  </si>
  <si>
    <t>*MARKET*
*SNAPSHOT*
*THE ADDRESS RESIDENCES DUBAI OPERA T1*
_Area: Downtown_
_Type: 3 bedroom apartment_
*Price dynamics, Dirham/sq.ft.*
_(M - median value)_
```7619|                    * ```
```    |               *      ```
```    | *        ** *   *    ```
```5780|---------------------M```
```    |   ** **        * *   ```
```    |              *       ```
```    |  *  *  **  *      *  ```
```    |*                     ```
```    |                      ```
```    |                      ```
```1728|                     *```
```____|______________________```
```    |Nov2024        Dec2025```
_Source: see table below_
*Latest sales transactions*
```Date   Price  BUA Type P/sf```
```------------2025-----------```
```08Dec 2.888M 1671 XX01 1728```
```19Nov    12M 1575 XX02 7619```
```03Nov  7.75M 1563 XX02 4958```
```03Sep     9M 1564 XX02 5754```
```14Jul    10M 1564 XX02 6394```
```03Jul     9M 1549 XX01 5810```
```18Jun  11.1M 1575 XX02 7048```
```30May  9.05M 1781 XX08 5081```
```23May  10.4M 1677 XX01 6202```
```05May   8.6M 1782 XX08 4826```
```24Mar    11M 1677 XX01 6559```
```04Mar 10.65M 1677 XX01 6351```
```26Feb 8.238M 1782 XX08 4623```
```25Feb   8.6M 1781 XX08 4829```
```14Feb   9.3M 1575 XX02 5905```
```13Feb   8.8M 1564 XX02 5627```
```07Feb     8M 1766 XX08 4530```
```23Jan   9.7M 1671 XX01 5805```
```22Jan   9.2M 1565 XX05 5879```
```22Jan  8.15M 1781 XX08 4576```
```------------2024-----------```
```19Dec  10.5M 1564 XX02 6714```
```26Nov   7.5M 1781 XX08 4211```
```18Nov  9.85M 1671 XX01 5895```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</si>
  <si>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1014066, *NEW RE</t>
  </si>
  <si>
    <t>*NEW RENT*
*CONTRACTS**
_(renewals are not included)_
*THE ADDRESS RESIDENCES DUBAI OPERA T1+T2*
_Area: Downtown_
_Type: 3 bedroom apartment_
```Date  Price   BUA  Type D/s```
```------------2026-----------```
```17Jan  400K  1776  XXXX 225```
```09Jan  360K  1561  XXXX 231```
```------------2025-----------```
```30Dec  410K  1572  XXXX 261```
```20Dec  480K  1776  XXXX 270```
```20Dec  360K  1572  XXXX 229```
```10Dec  450K  1668  XXXX 270```
```08Dec  400K  1561  XXXX 256```
```28Nov   50K  1561  XXXX  32```
```18Nov  400K  1679  XXXX 238```
```15Nov  360K  1776  XXXX 203```
```12Nov  420K  1776  XXXX 236```
```06Nov  450K  1561  XXXX 288```
```03Nov  450K  1572  XXXX 286```
```01Nov  350K  1679  XXXX 208```
```27Oct  475K  1668  XXXX 285```
```18Oct  390K  1668  XXXX 234```
```18Oct  370K  1561  XXXX 237```
```14Oct  390K  1787  XXXX 218```
```12Oct  400K  1787  XXXX 224```
```07Oct  350K  1572  XXXX 223```
_Source: DLD, Databot_
_BUA - built-up area, sq.ft._
_P/sf - price per sq.ft._
_B - bedrooms; O - office_
_M - million, K- thousand_
_S - studio, R - shop_
_*20 latest contracts_
www.trydatabot.com</t>
  </si>
  <si>
    <t>1014067, *RESELL</t>
  </si>
  <si>
    <t>*RESELL*
*VS PRIMARY*
*THE ADDRESS RESIDENCES DUBAI OPERA T1*
_Area: Downtown_
_Type: 3 bedroom apartment_
*Price dynamics, Dirham/sq.ft.*
_(x - primary; * - resell)_
```7619|                    * ```
```    |               *      ```
```    |           * *   *    ```
```    |                * *   ```
```5263|              *       ```
```    |            *      *  ```
```    | xx     xx            ```
```    |x  xxxxx  x           ```
```    |                      ```
```1728|                     *```
```____|______________________```
```    |Sep2021        Dec2025```
_Source: see a table below_
*Latest resell transactions*
```Date   Price  BUA Type P/sf```
```------------2025-----------```
```08Dec 2.888M 1671 XX01 1728```
```19Nov    12M 1575 XX02 7619```
```03Nov  7.75M 1563 XX02 4958```
```03Sep     9M 1564 XX02 5754```
```14Jul    10M 1564 XX02 6394```
```03Jul     9M 1549 XX01 5810```
```18Jun  11.1M 1575 XX02 7048```
```30May  9.05M 1781 XX08 5081```
```23May  10.4M 1677 XX01 6202```
```05May   8.6M 1782 XX08 4826```
```24Mar    11M 1677 XX01 6559```
```04Mar 10.65M 1677 XX01 6351```
```26Feb 8.238M 1782 XX08 4623```
```25Feb   8.6M 1781 XX08 4829```
```14Feb   9.3M 1575 XX02 5905```
```13Feb   8.8M 1564 XX02 5627```
```07Feb     8M 1766 XX08 4530```
```23Jan   9.7M 1671 XX01 5805```
*Latest primary transactions*
```------------2024-----------```
```12Jul 6.122M 1677 XX01 3650```
```------------2023-----------```
```13Dec 6.539M 1677 XX01 3899```
```19Apr   6.9M 1782 XX08 3872```
```------------2022-----------```
```12Apr 5.895M 1671 XX01 3528```
```12Apr 6.385M 1781 XX08 3585```
```04Apr 6.523M 1782 XX08 3660```
```28Jan 5.545M 1563 XX02 3547```
```------------2021-----------```
```03Nov 6.695M 1782 XX08 3757```
```03Oct 6.744M 1610 XX01 4189```
```03Oct 6.437M 1549 XX01 4156```
```26Sep  5.84M 1781 XX08 3279```
```16Sep 6.646M 1677 XX01 3963```
_Source: DLD, Databot_
_BUA - built-up area, sq.ft._
_P/sf - price per sq.ft._
_B - bedrooms; O - office_
_M - million, K- thousand_
_S - studio, R - shop_
www.trydatabot.com</t>
  </si>
  <si>
    <t>1014068, *SALES*</t>
  </si>
  <si>
    <t>*SALES*
*TRANSACTIONS**
*THE ADDRESS RESIDENCES DUBAI OPERA T1*
_Area: Downtown_
_Type: 4 bedroom apartment_
```Date   Price  BUA Type P/sf```
```------------2024-----------```
```01Apr  37.5M 6973 XX01 5378```
_Source: DLD, Databot_
_BUA - built-up area, sq.ft._
_P/sf - price per sq.ft._
_B - bedrooms; O - office_
_M - million, K- thousand_
_S - studio, R - shop_
_*Max 30 latest transactions_
www.trydatabot.com</t>
  </si>
  <si>
    <t>1014069, *MARKET</t>
  </si>
  <si>
    <t>*MARKET*
*SNAPSHOT*
*THE ADDRESS RESIDENCES DUBAI OPERA T1*
_Area: Downtown_
_Type: 4 bedroom apartment_
*Price dynamics, Dirham/sq.ft.*
_(M - median value)_
```5378|                     *```
```5378|----------------------```
```    |                     *```
```5378|---------------------M```
```    |                     *```
```5378|---------------------M```
```    |                     *```
```5378|---------------------M```
```    |                     *```
```5378|---------------------M```
```    |                     *```
```____|______________________```
```    |Apr2024        Apr2024```
_Source: see table below_
*Latest sales transactions*
```Date   Price  BUA Type P/sf```
```------------2024-----------```
```01Apr  37.5M 6973 XX01 5378```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</si>
  <si>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1014072, *SALES*</t>
  </si>
  <si>
    <t>*SALES*
*TRANSACTIONS (RESALE)**
*THE ADDRESS RESIDENCES DUBAI OPERA T1*
_Area: Downtown_
_Type: 5 bedroom apartment_
```Date   Price  BUA Type P/sf```
```------------2021-----------```
```29Aug 14.15M 6009 XX02 2355```
_Source: DLD, Databot_
_BUA - built-up area, sq.ft._
_P/sf - price per sq.ft._
_B - bedrooms; O - office_
_M - million, K- thousand_
_S - studio, R - shop_
_*Max 30 latest transactions_
www.trydatabot.com</t>
  </si>
  <si>
    <t>1014073, *MARKET</t>
  </si>
  <si>
    <t>*MARKET*
*SNAPSHOT*
*THE ADDRESS RESIDENCES DUBAI OPERA T1*
_Area: Downtown_
_Type: 5 bedroom apartment_
*Price dynamics, Dirham/sq.ft.*
_(M - median value)_
```2355|                     *```
```2355|----------------------```
```    |                     *```
```2355|---------------------M```
```    |                     *```
```2355|---------------------M```
```    |                     *```
```2355|---------------------M```
```    |                     *```
```2355|---------------------M```
```    |                     *```
```____|______________________```
```    |Aug2021        Aug2021```
_Source: see table below_
*Latest sales transactions*
```Date   Price  BUA Type P/sf```
```------------2021-----------```
```29Aug 14.15M 6009 XX02 2355```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</si>
  <si>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1014074, *NEW RE</t>
  </si>
  <si>
    <t>*NEW RENT*
*CONTRACTS**
_(renewals are not included)_
*THE ADDRESS RESIDENCES DUBAI OPERA T1+T2*
_Area: Downtown_
_Type: 5 bedroom apartment_
```Date  Price   BUA  Type D/s```
```------------2025-----------```
```30Sep  2.7M  5393  XXXX 501```
```25Aug  3.3M  9967  XXXX 331```
```01Jun    3M  5393  XXXX 556```
_Source: DLD, Databot_
_BUA - built-up area, sq.ft._
_P/sf - price per sq.ft._
_B - bedrooms; O - office_
_M - million, K- thousand_
_S - studio, R - shop_
_*20 latest contracts_
www.trydatabot.com</t>
  </si>
  <si>
    <t>1014075, *RESELL</t>
  </si>
  <si>
    <t>*RESELL*
*VS PRIMARY*
*THE ADDRESS RESIDENCES DUBAI OPERA T1*
_Area: Downtown_
_Type: 5 bedroom apartment_
*Price dynamics, Dirham/sq.ft.*
_(x - primary; * - resell)_
```3976|          x           ```
```    |         x            ```
```    |                      ```
```    |                      ```
```3328|                      ```
```    |                      ```
```    |                      ```
```    |                      ```
```    |                      ```
```2355|                     *```
```____|______________________```
```    |Dec1899        Feb2022```
_Source: see a table below_
*Latest resell transactions*
```Date   Price  BUA Type P/sf```
```------------2021-----------```
```29Aug 14.15M 6009 XX02 2355```
*Latest primary transactions*
```------------2022-----------```
```10Feb 39.63M 9968 XX01 3976```
```------------2021-----------```
```03Jun 19.83M 5151 XX01 3850```
_Source: DLD, Databot_
_BUA - built-up area, sq.ft._
_P/sf - price per sq.ft._
_B - bedrooms; O - office_
_M - million, K- thousand_
_S - studio, R - shop_
www.trydatabot.com</t>
  </si>
  <si>
    <t>1014086, *NEW RE</t>
  </si>
  <si>
    <r>
      <rPr/>
      <t xml:space="preserve">*NEW RENT*
*CONTRACTS**
_(renewals are not included)_
*THE ADDRESS RESIDENCES DUBAI OPERA T1+T2*
_Area: Downtown_
_Type: _
```Date  Price   BUA  Type D/s```
```------------2025-----------```
```02May 1.92M  8697  XXXX 221```
```02May 1.92M  8697  XXXX 221```
```------------2024-----------```
```28Nov  992K  4230  XXXX 235```
```30Aug  769K  3218  XXXX 239```
```29Jan  1.6M  9838  XXXX 163```
```29Jan 1.85M 12615  XXXX 147```
```25Jan  810K  4230  XXXX 191```
```------------2023-----------```
```27Oct  639K  3218  XXXX 199```
_Source: DLD, Databot_
_BUA - built-up area, sq.ft._
_P/sf - price per sq.ft._
_B - bedrooms; O - office_
_M - million, K- thousand_
_S - studio, R - shop_
_*20 latest contracts_
</t>
    </r>
    <r>
      <rPr>
        <color rgb="FF1155CC"/>
        <u/>
      </rPr>
      <t>www.trydatabot.com</t>
    </r>
  </si>
  <si>
    <t>1014092, *SALES*</t>
  </si>
  <si>
    <t>*SALES*
*TRANSACTIONS**
*THE ADDRESS RESIDENCES DUBAI OPERA T1*
_Area: Downtown_
_Type: penthouse_
```Date   Price  BUA Type P/sf```
```------------2025-----------```
```26Jun  33.1M 6119 XX02 5409```
_Source: DLD, Databot_
_BUA - built-up area, sq.ft._
_P/sf - price per sq.ft._
_B - bedrooms; O - office_
_M - million, K- thousand_
_S - studio, R - shop_
_*Max 30 latest transactions_
www.trydatabot.com</t>
  </si>
  <si>
    <t>Penthouse</t>
  </si>
  <si>
    <t>1014093, *MARKET</t>
  </si>
  <si>
    <t>*MARKET*
*SNAPSHOT*
*THE ADDRESS RESIDENCES DUBAI OPERA T1*
_Area: Downtown_
_Type: penthouse_
*Price dynamics, Dirham/sq.ft.*
_(M - median value)_
```5409|                     *```
```5409|----------------------```
```    |                     *```
```5409|---------------------M```
```    |                     *```
```5409|---------------------M```
```    |                     *```
```5409|---------------------M```
```    |                     *```
```5409|---------------------M```
```    |                     *```
```____|______________________```
```    |Jun2025        Jun2025```
_Source: see table below_
*Latest sales transactions*
```Date   Price  BUA Type P/sf```
```------------2025-----------```
```26Jun  33.1M 6119 XX02 5409```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</si>
  <si>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1014100, *NEW RE</t>
  </si>
  <si>
    <t>*NEW RENT*
*CONTRACTS**
_(renewals are not included)_
*THE ADDRESS RESIDENCES DUBAI OPERA T1+T2*
_Area: Downtown_
_All types/bedrooms_
```Date    Price   BUA Type  B```
```------------2026-----------```
```01Feb    310K  1195 XXXX  2```
```23Jan    250K  1259 XXXX  2```
```17Jan    400K  1776 XXXX  3```
```15Jan    265K  1259 XXXX  2```
```09Jan    360K  1561 XXXX  3```
```04Jan    200K  1055 XXXX  2```
```03Jan    195K   797 XXXX  1```
```01Jan    260K  1216 XXXX  2```
```------------2025-----------```
```30Dec    410K  1572 XXXX  3```
```26Dec  330.9K  1227 XXXX  2```
```25Dec    230K  1055 XXXX  2```
```20Dec    480K  1776 XXXX  3```
```20Dec    360K  1572 XXXX  3```
```19Dec    250K  1238 XXXX  2```
```15Dec  274.3K  1259 XXXX  2```
```13Dec    250K  1259 XXXX  2```
```13Dec    170K   797 XXXX  1```
```10Dec    250K  1259 XXXX  2```
```10Dec    450K  1668 XXXX  3```
```10Dec    250K  1184 XXXX  2```
_Source: DLD, Databot_
_BUA - built-up area, sq.ft._
_P/sf - price per sq.ft._
_B - bedrooms; O - office_
_M - million, K- thousand_
_S - studio, R - shop_
_*20 latest contracts_
www.trydatabot.com</t>
  </si>
  <si>
    <t>1014101, *SALES*</t>
  </si>
  <si>
    <t>*SALES*
*TRANSACTIONS (RESALE)**
*THE ADDRESS RESIDENCES DUBAI OPERA T1*
_Area: Downtown_
_All types/bedrooms_
```Date    Price   BUA  Type B```
```------------2025-----------```
```16Dec   3.28M  1236  XXXX 2```
```08Dec  2.888M  1671  XX01 3```
```27Nov    4.4M  1188  XXXX 2```
```20Nov      4M  1226  XXXX 2```
```19Nov     12M  1575  XX02 3```
```19Nov    4.1M  1189  XX04 2```
```18Nov   3.83M  1195  XXXX 2```
```17Nov   3.15M   802  XX05 1```
```13Nov   2.95M   799  XX05 1```
```06Nov   4.15M  1234  XX07 2```
```03Nov    4.3M  1226  XX06 2```
```03Nov   7.75M  1563  XX02 3```
```23Oct    4.1M  1258  XX03 2```
```01Oct    4.2M  1252  XX07 2```
```24Sep    4.3M  1197  XX06 2```
```11Sep      6M  1384  XXXX 2```
```03Sep    3.1M   801  XX05 1```
```03Sep      9M  1564  XX02 3```
```02Sep      8M  1196  XX09 2```
```01Sep    4.8M  1189  XX04 2```
```15Aug      4M  1186  XX02 2```
```13Aug   4.15M  1236  XX07 2```
```06Aug   7.85M  1545  XX09 2```
```30Jul   4.45M  1179  XX03 2```
```14Jul     10M  1564  XX02 3```
```03Jul      9M  1549  XX01 3```
```26Jun   33.1M  6119  XX02 5```
```18Jun   11.1M  1575  XX02 3```
```03Jun    4.2M  1226  XX06 2```
```30May   9.05M  1781  XX08 3```
_Source: DLD, Databot_
_BUA - built-up area, sq.ft._
_P/sf - price per sq.ft._
_B - bedrooms; O - office_
_M - million, K- thousand_
_S - studio, R - shop_
_*Max 30 latest transactions_
www.trydatabot.com</t>
  </si>
  <si>
    <t>1014102, by code, *BUILDI</t>
  </si>
  <si>
    <t xml:space="preserve">*BUILDING*
*PROFILE*
*THE ADDRESS RESIDENCES DUBAI OPERA T1*
_Area: Downtown_
_Tap&amp;hold to copy a reply_
```-------------------------```
```Report              Reply```
```-------------------------```
*1 B/R*
```Resell, ROI       1014056```
```Primary sales     1014104```
```Price chart       1014057```
```Rentals           1014058```
```Appreciation      1014059```
*2 B/R*
```Resell, ROI       1014060```
```Primary sales     1014105```
```Price chart       1014061```
```Rentals           1014062```
```Appreciation      1014063```
*3 B/R*
```Resell, ROI       1014064```
```Primary sales     1014106```
```Price chart       1014065```
```Rentals           1014066```
```Appreciation      1014067```
*4 B/R*
```Sales, ROI        1014068```
```Price chart       1014069```
```Rentals               n/a```
*5 B/R*
```Resell, ROI       1014072```
```Primary sales     1014108```
```Price chart       1014073```
```Rentals           1014074```
```Appreciation      1014075```
*Penthouse*
```Sales, ROI        1014092```
```Price chart       1014093```
```Rentals               n/a```
*All types/bedrooms*
```Resell, ROI       1014101```
```Primary sales     1014115```
```Rentals           1014100```
</t>
  </si>
  <si>
    <t>1014104, *SALES*</t>
  </si>
  <si>
    <t>*SALES*
*TRANSACTIONS (PRIMARY)**
*THE ADDRESS RESIDENCES DUBAI OPERA T1*
_Area: Downtown_
_Type: 1 bedroom apartment_
```Date   Price  BUA Type P/sf```
```------------2022-----------```
```13May 2.487M  802 XX05 3101```
```------------2021-----------```
```07Nov 3.016M  982 XX01 3071```
```15Aug 2.412M  802 XX05 3007```
```------------2020-----------```
```11Jun 2.305M  802 XX05 2874```
```21Apr 2.225M  802 XX05 2774```
```------------2019-----------```
```24Nov 2.319M  801 XX05 2895```
_Source: DLD, Databot_
_BUA - built-up area, sq.ft._
_P/sf - price per sq.ft._
_B - bedrooms; O - office_
_M - million, K- thousand_
_S - studio, R - shop_
_*Max 20 latest transactions_
www.trydatabot.com</t>
  </si>
  <si>
    <t>1014105, *SALES*</t>
  </si>
  <si>
    <t>*SALES*
*TRANSACTIONS (PRIMARY)**
*THE ADDRESS RESIDENCES DUBAI OPERA T1*
_Area: Downtown_
_Type: 2 bedroom apartment_
```Date   Price  BUA Type P/sf```
```------------2023-----------```
```30May 3.912M 1256 XX03 3115```
```------------2022-----------```
```07Dec 3.682M 1198 XX06 3073```
```17Oct 3.584M 1258 XX03 2849```
```20Jul  3.44M 1198 XX06 2871```
```14Jul 3.822M 1334 XX08 2865```
```14Jul 3.191M 1256 XX03 2540```
```07Jul 3.135M 1234 XX07 2540```
```27Apr 3.208M 1186 XX02 2705```
```04Apr 3.269M 1198 XX06 2729```
```23Mar 3.173M 1220 XX06 2601```
```23Mar 3.271M 1258 XX03 2600```
```22Mar 3.543M 1236 XX07 2866```
```23Feb 3.529M 1249 XX07 2825```
```23Feb 3.444M 1249 XX07 2757```
```------------2021-----------```
```29Dec 3.542M 1252 XX07 2829```
```29Dec 3.404M 1249 XX07 2725```
```20Dec 3.329M 1188 XX04 2802```
```16Dec 3.528M 1252 XX07 2818```
```16Dec 3.502M 1252 XX07 2797```
```15Dec  5.92M 1599 XX09 3702```
_Source: DLD, Databot_
_BUA - built-up area, sq.ft._
_P/sf - price per sq.ft._
_B - bedrooms; O - office_
_M - million, K- thousand_
_S - studio, R - shop_
_*Max 20 latest transactions_
www.trydatabot.com</t>
  </si>
  <si>
    <t>1014106, *SALES*</t>
  </si>
  <si>
    <t>*SALES*
*TRANSACTIONS (PRIMARY)**
*THE ADDRESS RESIDENCES DUBAI OPERA T1*
_Area: Downtown_
_Type: 3 bedroom apartment_
```Date   Price  BUA Type P/sf```
```------------2024-----------```
```12Jul 6.122M 1677 XX01 3650```
```------------2023-----------```
```13Dec 6.539M 1677 XX01 3899```
```19Apr   6.9M 1782 XX08 3872```
```------------2022-----------```
```12Apr 5.895M 1671 XX01 3528```
```12Apr 6.385M 1781 XX08 3585```
```04Apr 6.523M 1782 XX08 3660```
```28Jan 5.545M 1563 XX02 3547```
```------------2021-----------```
```03Nov 6.695M 1782 XX08 3757```
```03Oct 6.744M 1610 XX01 4189```
```03Oct 6.437M 1549 XX01 4156```
```26Sep  5.84M 1781 XX08 3279```
```16Sep 6.646M 1677 XX01 3963```
```25Aug 6.342M 1575 XX02 4027```
```24Aug 6.864M 1624 XX01 4227```
```04Jul 6.282M 1550 XX02 4053```
```26May 6.186M 1671 XX01 3702```
```01Apr 6.272M 1575 XX02 3982```
```------------2020-----------```
```06Dec 6.497M 1781 XX08 3648```
```23Nov 5.895M 1671 XX01 3528```
```02Nov 5.388M 1575 XX02 3421```
_Source: DLD, Databot_
_BUA - built-up area, sq.ft._
_P/sf - price per sq.ft._
_B - bedrooms; O - office_
_M - million, K- thousand_
_S - studio, R - shop_
_*Max 20 latest transactions_
www.trydatabot.com</t>
  </si>
  <si>
    <t>1014108, *SALES*</t>
  </si>
  <si>
    <t>*SALES*
*TRANSACTIONS (PRIMARY)**
*THE ADDRESS RESIDENCES DUBAI OPERA T1*
_Area: Downtown_
_Type: 5 bedroom apartment_
```Date   Price  BUA Type P/sf```
```------------2022-----------```
```10Feb 39.63M 9968 XX01 3976```
```------------2021-----------```
```03Jun 19.83M 5151 XX01 3850```
_Source: DLD, Databot_
_BUA - built-up area, sq.ft._
_P/sf - price per sq.ft._
_B - bedrooms; O - office_
_M - million, K- thousand_
_S - studio, R - shop_
_*Max 20 latest transactions_
www.trydatabot.com</t>
  </si>
  <si>
    <t>1014115, *SALES*</t>
  </si>
  <si>
    <t>*SALES*
*TRANSACTIONS (PRIMARY)**
*THE ADDRESS RESIDENCES DUBAI OPERA T1*
_Area: Downtown_
_All types/bedrooms_
```Date    Price   BUA  Type B```
```------------2024-----------```
```12Jul  6.122M  1677  XX01 3```
```------------2023-----------```
```13Dec  6.539M  1677  XX01 3```
```30May  3.912M  1256  XX03 2```
```19Apr    6.9M  1782  XX08 3```
```------------2022-----------```
```07Dec  3.682M  1198  XX06 2```
```17Oct  3.584M  1258  XX03 2```
```20Jul   3.44M  1198  XX06 2```
```14Jul  3.822M  1334  XX08 2```
```14Jul  3.191M  1256  XX03 2```
```07Jul  3.135M  1234  XX07 2```
```13May  2.487M   802  XX05 1```
```27Apr  3.208M  1186  XX02 2```
```12Apr  5.895M  1671  XX01 3```
```12Apr  6.385M  1781  XX08 3```
```04Apr  6.523M  1782  XX08 3```
```04Apr  3.269M  1198  XX06 2```
```23Mar  3.173M  1220  XX06 2```
```23Mar  3.271M  1258  XX03 2```
```22Mar  3.543M  1236  XX07 2```
```23Feb  3.529M  1249  XX07 2```
_Source: DLD, Databot_
_BUA - built-up area, sq.ft._
_P/sf - price per sq.ft._
_B - bedrooms; O - office_
_M - million, K- thousand_
_S - studio, R - shop_
_*Max 20 latest transactions_
www.trydatabot.com</t>
  </si>
  <si>
    <t>1014120, *SALES*</t>
  </si>
  <si>
    <t>*SALES*
*TRANSACTIONS (RESALE)**
*THE ADDRESS RESIDENCES DUBAI OPERA T2*
_Area: Downtown_
_Type: 1 bedroom apartment_
_Gross ROI=6.73%_
_Median annual rent=200K_
```Date   Price  BUA Type P/sf```
```------------2026-----------```
```19Jan   2.8M  797 XXXX 3513```
```14Jan   3.2M  802 XX05 3990```
```08Jan   3.1M  802 XX05 3865```
```------------2025-----------```
```23Oct  3.05M  939 XX06 3248```
```23Oct  2.97M  802 XX05 3703```
```29Sep   3.1M  797 XXXX 3890```
```03Sep 3.062M  827 XX08 3703```
```05Aug   3.1M  717 XX05 4324```
```30Apr  3.05M 1480 XX03 2061```
```25Apr  3.45M  802 XX05 4302```
```10Apr   2.8M  802 XX05 3491```
```07Apr   3.1M  802 XX05 3865```
```03Apr 2.925M 1253 XX05 2334```
```03Apr 2.925M 1477 XX04 1980```
```------------2024-----------```
```17Dec     4M  797 XX05 5019```
```21Nov   3.1M  797 XX06 3890```
```11Sep  3.05M  802 XX05 3803```
```15Aug  3.23M  802 XX05 4027```
```19Jun   3.5M  798 XX05 4386```
```13Feb 2.925M  797 XXXX 3670```
```01Feb     3M  797 XXXX 3764```
```15Jan     3M  827 XXXX 3628```
```------------2023-----------```
```22Dec   3.1M  802 XX05 3865```
```19Dec   2.9M  802 XX05 3616```
```07Dec   2.7M  797 XXXX 3388```
```13Nov  3.45M  717 XXXX 4812```
```23Oct  2.85M  797 XXXX 3576```
```04Oct   2.8M  802 XX05 3491```
```28Sep 1.887M  717 XXXX 2632```
```28Sep   3.2M  760 XX05 4211```
_Source: DLD, Databot_
_BUA - built-up area, sq.ft._
_P/sf - price per sq.ft._
_B - bedrooms; O - office_
_M - million, K- thousand_
_S - studio, R - shop_
_*Max 30 latest transactions_
www.trydatabot.com</t>
  </si>
  <si>
    <t>The Address Residences Dubai Opera T2</t>
  </si>
  <si>
    <t>1014121, *MARKET</t>
  </si>
  <si>
    <t>*MARKET*
*SNAPSHOT*
*THE ADDRESS RESIDENCES DUBAI OPERA T2*
_Area: Downtown_
_Type: 1 bedroom apartment_
*Price dynamics, Dirham/sq.ft.*
_(M - median value)_
```5019|       *              ```
```    |                      ```
```    |   *        * *       ```
```    |    *               * ```
```3784|---------------------M```
```    | **  **   *    *** *  ```
```    |*          *         *```
```    |                  *   ```
```    |                      ```
```    |         *            ```
```1980|        *    *        ```
```____|______________________```
```    |Jan2024        Jan2026```
_Source: see table below_
*Latest sales transactions*
```Date   Price  BUA Type P/sf```
```------------2026-----------```
```19Jan   2.8M  797 XXXX 3513```
```14Jan   3.2M  802 XX05 3990```
```08Jan   3.1M  802 XX05 3865```
```------------2025-----------```
```23Oct  3.05M  939 XX06 3248```
```23Oct  2.97M  802 XX05 3703```
```29Sep   3.1M  797 XXXX 3890```
```03Sep 3.062M  827 XX08 3703```
```05Aug   3.1M  717 XX05 4324```
```30Apr  3.05M 1480 XX03 2061```
```25Apr  3.45M  802 XX05 4302```
```10Apr   2.8M  802 XX05 3491```
```07Apr   3.1M  802 XX05 3865```
```03Apr 2.925M 1253 XX05 2334```
```03Apr 2.925M 1477 XX04 1980```
```------------2024-----------```
```17Dec     4M  797 XX05 5019```
```21Nov   3.1M  797 XX06 3890```
```11Sep  3.05M  802 XX05 3803```
```15Aug  3.23M  802 XX05 4027```
```19Jun   3.5M  798 XX05 4386```
```13Feb 2.925M  797 XXXX 3670```
```01Feb     3M  797 XXXX 3764```
```15Jan     3M  827 XXXX 3628```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</si>
  <si>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1014122, *NEW RE</t>
  </si>
  <si>
    <t>1014123, *RESELL</t>
  </si>
  <si>
    <t>*RESELL*
*VS PRIMARY*
*THE ADDRESS RESIDENCES DUBAI OPERA T2*
_Area: Downtown_
_Type: 1 bedroom apartment_
*Price dynamics, Dirham/sq.ft.*
_(x - primary; * - resell)_
```4324|            * *       ```
```    |                    * ```
```    |          x     *  *  ```
```    |               * *    ```
```3420|           *         *```
```    |       x          *   ```
```    |xxx x   xx            ```
```    |   x xx               ```
```    |                      ```
```2061|             *        ```
```____|______________________```
```    |Apr2021        Jan2026```
_Source: see a table below_
*Latest resell transactions*
```Date   Price  BUA Type P/sf```
```------------2026-----------```
```19Jan   2.8M  797 XXXX 3513```
```14Jan   3.2M  802 XX05 3990```
```08Jan   3.1M  802 XX05 3865```
```------------2025-----------```
```23Oct  3.05M  939 XX06 3248```
```23Oct  2.97M  802 XX05 3703```
```29Sep   3.1M  797 XXXX 3890```
```03Sep 3.062M  827 XX08 3703```
```05Aug   3.1M  717 XX05 4324```
```30Apr  3.05M 1480 XX03 2061```
```25Apr  3.45M  802 XX05 4302```
```10Apr   2.8M  802 XX05 3491```
```07Apr   3.1M  802 XX05 3865```
```03Apr 2.925M 1253 XX05 2334```
```03Apr 2.925M 1477 XX04 1980```
```------------2024-----------```
```17Dec     4M  797 XX05 5019```
```21Nov   3.1M  797 XX06 3890```
*Latest primary transactions*
```------------2023-----------```
```13Jul  3.79M  989 XXXX 3832```
```------------2022-----------```
```13Jul 2.465M  845 XX08 2917```
```27Apr 2.355M  797 XX05 2955```
```08Mar 3.146M  990 XX01 3178```
```12Jan 2.273M  797 XX05 2852```
```------------2021-----------```
```14Dec 2.173M  803 XX07 2706```
```04Nov 2.381M  802 XX05 2969```
```15Aug 2.268M  802 XX05 2828```
```08Jun 2.443M  802 XX05 3046```
```20May 2.322M  802 XX05 2895```
```01Apr 2.284M  798 XXXX 2862```
```01Apr 2.169M  760 XXXX 2854```
```------------2020-----------```
_Source: DLD, Databot_
_BUA - built-up area, sq.ft._
_P/sf - price per sq.ft._
_B - bedrooms; O - office_
_M - million, K- thousand_
_S - studio, R - shop_
www.trydatabot.com</t>
  </si>
  <si>
    <t>1014124, *SALES*</t>
  </si>
  <si>
    <t>*SALES*
*TRANSACTIONS (RESALE)**
*THE ADDRESS RESIDENCES DUBAI OPERA T2*
_Area: Downtown_
_Type: 2 bedroom apartment_
_Gross ROI=5.67%_
_Median annual rent=255K_
```Date   Price  BUA Type P/sf```
```------------2026-----------```
```20Jan   4.3M 1186 XXXX 3626```
```19Jan  4.05M 1260 XXXX 3214```
```16Jan  4.25M 1190 XX04 3571```
```------------2025-----------```
```16Dec  3.28M 1190 XX04 2756```
```15Dec   6.3M 1473 XXXX 4277```
```11Dec  4.15M 1190 XXXX 3487```
```20Nov   6.6M 1200 XXXX 5500```
```12Nov  7.05M 1229 XXXX 5736```
```09Oct  6.55M 1200 XX09 5458```
```02Oct   6.4M 1229 XXXX 5207```
```19Sep   4.1M 1264 XX03 3244```
```25Aug   6.4M 1229 XXXX 5207```
```25Aug   4.4M 1263 XX03 3484```
```25Aug   6.1M 1208 XX09 5050```
```28Jul   4.4M 1242 XX07 3543```
```14Jul 4.125M 1190 XX04 3466```
```10Jun   4.4M 1255 XX07 3506```
```09Jun   4.5M 1199 XX06 3753```
```19May  4.46M 1186 XX04 3761```
```02Apr   4.5M 1122 XX04 4011```
```28Mar  4.55M 1264 XX03 3600```
```06Mar   4.8M 1242 XX07 3865```
```10Feb  4.05M 1260 XX03 3214```
```06Feb   4.4M 1199 XX06 3670```
```02Jan  3.95M 1190 XX04 3319```
```------------2024-----------```
```12Dec 4.225M 1264 XX03 3343```
```19Nov   4.2M 1264 XX03 3323```
```07Nov   4.3M 1264 XX03 3402```
```16Oct 4.175M 1255 XX07 3327```
```10Oct   4.5M 1264 XX03 3560```
_Source: DLD, Databot_
_BUA - built-up area, sq.ft._
_P/sf - price per sq.ft._
_B - bedrooms; O - office_
_M - million, K- thousand_
_S - studio, R - shop_
_*Max 30 latest transactions_
www.trydatabot.com</t>
  </si>
  <si>
    <t>1014125, *MARKET</t>
  </si>
  <si>
    <t>*MARKET*
*SNAPSHOT*
*THE ADDRESS RESIDENCES DUBAI OPERA T2*
_Area: Downtown_
_Type: 2 bedroom apartment_
*Price dynamics, Dirham/sq.ft.*
_(M - median value)_
```5736|              *       ```
```    |             * *      ```
```    |        * * *         ```
```    |                      ```
```    |                      ```
```    |                 *    ```
```    |* *                   ```
```3690|---------------------M```
```    | * *** *           * *```
```    |      *  * *    *   * ```
```2756|                  *   ```
```____|______________________```
```    |Mar2025        Jan2026```
_Source: see table below_
*Latest sales transactions*
```Date   Price  BUA Type P/sf```
```------------2026-----------```
```20Jan   4.3M 1186 XXXX 3626```
```19Jan  4.05M 1260 XXXX 3214```
```16Jan  4.25M 1190 XX04 3571```
```------------2025-----------```
```16Dec  3.28M 1190 XX04 2756```
```15Dec   6.3M 1473 XXXX 4277```
```11Dec  4.15M 1190 XXXX 3487```
```20Nov   6.6M 1200 XXXX 5500```
```12Nov  7.05M 1229 XXXX 5736```
```09Oct  6.55M 1200 XX09 5458```
```02Oct   6.4M 1229 XXXX 5207```
```19Sep   4.1M 1264 XX03 3244```
```25Aug   6.4M 1229 XXXX 5207```
```25Aug   4.4M 1263 XX03 3484```
```25Aug   6.1M 1208 XX09 5050```
```28Jul   4.4M 1242 XX07 3543```
```14Jul 4.125M 1190 XX04 3466```
```10Jun   4.4M 1255 XX07 3506```
```09Jun   4.5M 1199 XX06 3753```
```19May  4.46M 1186 XX04 3761```
```02Apr   4.5M 1122 XX04 4011```
```28Mar  4.55M 1264 XX03 3600```
```06Mar   4.8M 1242 XX07 3865```
```10Feb  4.05M 1260 XX03 3214```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</si>
  <si>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1014126, *NEW RE</t>
  </si>
  <si>
    <t>1014127, *RESELL</t>
  </si>
  <si>
    <t>*RESELL*
*VS PRIMARY*
*THE ADDRESS RESIDENCES DUBAI OPERA T2*
_Area: Downtown_
_Type: 2 bedroom apartment_
*Price dynamics, Dirham/sq.ft.*
_(x - primary; * - resell)_
```5736|              *       ```
```    |             * *      ```
```    |            *         ```
```    |                      ```
```4504|                      ```
```    |                 *    ```
```    |                      ```
```    |   x            *  * *```
```    |      x   x*        * ```
```2652|xxx xx xxx        *   ```
```____|______________________```
```    |Jun2021        Jan2026```
_Source: see a table below_
*Latest resell transactions*
```Date   Price  BUA Type P/sf```
```------------2026-----------```
```20Jan   4.3M 1186 XXXX 3626```
```19Jan  4.05M 1260 XXXX 3214```
```16Jan  4.25M 1190 XX04 3571```
```------------2025-----------```
```16Dec  3.28M 1190 XX04 2756```
```15Dec   6.3M 1473 XXXX 4277```
```11Dec  4.15M 1190 XXXX 3487```
```20Nov   6.6M 1200 XXXX 5500```
```12Nov  7.05M 1229 XXXX 5736```
```09Oct  6.55M 1200 XX09 5458```
```02Oct   6.4M 1229 XXXX 5207```
```19Sep   4.1M 1264 XX03 3244```
```25Aug   6.4M 1229 XXXX 5207```
```25Aug   4.4M 1263 XX03 3484```
```25Aug   6.1M 1208 XX09 5050```
```28Jul   4.4M 1242 XX07 3543```
```14Jul 4.125M 1190 XX04 3466```
```10Jun   4.4M 1255 XX07 3506```
*Latest primary transactions*
```------------2023-----------```
```09Feb 3.587M 1189 XX04 3017```
```10Jan 3.404M 1242 XX07 2741```
```------------2022-----------```
```13Jul 3.351M 1186 XX04 2825```
```08Feb 3.328M 1255 XX07 2652```
```02Feb 3.726M 1255 XX07 2969```
```12Jan 3.244M 1190 XX04 2726```
```------------2021-----------```
```22Dec 3.641M 1242 XX07 2931```
```21Dec 5.475M 1473 XX02 3717```
```22Nov 3.443M 1190 XX04 2893```
```05Sep 3.293M 1199 XX06 2746```
```15Jun 3.278M 1190 XX04 2754```
```20May 3.401M 1242 XX07 2738```
```20May 3.044M 1260 XX03 2416```
_Source: DLD, Databot_
_BUA - built-up area, sq.ft._
_P/sf - price per sq.ft._
_B - bedrooms; O - office_
_M - million, K- thousand_
_S - studio, R - shop_
www.trydatabot.com</t>
  </si>
  <si>
    <t>1014128, *SALES*</t>
  </si>
  <si>
    <t>*SALES*
*TRANSACTIONS (RESALE)**
*THE ADDRESS RESIDENCES DUBAI OPERA T2*
_Area: Downtown_
_Type: 3 bedroom apartment_
_Gross ROI=5.44%_
_Median annual rent=400K_
```Date   Price  BUA Type P/sf```
```------------2025-----------```
```17Dec   7.5M 1563 XX02 4798```
```09Dec   7.6M 1575 XXXX 4825```
```08Dec   6.9M 1560 XXXX 4423```
```19Nov  8.35M 1775 XXXX 4704```
```14Oct  7.55M 1575 XX02 4794```
```28Aug   8.5M 1775 XX08 4789```
```11Aug 7.575M 1563 XX02 4846```
```21Jul   7.1M 1671 XX01 4249```
```01Jul 7.085M 1563 XX02 4533```
```30May   7.5M 1681 XX01 4462```
```28May  6.65M 1560 XX02 4263```
```23May   7.6M 1671 XX01 4548```
```06May   7.5M 1575 XX02 4762```
```18Mar  7.75M 1671 XX01 4638```
```24Jan   6.5M 1563 XX02 4159```
```23Jan     7M 1575 XX02 4444```
```08Jan     8M 1624 XX01 4926```
```------------2024-----------```
```26Nov   7.8M 1775 XX08 4394```
```18Oct  6.95M 1560 XX02 4455```
```14Oct 7.575M 1671 XX01 4533```
```26Sep   8.1M 1681 XX01 4819```
```10Sep   6.9M 1624 XX01 4249```
```30Aug  6.65M 1563 XX02 4255```
```29Aug   7.3M 1575 XX02 4635```
```29Aug   7.1M 1680 XX01 4226```
```23Aug     6M 1563 XX02 3839```
```12Jul     8M 1575 XX02 5079```
```11Jun   7.5M 1681 XX01 4462```
```13May  7.35M 1563 XX02 4702```
```01May 5.615M 1560 XX02 3599```
_Source: DLD, Databot_
_BUA - built-up area, sq.ft._
_P/sf - price per sq.ft._
_B - bedrooms; O - office_
_M - million, K- thousand_
_S - studio, R - shop_
_*Max 30 latest transactions_
www.trydatabot.com</t>
  </si>
  <si>
    <t>1014129, *MARKET</t>
  </si>
  <si>
    <t>*MARKET*
*SNAPSHOT*
*THE ADDRESS RESIDENCES DUBAI OPERA T2*
_Area: Downtown_
_Type: 3 bedroom apartment_
*Price dynamics, Dirham/sq.ft.*
_(M - median value)_
```4926|     *                ```
```    | *             *    * ```
```    |         *      **   *```
```    |                  *   ```
```    |        *             ```
```4541|---------------------M```
```    |  *       *  *        ```
```    |   *  *     *         ```
```    |    *              *  ```
```    |*          *  *       ```
```4159|       *              ```
```____|______________________```
```    |Sep2024        Dec2025```
_Source: see table below_
*Latest sales transactions*
```Date   Price  BUA Type P/sf```
```------------2025-----------```
```17Dec   7.5M 1563 XX02 4798```
```09Dec   7.6M 1575 XXXX 4825```
```08Dec   6.9M 1560 XXXX 4423```
```19Nov  8.35M 1775 XXXX 4704```
```14Oct  7.55M 1575 XX02 4794```
```28Aug   8.5M 1775 XX08 4789```
```11Aug 7.575M 1563 XX02 4846```
```21Jul   7.1M 1671 XX01 4249```
```01Jul 7.085M 1563 XX02 4533```
```30May   7.5M 1681 XX01 4462```
```28May  6.65M 1560 XX02 4263```
```23May   7.6M 1671 XX01 4548```
```06May   7.5M 1575 XX02 4762```
```18Mar  7.75M 1671 XX01 4638```
```24Jan   6.5M 1563 XX02 4159```
```23Jan     7M 1575 XX02 4444```
```08Jan     8M 1624 XX01 4926```
```------------2024-----------```
```26Nov   7.8M 1775 XX08 4394```
```18Oct  6.95M 1560 XX02 4455```
```14Oct 7.575M 1671 XX01 4533```
```26Sep   8.1M 1681 XX01 4819```
```10Sep   6.9M 1624 XX01 4249```
```30Aug  6.65M 1563 XX02 4255```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</si>
  <si>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1014130, *NEW RE</t>
  </si>
  <si>
    <t>1014131, *RESELL</t>
  </si>
  <si>
    <t>*RESELL*
*VS PRIMARY*
*THE ADDRESS RESIDENCES DUBAI OPERA T2*
_Area: Downtown_
_Type: 3 bedroom apartment_
*Price dynamics, Dirham/sq.ft.*
_(x - primary; * - resell)_
```4846|               ***  **```
```    |                  *   ```
```    |            **     *  ```
```    |           *  *       ```
```4078|                      ```
```    |                      ```
```    |x      xxx            ```
```    | x                    ```
```    |  xxxx    x           ```
```2931|      x               ```
```____|______________________```
```    |Mar2022        Dec2025```
_Source: see a table below_
*Latest resell transactions*
```Date   Price  BUA Type P/sf```
```------------2025-----------```
```17Dec   7.5M 1563 XX02 4798```
```09Dec   7.6M 1575 XXXX 4825```
```08Dec   6.9M 1560 XXXX 4423```
```19Nov  8.35M 1775 XXXX 4704```
```14Oct  7.55M 1575 XX02 4794```
```28Aug   8.5M 1775 XX08 4789```
```11Aug 7.575M 1563 XX02 4846```
```21Jul   7.1M 1671 XX01 4249```
```01Jul 7.085M 1563 XX02 4533```
```30May   7.5M 1681 XX01 4462```
```28May  6.65M 1560 XX02 4263```
```23May   7.6M 1671 XX01 4548```
```06May   7.5M 1575 XX02 4762```
```18Mar  7.75M 1671 XX01 4638```
```24Jan   6.5M 1563 XX02 4159```
```23Jan     7M 1575 XX02 4444```
```08Jan     8M 1624 XX01 4926```
```------------2024-----------```
*Latest primary transactions*
```------------2022-----------```
```03Nov 5.062M 1575 XX02 3214```
```21Jun 6.087M 1681 XX01 3621```
```13May 6.087M 1681 XX01 3621```
```12May 6.053M 1680 XX01 3603```
```21Apr   5.2M 1774 XX08 2931```
```12Apr 5.083M 1563 XX02 3252```
```04Apr 5.237M 1563 XX02 3351```
```28Mar 5.402M 1681 XX01 3213```
```24Mar 5.175M 1553 XX02 3332```
```23Mar 5.782M 1680 XX01 3441```
```22Mar 6.055M 1681 XX01 3602```
```19Jan 4.929M 1671 XX01 2950```
```07Jan 5.303M 1563 XX02 3393```
```03Jan 5.623M 1680 XX01 3347```
```------------2021-----------```
_Source: DLD, Databot_
_BUA - built-up area, sq.ft._
_P/sf - price per sq.ft._
_B - bedrooms; O - office_
_M - million, K- thousand_
_S - studio, R - shop_
www.trydatabot.com</t>
  </si>
  <si>
    <t>1014136, *SALES*</t>
  </si>
  <si>
    <t>*SALES*
*TRANSACTIONS (RESALE)**
*THE ADDRESS RESIDENCES DUBAI OPERA T2*
_Area: Downtown_
_Type: 5 bedroom apartment_
```Date   Price  BUA Type P/sf```
```------------2023-----------```
```17Aug    57M 9962 XXXX 5722```
_Source: DLD, Databot_
_BUA - built-up area, sq.ft._
_P/sf - price per sq.ft._
_B - bedrooms; O - office_
_M - million, K- thousand_
_S - studio, R - shop_
_*Max 30 latest transactions_
www.trydatabot.com</t>
  </si>
  <si>
    <t>1014137, *MARKET</t>
  </si>
  <si>
    <t>*MARKET*
*SNAPSHOT*
*THE ADDRESS RESIDENCES DUBAI OPERA T2*
_Area: Downtown_
_Type: 5 bedroom apartment_
*Price dynamics, Dirham/sq.ft.*
_(M - median value)_
```5722|                     *```
```5722|----------------------```
```    |                     *```
```5722|---------------------M```
```    |                     *```
```5722|---------------------M```
```    |                     *```
```5722|---------------------M```
```    |                     *```
```5722|---------------------M```
```    |                     *```
```____|______________________```
```    |Aug2023        Aug2023```
_Source: see table below_
*Latest sales transactions*
```Date   Price  BUA Type P/sf```
```------------2023-----------```
```17Aug    57M 9962 XXXX 5722```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</si>
  <si>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1014138, *NEW RE</t>
  </si>
  <si>
    <t>1014139, *RESELL</t>
  </si>
  <si>
    <t>*RESELL*
*VS PRIMARY*
*THE ADDRESS RESIDENCES DUBAI OPERA T2*
_Area: Downtown_
_Type: 5 bedroom apartment_
*Price dynamics, Dirham/sq.ft.*
_(x - primary; * - resell)_
```5722|                     *```
```    |                      ```
```    |                      ```
```    |                      ```
```4790|                      ```
```    |                      ```
```    |                      ```
```    |                      ```
```    |       x x            ```
```3389|      x x x           ```
```____|______________________```
```    |Dec1899        Jan2025```
_Source: see a table below_
*Latest resell transactions*
```Date   Price  BUA Type P/sf```
```------------2023-----------```
```17Aug    57M 9962 XXXX 5722```
*Latest primary transactions*
```------------2025-----------```
```10Jan 20.92M 6175 XX02 3389```
```------------2022-----------```
```05Apr  37.6M 9973 XX01 3771```
```03Mar  18.1M 5152 XX01 3514```
```10Feb 39.39M  11K XX01 3705```
```------------2019-----------```
```26May 20.92M 6066 XX02 3450```
_Source: DLD, Databot_
_BUA - built-up area, sq.ft._
_P/sf - price per sq.ft._
_B - bedrooms; O - office_
_M - million, K- thousand_
_S - studio, R - shop_
www.trydatabot.com</t>
  </si>
  <si>
    <t>1014150, *NEW RE</t>
  </si>
  <si>
    <t>*NEW RENT*
*CONTRACTS**
_(renewals are not included)_
*THE ADDRESS RESIDENCES DUBAI OPERA T1+T2*
_Area: Downtown_
_Type: _
```Date  Price   BUA  Type D/s```
```------------2025-----------```
```02May 1.92M  8697  XXXX 221```
```02May 1.92M  8697  XXXX 221```
```------------2024-----------```
```28Nov  992K  4230  XXXX 235```
```30Aug  769K  3218  XXXX 239```
```29Jan  1.6M  9838  XXXX 163```
```29Jan 1.85M 12615  XXXX 147```
```25Jan  810K  4230  XXXX 191```
```------------2023-----------```
```27Oct  639K  3218  XXXX 199```
_Source: DLD, Databot_
_BUA - built-up area, sq.ft._
_P/sf - price per sq.ft._
_B - bedrooms; O - office_
_M - million, K- thousand_
_S - studio, R - shop_
_*20 latest contracts_
www.trydatabot.com</t>
  </si>
  <si>
    <t>1014164, *NEW RE</t>
  </si>
  <si>
    <t>1014165, *SALES*</t>
  </si>
  <si>
    <t>*SALES*
*TRANSACTIONS (RESALE)**
*THE ADDRESS RESIDENCES DUBAI OPERA T2*
_Area: Downtown_
_All types/bedrooms_
```Date    Price   BUA  Type B```
```------------2026-----------```
```20Jan    4.3M  1186  XXXX 2```
```19Jan    2.8M   797  XXXX 1```
```19Jan   4.05M  1260  XXXX 2```
```16Jan   4.25M  1190  XX04 2```
```14Jan    3.2M   802  XX05 1```
```08Jan    3.1M   802  XX05 1```
```------------2025-----------```
```17Dec    7.5M  1563  XX02 3```
```16Dec   3.28M  1190  XX04 2```
```15Dec    6.3M  1473  XXXX 2```
```11Dec   4.15M  1190  XXXX 2```
```09Dec    7.6M  1575  XXXX 3```
```08Dec    6.9M  1560  XXXX 3```
```20Nov    6.6M  1200  XXXX 2```
```19Nov   8.35M  1775  XXXX 3```
```12Nov   7.05M  1229  XXXX 2```
```23Oct   3.05M   939  XX06 1```
```23Oct   2.97M   802  XX05 1```
```14Oct   7.55M  1575  XX02 3```
```09Oct   6.55M  1200  XX09 2```
```02Oct    6.4M  1229  XXXX 2```
```29Sep    3.1M   797  XXXX 1```
```19Sep    4.1M  1264  XX03 2```
```03Sep  3.062M   827  XX08 1```
```28Aug    8.5M  1775  XX08 3```
```25Aug    6.4M  1229  XXXX 2```
```25Aug    4.4M  1263  XX03 2```
```25Aug    6.1M  1208  XX09 2```
```11Aug  7.575M  1563  XX02 3```
```05Aug    3.1M   717  XX05 1```
```28Jul    4.4M  1242  XX07 2```
_Source: DLD, Databot_
_BUA - built-up area, sq.ft._
_P/sf - price per sq.ft._
_B - bedrooms; O - office_
_M - million, K- thousand_
_S - studio, R - shop_
_*Max 30 latest transactions_
www.trydatabot.com</t>
  </si>
  <si>
    <t>1014166, by code, *BUILDI</t>
  </si>
  <si>
    <t xml:space="preserve">*BUILDING*
*PROFILE*
*THE ADDRESS RESIDENCES DUBAI OPERA T2*
_Area: Downtown_
_Tap&amp;hold to copy a reply_
```-------------------------```
```Report              Reply```
```-------------------------```
*1 B/R*
```Resell, ROI       1014120```
```Primary sales     1014168```
```Price chart       1014121```
```Rentals           1014122```
```Appreciation      1014123```
*2 B/R*
```Resell, ROI       1014124```
```Primary sales     1014169```
```Price chart       1014125```
```Rentals           1014126```
```Appreciation      1014127```
*3 B/R*
```Resell, ROI       1014128```
```Primary sales     1014170```
```Price chart       1014129```
```Rentals           1014130```
```Appreciation      1014131```
*4 B/R*
```Primary sales     1014171```
*5 B/R*
```Resell, ROI       1014136```
```Primary sales     1014172```
```Price chart       1014137```
```Rentals           1014138```
```Appreciation      1014139```
*All types/bedrooms*
```Resell, ROI       1014165```
```Primary sales     1014179```
```Rentals           1014164```
</t>
  </si>
  <si>
    <t>1014168, *SALES*</t>
  </si>
  <si>
    <t>*SALES*
*TRANSACTIONS (PRIMARY)**
*THE ADDRESS RESIDENCES DUBAI OPERA T2*
_Area: Downtown_
_Type: 1 bedroom apartment_
```Date   Price  BUA Type P/sf```
```------------2023-----------```
```13Jul  3.79M  989 XXXX 3832```
```------------2022-----------```
```13Jul 2.465M  845 XX08 2917```
```27Apr 2.355M  797 XX05 2955```
```08Mar 3.146M  990 XX01 3178```
```12Jan 2.273M  797 XX05 2852```
```------------2021-----------```
```14Dec 2.173M  803 XX07 2706```
```04Nov 2.381M  802 XX05 2969```
```15Aug 2.268M  802 XX05 2828```
```08Jun 2.443M  802 XX05 3046```
```20May 2.322M  802 XX05 2895```
```01Apr 2.284M  798 XXXX 2862```
```01Apr 2.169M  760 XXXX 2854```
```------------2020-----------```
```26Nov 2.168M  797 XX07 2720```
```25Nov 2.174M  797 XX05 2728```
```25Nov 2.263M  802 XX05 2822```
```25Oct 2.272M  802 XX05 2833```
```------------2019-----------```
```28Oct  2.18M  828 XX08 2633```
_Source: DLD, Databot_
_BUA - built-up area, sq.ft._
_P/sf - price per sq.ft._
_B - bedrooms; O - office_
_M - million, K- thousand_
_S - studio, R - shop_
_*Max 20 latest transactions_
www.trydatabot.com</t>
  </si>
  <si>
    <t>1014169, *SALES*</t>
  </si>
  <si>
    <t>*SALES*
*TRANSACTIONS (PRIMARY)**
*THE ADDRESS RESIDENCES DUBAI OPERA T2*
_Area: Downtown_
_Type: 2 bedroom apartment_
```Date   Price  BUA Type P/sf```
```------------2023-----------```
```09Feb 3.587M 1189 XX04 3017```
```10Jan 3.404M 1242 XX07 2741```
```------------2022-----------```
```13Jul 3.351M 1186 XX04 2825```
```08Feb 3.328M 1255 XX07 2652```
```02Feb 3.726M 1255 XX07 2969```
```12Jan 3.244M 1190 XX04 2726```
```------------2021-----------```
```22Dec 3.641M 1242 XX07 2931```
```21Dec 5.475M 1473 XX02 3717```
```22Nov 3.443M 1190 XX04 2893```
```05Sep 3.293M 1199 XX06 2746```
```15Jun 3.278M 1190 XX04 2754```
```20May 3.401M 1242 XX07 2738```
```20May 3.044M 1260 XX03 2416```
```01Apr 3.231M 1262 XXXX 2560```
```------------2020-----------```
```06Dec 3.115M 1264 XX03 2464```
```21Oct 3.232M 1199 XX06 2695```
```19Mar  3.08M 1187 XX04 2595```
```17Mar 3.069M 1264 XX03 2428```
```24Feb 3.194M 1227 XX06 2603```
```06Feb 3.265M 1227 XX06 2661```
_Source: DLD, Databot_
_BUA - built-up area, sq.ft._
_P/sf - price per sq.ft._
_B - bedrooms; O - office_
_M - million, K- thousand_
_S - studio, R - shop_
_*Max 20 latest transactions_
www.trydatabot.com</t>
  </si>
  <si>
    <t>1014170, *SALES*</t>
  </si>
  <si>
    <t>*SALES*
*TRANSACTIONS (PRIMARY)**
*THE ADDRESS RESIDENCES DUBAI OPERA T2*
_Area: Downtown_
_Type: 3 bedroom apartment_
```Date   Price  BUA Type P/sf```
```------------2022-----------```
```03Nov 5.062M 1575 XX02 3214```
```21Jun 6.087M 1681 XX01 3621```
```13May 6.087M 1681 XX01 3621```
```12May 6.053M 1680 XX01 3603```
```21Apr   5.2M 1774 XX08 2931```
```12Apr 5.083M 1563 XX02 3252```
```04Apr 5.237M 1563 XX02 3351```
```28Mar 5.402M 1681 XX01 3213```
```24Mar 5.175M 1553 XX02 3332```
```23Mar 5.782M 1680 XX01 3441```
```22Mar 6.055M 1681 XX01 3602```
```19Jan 4.929M 1671 XX01 2950```
```07Jan 5.303M 1563 XX02 3393```
```03Jan 5.623M 1680 XX01 3347```
```------------2021-----------```
```23Dec  4.86M 1671 XX01 2909```
```05Dec 5.584M 1565 XX02 3568```
```22Nov 5.692M 1610 XX01 3535```
```08Nov 5.413M 1781 XX08 3040```
```04Nov  5.43M 1681 XX01 3230```
```03Nov 5.284M 1671 XX01 3162```
_Source: DLD, Databot_
_BUA - built-up area, sq.ft._
_P/sf - price per sq.ft._
_B - bedrooms; O - office_
_M - million, K- thousand_
_S - studio, R - shop_
_*Max 20 latest transactions_
www.trydatabot.com</t>
  </si>
  <si>
    <t>1014171, *SALES*</t>
  </si>
  <si>
    <t>*SALES*
*TRANSACTIONS (PRIMARY)**
*THE ADDRESS RESIDENCES DUBAI OPERA T2*
_Area: Downtown_
_Type: 4 bedroom apartment_
```Date   Price  BUA Type P/sf```
```------------2022-----------```
```10Feb  22.3M 6431 XX01 3468```
```10Feb 23.79M 6914 XX01 3441```
_Source: DLD, Databot_
_BUA - built-up area, sq.ft._
_P/sf - price per sq.ft._
_B - bedrooms; O - office_
_M - million, K- thousand_
_S - studio, R - shop_
_*Max 20 latest transactions_
www.trydatabot.com</t>
  </si>
  <si>
    <t>1014172, *SALES*</t>
  </si>
  <si>
    <t>*SALES*
*TRANSACTIONS (PRIMARY)**
*THE ADDRESS RESIDENCES DUBAI OPERA T2*
_Area: Downtown_
_Type: 5 bedroom apartment_
```Date   Price  BUA Type P/sf```
```------------2025-----------```
```10Jan 20.92M 6175 XX02 3389```
```------------2022-----------```
```05Apr  37.6M 9973 XX01 3771```
```03Mar  18.1M 5152 XX01 3514```
```10Feb 39.39M  11K XX01 3705```
```------------2019-----------```
```26May 20.92M 6066 XX02 3450```
_Source: DLD, Databot_
_BUA - built-up area, sq.ft._
_P/sf - price per sq.ft._
_B - bedrooms; O - office_
_M - million, K- thousand_
_S - studio, R - shop_
_*Max 20 latest transactions_
www.trydatabot.com</t>
  </si>
  <si>
    <t>1014179, *SALES*</t>
  </si>
  <si>
    <t>*SALES*
*TRANSACTIONS (PRIMARY)**
*THE ADDRESS RESIDENCES DUBAI OPERA T2*
_Area: Downtown_
_All types/bedrooms_
```Date    Price   BUA  Type B```
```------------2025-----------```
```10Jan  20.92M  6175  XX02 5```
```------------2023-----------```
```13Jul   3.79M   989  XXXX 1```
```09Feb  3.587M  1189  XX04 2```
```10Jan  3.404M  1242  XX07 2```
```------------2022-----------```
```03Nov  5.062M  1575  XX02 3```
```13Jul  2.465M   845  XX08 1```
```13Jul  3.351M  1186  XX04 2```
```21Jun  6.087M  1681  XX01 3```
```13May  6.087M  1681  XX01 3```
```12May  6.053M  1680  XX01 3```
```27Apr  2.355M   797  XX05 1```
```21Apr    5.2M  1774  XX08 3```
```12Apr  5.083M  1563  XX02 3```
```05Apr   37.6M  9973  XX01 5```
```04Apr  5.237M  1563  XX02 3```
```28Mar  5.402M  1681  XX01 3```
```24Mar  5.175M  1553  XX02 3```
```23Mar  5.782M  1680  XX01 3```
```22Mar  6.055M  1681  XX01 3```
```08Mar  3.146M   990  XX01 1```
_Source: DLD, Databot_
_BUA - built-up area, sq.ft._
_P/sf - price per sq.ft._
_B - bedrooms; O - office_
_M - million, K- thousand_
_S - studio, R - shop_
_*Max 20 latest transactions_
www.trydatabot.com</t>
  </si>
  <si>
    <t>1014184, *SALES*</t>
  </si>
  <si>
    <t>*SALES*
*TRANSACTIONS (RESALE)**
*THE ADDRESS RESIDENCES DUBAI OPERA T1+T2*
_Area: Downtown_
_Type: 1 bedroom apartment_
_Gross ROI=6.63%_
_Median annual rent=200K_
```Date   Price  BUA Type P/sf```
```------------2026-----------```
```19Jan   2.8M  797 XXXX 3513```
```14Jan   3.2M  802 XX05 3990```
```08Jan   3.1M  802 XX05 3865```
```------------2025-----------```
```17Nov  3.15M  802 XX05 3928```
```13Nov  2.95M  799 XX05 3692```
```23Oct  3.05M  939 XX06 3248```
```23Oct  2.97M  802 XX05 3703```
```29Sep   3.1M  797 XXXX 3890```
```03Sep   3.1M  801 XX05 3870```
```03Sep 3.062M  827 XX08 3703```
```05Aug   3.1M  717 XX05 4324```
```28May  2.95M  801 XX05 3683```
```09May  3.06M  801 XX05 3820```
```01May 3.075M  802 XX05 3834```
```30Apr  3.05M 1480 XX03 2061```
```25Apr  3.45M  802 XX05 4302```
```10Apr   2.8M  802 XX05 3491```
```07Apr   3.1M  802 XX05 3865```
```03Apr 2.925M 1253 XX05 2334```
```03Apr 2.925M 1477 XX04 1980```
```------------2024-----------```
```17Dec     4M  797 XX05 5019```
```21Nov   3.1M  797 XX06 3890```
```14Nov     3M  799 XX05 3755```
```25Oct  3.28M  802 XX05 4090```
```21Oct  3.35M  801 XX05 4182```
```21Oct  3.25M  801 XX05 4057```
```11Sep  3.05M  802 XX05 3803```
```15Aug  3.23M  802 XX05 4027```
```19Jun   3.5M  798 XX05 4386```
```01Apr   3.2M  801 XX05 3995```
_Source: DLD, Databot_
_BUA - built-up area, sq.ft._
_P/sf - price per sq.ft._
_B - bedrooms; O - office_
_M - million, K- thousand_
_S - studio, R - shop_
_*Max 30 latest transactions_
www.trydatabot.com</t>
  </si>
  <si>
    <t>The Address Residences Dubai Opera T1+T2</t>
  </si>
  <si>
    <t>1014185, *MARKET</t>
  </si>
  <si>
    <t>*MARKET*
*SNAPSHOT*
*THE ADDRESS RESIDENCES DUBAI OPERA T1+T2*
_Area: Downtown_
_Type: 1 bedroom apartment_
*Price dynamics, Dirham/sq.ft.*
_(M - median value)_
```5019| *                    ```
```    |                      ```
```    |      *    *          ```
```    |                    * ```
```3827|---------------------M```
```    |*   *   *** **** ***  ```
```    |     *               *```
```    |                *     ```
```    |                      ```
```    |   *                  ```
```1980|  *    *              ```
```____|______________________```
```    |Nov2024        Jan2026```
_Source: see table below_
*Latest sales transactions*
```Date   Price  BUA Type P/sf```
```------------2026-----------```
```19Jan   2.8M  797 XXXX 3513```
```14Jan   3.2M  802 XX05 3990```
```08Jan   3.1M  802 XX05 3865```
```------------2025-----------```
```17Nov  3.15M  802 XX05 3928```
```13Nov  2.95M  799 XX05 3692```
```23Oct  3.05M  939 XX06 3248```
```23Oct  2.97M  802 XX05 3703```
```29Sep   3.1M  797 XXXX 3890```
```03Sep   3.1M  801 XX05 3870```
```03Sep 3.062M  827 XX08 3703```
```05Aug   3.1M  717 XX05 4324```
```28May  2.95M  801 XX05 3683```
```09May  3.06M  801 XX05 3820```
```01May 3.075M  802 XX05 3834```
```30Apr  3.05M 1480 XX03 2061```
```25Apr  3.45M  802 XX05 4302```
```10Apr   2.8M  802 XX05 3491```
```07Apr   3.1M  802 XX05 3865```
```03Apr 2.925M 1253 XX05 2334```
```03Apr 2.925M 1477 XX04 1980```
```------------2024-----------```
```17Dec     4M  797 XX05 5019```
```21Nov   3.1M  797 XX06 3890```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</si>
  <si>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1014186, *NEW RE</t>
  </si>
  <si>
    <t>1014187, *RESELL</t>
  </si>
  <si>
    <t>*RESELL*
*VS PRIMARY*
*THE ADDRESS RESIDENCES DUBAI OPERA T1+T2*
_Area: Downtown_
_Type: 1 bedroom apartment_
*Price dynamics, Dirham/sq.ft.*
_(x - primary; * - resell)_
```4324|           *          ```
```    |                      ```
```    |                  * * ```
```    |          x  **    *  ```
```3676|            *  * *    ```
```    |                     *```
```    |                      ```
```    |      x         *     ```
```    | xxx   xxx            ```
```2706|x   xx                ```
```____|______________________```
```    |Aug2021        Jan2026```
_Source: see a table below_
*Latest resell transactions*
```Date   Price  BUA Type P/sf```
```------------2026-----------```
```19Jan   2.8M  797 XXXX 3513```
```14Jan   3.2M  802 XX05 3990```
```08Jan   3.1M  802 XX05 3865```
```------------2025-----------```
```17Nov  3.15M  802 XX05 3928```
```13Nov  2.95M  799 XX05 3692```
```23Oct  3.05M  939 XX06 3248```
```23Oct  2.97M  802 XX05 3703```
```29Sep   3.1M  797 XXXX 3890```
```03Sep   3.1M  801 XX05 3870```
```03Sep 3.062M  827 XX08 3703```
```05Aug   3.1M  717 XX05 4324```
```28May  2.95M  801 XX05 3683```
```09May  3.06M  801 XX05 3820```
```01May 3.075M  802 XX05 3834```
```30Apr  3.05M 1480 XX03 2061```
```25Apr  3.45M  802 XX05 4302```
```10Apr   2.8M  802 XX05 3491```
*Latest primary transactions*
```------------2023-----------```
```13Jul  3.79M  989 XXXX 3832```
```------------2022-----------```
```13Jul 2.465M  845 XX08 2917```
```13May 2.487M  802 XX05 3101```
```27Apr 2.355M  797 XX05 2955```
```08Mar 3.146M  990 XX01 3178```
```12Jan 2.273M  797 XX05 2852```
```------------2021-----------```
```14Dec 2.173M  803 XX07 2706```
```07Nov 3.016M  982 XX01 3071```
```04Nov 2.381M  802 XX05 2969```
```15Aug 2.412M  802 XX05 3007```
```15Aug 2.268M  802 XX05 2828```
```08Jun 2.443M  802 XX05 3046```
```20May 2.322M  802 XX05 2895```
_Source: DLD, Databot_
_BUA - built-up area, sq.ft._
_P/sf - price per sq.ft._
_B - bedrooms; O - office_
_M - million, K- thousand_
_S - studio, R - shop_
www.trydatabot.com</t>
  </si>
  <si>
    <t>1014188, *SALES*</t>
  </si>
  <si>
    <t>*SALES*
*TRANSACTIONS (RESALE)**
*THE ADDRESS RESIDENCES DUBAI OPERA T1+T2*
_Area: Downtown_
_Type: 2 bedroom apartment_
_Gross ROI=5.88%_
_Median annual rent=255K_
```Date   Price  BUA Type P/sf```
```------------2026-----------```
```20Jan   4.3M 1186 XXXX 3626```
```19Jan  4.05M 1260 XXXX 3214```
```16Jan  4.25M 1190 XX04 3571```
```------------2025-----------```
```16Dec  3.28M 1236 XXXX 2654```
```16Dec  3.28M 1190 XX04 2756```
```15Dec   6.3M 1473 XXXX 4277```
```11Dec  4.15M 1190 XXXX 3487```
```27Nov   4.4M 1188 XXXX 3704```
```20Nov   6.6M 1200 XXXX 5500```
```20Nov     4M 1226 XXXX 3263```
```19Nov   4.1M 1189 XX04 3448```
```18Nov  3.83M 1195 XXXX 3205```
```12Nov  7.05M 1229 XXXX 5736```
```06Nov  4.15M 1234 XX07 3363```
```03Nov   4.3M 1226 XX06 3507```
```23Oct   4.1M 1258 XX03 3259```
```09Oct  6.55M 1200 XX09 5458```
```02Oct   6.4M 1229 XXXX 5207```
```01Oct   4.2M 1252 XX07 3355```
```24Sep   4.3M 1197 XX06 3592```
```19Sep   4.1M 1264 XX03 3244```
```11Sep     6M 1384 XXXX 4335```
```02Sep     8M 1196 XX09 6689```
```01Sep   4.8M 1189 XX04 4037```
```25Aug   6.4M 1229 XXXX 5207```
```25Aug   4.4M 1263 XX03 3484```
```25Aug   6.1M 1208 XX09 5050```
```15Aug     4M 1186 XX02 3373```
```13Aug  4.15M 1236 XX07 3358```
```06Aug  7.85M 1545 XX09 5081```
_Source: DLD, Databot_
_BUA - built-up area, sq.ft._
_P/sf - price per sq.ft._
_B - bedrooms; O - office_
_M - million, K- thousand_
_S - studio, R - shop_
_*Max 30 latest transactions_
www.trydatabot.com</t>
  </si>
  <si>
    <t>1014189, *MARKET</t>
  </si>
  <si>
    <t>*MARKET*
*SNAPSHOT*
*THE ADDRESS RESIDENCES DUBAI OPERA T1+T2*
_Area: Downtown_
_Type: 2 bedroom apartment_
*Price dynamics, Dirham/sq.ft.*
_(M - median value)_
```5736|         *            ```
```    |     *       *        ```
```    |    *                 ```
```    |                      ```
```    |                      ```
```    |*               *     ```
```    |                      ```
```3497|---------------------M```
```    |  *    *   *  **   * *```
```    | * *  * * * *       * ```
```2654|                 **   ```
```____|______________________```
```    |Sep2025        Jan2026```
_Source: see table below_
*Latest sales transactions*
```Date   Price  BUA Type P/sf```
```------------2026-----------```
```20Jan   4.3M 1186 XXXX 3626```
```19Jan  4.05M 1260 XXXX 3214```
```16Jan  4.25M 1190 XX04 3571```
```------------2025-----------```
```16Dec  3.28M 1236 XXXX 2654```
```16Dec  3.28M 1190 XX04 2756```
```15Dec   6.3M 1473 XXXX 4277```
```11Dec  4.15M 1190 XXXX 3487```
```27Nov   4.4M 1188 XXXX 3704```
```20Nov   6.6M 1200 XXXX 5500```
```20Nov     4M 1226 XXXX 3263```
```19Nov   4.1M 1189 XX04 3448```
```18Nov  3.83M 1195 XXXX 3205```
```12Nov  7.05M 1229 XXXX 5736```
```06Nov  4.15M 1234 XX07 3363```
```03Nov   4.3M 1226 XX06 3507```
```23Oct   4.1M 1258 XX03 3259```
```09Oct  6.55M 1200 XX09 5458```
```02Oct   6.4M 1229 XXXX 5207```
```01Oct   4.2M 1252 XX07 3355```
```24Sep   4.3M 1197 XX06 3592```
```19Sep   4.1M 1264 XX03 3244```
```11Sep     6M 1384 XXXX 4335```
```02Sep     8M 1196 XX09 6689```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</si>
  <si>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1014190, *NEW RE</t>
  </si>
  <si>
    <t>1014191, *RESELL</t>
  </si>
  <si>
    <t>*RESELL*
*VS PRIMARY*
*THE ADDRESS RESIDENCES DUBAI OPERA T1+T2*
_Area: Downtown_
_Type: 2 bedroom apartment_
*Price dynamics, Dirham/sq.ft.*
_(x - primary; * - resell)_
```5500|             *        ```
```    |                      ```
```    |                      ```
```    |                      ```
```4316|                *     ```
```    |                      ```
```    |              *      *```
```    |           *   *   *  ```
```    |    xxxx xx *       * ```
```2540|xxxx    x        **   ```
```____|______________________```
```    |Apr2022        Jan2026```
_Source: see a table below_
*Latest resell transactions*
```Date   Price  BUA Type P/sf```
```------------2026-----------```
```20Jan   4.3M 1186 XXXX 3626```
```19Jan  4.05M 1260 XXXX 3214```
```16Jan  4.25M 1190 XX04 3571```
```------------2025-----------```
```16Dec  3.28M 1236 XXXX 2654```
```16Dec  3.28M 1190 XX04 2756```
```15Dec   6.3M 1473 XXXX 4277```
```11Dec  4.15M 1190 XXXX 3487```
```27Nov   4.4M 1188 XXXX 3704```
```20Nov   6.6M 1200 XXXX 5500```
```20Nov     4M 1226 XXXX 3263```
```19Nov   4.1M 1189 XX04 3448```
```18Nov  3.83M 1195 XXXX 3205```
```12Nov  7.05M 1229 XXXX 5736```
```06Nov  4.15M 1234 XX07 3363```
```03Nov   4.3M 1226 XX06 3507```
```23Oct   4.1M 1258 XX03 3259```
```09Oct  6.55M 1200 XX09 5458```
*Latest primary transactions*
```------------2023-----------```
```30May 3.912M 1256 XX03 3115```
```09Feb 3.587M 1189 XX04 3017```
```10Jan 3.404M 1242 XX07 2741```
```------------2022-----------```
```07Dec 3.682M 1198 XX06 3073```
```17Oct 3.584M 1258 XX03 2849```
```20Jul  3.44M 1198 XX06 2871```
```14Jul 3.822M 1334 XX08 2865```
```14Jul 3.191M 1256 XX03 2540```
```13Jul 3.351M 1186 XX04 2825```
```07Jul 3.135M 1234 XX07 2540```
```27Apr 3.208M 1186 XX02 2705```
```04Apr 3.269M 1198 XX06 2729```
```23Mar 3.173M 1220 XX06 2601```
```23Mar 3.271M 1258 XX03 2600```
_Source: DLD, Databot_
_BUA - built-up area, sq.ft._
_P/sf - price per sq.ft._
_B - bedrooms; O - office_
_M - million, K- thousand_
_S - studio, R - shop_
www.trydatabot.com</t>
  </si>
  <si>
    <t>1014192, *SALES*</t>
  </si>
  <si>
    <t>*SALES*
*TRANSACTIONS (RESALE)**
*THE ADDRESS RESIDENCES DUBAI OPERA T1+T2*
_Area: Downtown_
_Type: 3 bedroom apartment_
_Gross ROI=5.26%_
_Median annual rent=400K_
```Date   Price  BUA Type P/sf```
```------------2025-----------```
```17Dec   7.5M 1563 XX02 4798```
```09Dec   7.6M 1575 XXXX 4825```
```08Dec   6.9M 1560 XXXX 4423```
```08Dec 2.888M 1671 XX01 1728```
```19Nov  8.35M 1775 XXXX 4704```
```19Nov    12M 1575 XX02 7619```
```03Nov  7.75M 1563 XX02 4958```
```14Oct  7.55M 1575 XX02 4794```
```03Sep     9M 1564 XX02 5754```
```28Aug   8.5M 1775 XX08 4789```
```11Aug 7.575M 1563 XX02 4846```
```21Jul   7.1M 1671 XX01 4249```
```14Jul    10M 1564 XX02 6394```
```03Jul     9M 1549 XX01 5810```
```01Jul 7.085M 1563 XX02 4533```
```18Jun  11.1M 1575 XX02 7048```
```30May  9.05M 1781 XX08 5081```
```30May   7.5M 1681 XX01 4462```
```28May  6.65M 1560 XX02 4263```
```23May   7.6M 1671 XX01 4548```
```23May  10.4M 1677 XX01 6202```
```06May   7.5M 1575 XX02 4762```
```05May   8.6M 1782 XX08 4826```
```24Mar    11M 1677 XX01 6559```
```18Mar  7.75M 1671 XX01 4638```
```04Mar 10.65M 1677 XX01 6351```
```26Feb 8.238M 1782 XX08 4623```
```25Feb   8.6M 1781 XX08 4829```
```14Feb   9.3M 1575 XX02 5905```
```13Feb   8.8M 1564 XX02 5627```
_Source: DLD, Databot_
_BUA - built-up area, sq.ft._
_P/sf - price per sq.ft._
_B - bedrooms; O - office_
_M - million, K- thousand_
_S - studio, R - shop_
_*Max 30 latest transactions_
www.trydatabot.com</t>
  </si>
  <si>
    <t>1014193, *MARKET</t>
  </si>
  <si>
    <t>*MARKET*
*SNAPSHOT*
*THE ADDRESS RESIDENCES DUBAI OPERA T1+T2*
_Area: Downtown_
_Type: 3 bedroom apartment_
*Price dynamics, Dirham/sq.ft.*
_(M - median value)_
```7619|                *     ```
```    |      *               ```
```    | *       *            ```
```    |        *    *        ```
```    |     *                ```
```4796|---------------------M```
```    |* * *  *   ** ** * ***```
```    |   *      *           ```
```    |                      ```
```    |                      ```
```1728|                  *   ```
```____|______________________```
```    |May2025        Dec2025```
_Source: see table below_
*Latest sales transactions*
```Date   Price  BUA Type P/sf```
```------------2025-----------```
```17Dec   7.5M 1563 XX02 4798```
```09Dec   7.6M 1575 XXXX 4825```
```08Dec   6.9M 1560 XXXX 4423```
```08Dec 2.888M 1671 XX01 1728```
```19Nov  8.35M 1775 XXXX 4704```
```19Nov    12M 1575 XX02 7619```
```03Nov  7.75M 1563 XX02 4958```
```14Oct  7.55M 1575 XX02 4794```
```03Sep     9M 1564 XX02 5754```
```28Aug   8.5M 1775 XX08 4789```
```11Aug 7.575M 1563 XX02 4846```
```21Jul   7.1M 1671 XX01 4249```
```14Jul    10M 1564 XX02 6394```
```03Jul     9M 1549 XX01 5810```
```01Jul 7.085M 1563 XX02 4533```
```18Jun  11.1M 1575 XX02 7048```
```30May  9.05M 1781 XX08 5081```
```30May   7.5M 1681 XX01 4462```
```28May  6.65M 1560 XX02 4263```
```23May   7.6M 1671 XX01 4548```
```23May  10.4M 1677 XX01 6202```
```06May   7.5M 1575 XX02 4762```
```05May   8.6M 1782 XX08 4826```
```24Mar    11M 1677 XX01 6559```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</si>
  <si>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1014194, *NEW RE</t>
  </si>
  <si>
    <t>1014195, *RESELL</t>
  </si>
  <si>
    <t>*RESELL*
*VS PRIMARY*
*THE ADDRESS RESIDENCES DUBAI OPERA T1+T2*
_Area: Downtown_
_Type: 3 bedroom apartment_
*Price dynamics, Dirham/sq.ft.*
_(x - primary; * - resell)_
```7619|                *     ```
```    |                      ```
```    |                      ```
```    |             *        ```
```5263|                      ```
```    |           ** ** * ***```
```    |        xx            ```
```    |xxx xxxx  x           ```
```    |   x                  ```
```1728|                  *   ```
```____|______________________```
```    |Apr2022        Dec2025```
_Source: see a table below_
*Latest resell transactions*
```Date   Price  BUA Type P/sf```
```------------2025-----------```
```17Dec   7.5M 1563 XX02 4798```
```09Dec   7.6M 1575 XXXX 4825```
```08Dec   6.9M 1560 XXXX 4423```
```08Dec 2.888M 1671 XX01 1728```
```19Nov  8.35M 1775 XXXX 4704```
```19Nov    12M 1575 XX02 7619```
```03Nov  7.75M 1563 XX02 4958```
```14Oct  7.55M 1575 XX02 4794```
```03Sep     9M 1564 XX02 5754```
```28Aug   8.5M 1775 XX08 4789```
```11Aug 7.575M 1563 XX02 4846```
```21Jul   7.1M 1671 XX01 4249```
```14Jul    10M 1564 XX02 6394```
```03Jul     9M 1549 XX01 5810```
```01Jul 7.085M 1563 XX02 4533```
```18Jun  11.1M 1575 XX02 7048```
```30May  9.05M 1781 XX08 5081```
```30May   7.5M 1681 XX01 4462```
*Latest primary transactions*
```------------2024-----------```
```12Jul 6.122M 1677 XX01 3650```
```------------2023-----------```
```13Dec 6.539M 1677 XX01 3899```
```19Apr   6.9M 1782 XX08 3872```
```------------2022-----------```
```03Nov 5.062M 1575 XX02 3214```
```21Jun 6.087M 1681 XX01 3621```
```13May 6.087M 1681 XX01 3621```
```12May 6.053M 1680 XX01 3603```
```21Apr   5.2M 1774 XX08 2931```
```12Apr 5.895M 1671 XX01 3528```
```12Apr 6.385M 1781 XX08 3585```
```12Apr 5.083M 1563 XX02 3252```
```04Apr 6.523M 1782 XX08 3660```
```04Apr 5.237M 1563 XX02 3351```
_Source: DLD, Databot_
_BUA - built-up area, sq.ft._
_P/sf - price per sq.ft._
_B - bedrooms; O - office_
_M - million, K- thousand_
_S - studio, R - shop_
www.trydatabot.com</t>
  </si>
  <si>
    <t>1014196, *SALES*</t>
  </si>
  <si>
    <t>*SALES*
*TRANSACTIONS (RESALE)**
*THE ADDRESS RESIDENCES DUBAI OPERA T1+T2*
_Area: Downtown_
_Type: 4 bedroom apartment_
```Date   Price  BUA Type P/sf```
```------------2024-----------```
```01Apr  37.5M 6973 XX01 5378```
_Source: DLD, Databot_
_BUA - built-up area, sq.ft._
_P/sf - price per sq.ft._
_B - bedrooms; O - office_
_M - million, K- thousand_
_S - studio, R - shop_
_*Max 30 latest transactions_
www.trydatabot.com</t>
  </si>
  <si>
    <t>1014197, *MARKET</t>
  </si>
  <si>
    <t>*MARKET*
*SNAPSHOT*
*THE ADDRESS RESIDENCES DUBAI OPERA T1+T2*
_Area: Downtown_
_Type: 4 bedroom apartment_
*Price dynamics, Dirham/sq.ft.*
_(M - median value)_
```5378|                     *```
```5378|----------------------```
```    |                     *```
```5378|---------------------M```
```    |                     *```
```5378|---------------------M```
```    |                     *```
```5378|---------------------M```
```    |                     *```
```5378|---------------------M```
```    |                     *```
```____|______________________```
```    |Apr2024        Apr2024```
_Source: see table below_
*Latest sales transactions*
```Date   Price  BUA Type P/sf```
```------------2024-----------```
```01Apr  37.5M 6973 XX01 5378```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</si>
  <si>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1014199, *RESELL</t>
  </si>
  <si>
    <t>*RESELL*
*VS PRIMARY*
*THE ADDRESS RESIDENCES DUBAI OPERA T1+T2*
_Area: Downtown_
_Type: 4 bedroom apartment_
*Price dynamics, Dirham/sq.ft.*
_(x - primary; * - resell)_
```5378|                     *```
```    |                      ```
```    |                      ```
```    |                      ```
```4602|                      ```
```    |                      ```
```    |                      ```
```    |                      ```
```    |                      ```
```3441|         xx           ```
```____|______________________```
```    |Dec1899        Apr2024```
_Source: see a table below_
*Latest resell transactions*
```Date   Price  BUA Type P/sf```
```------------2024-----------```
```01Apr  37.5M 6973 XX01 5378```
*Latest primary transactions*
```------------2022-----------```
```10Feb  22.3M 6431 XX01 3468```
```10Feb 23.79M 6914 XX01 3441```
_Source: DLD, Databot_
_BUA - built-up area, sq.ft._
_P/sf - price per sq.ft._
_B - bedrooms; O - office_
_M - million, K- thousand_
_S - studio, R - shop_
www.trydatabot.com</t>
  </si>
  <si>
    <t>1014200, *SALES*</t>
  </si>
  <si>
    <t>*SALES*
*TRANSACTIONS (RESALE)**
*THE ADDRESS RESIDENCES DUBAI OPERA T1+T2*
_Area: Downtown_
_Type: 5 bedroom apartment_
```Date   Price  BUA Type P/sf```
```------------2023-----------```
```17Aug    57M 9962 XXXX 5722```
```------------2021-----------```
```29Aug 14.15M 6009 XX02 2355```
_Source: DLD, Databot_
_BUA - built-up area, sq.ft._
_P/sf - price per sq.ft._
_B - bedrooms; O - office_
_M - million, K- thousand_
_S - studio, R - shop_
_*Max 30 latest transactions_
www.trydatabot.com</t>
  </si>
  <si>
    <t>1014201, *MARKET</t>
  </si>
  <si>
    <t>*MARKET*
*SNAPSHOT*
*THE ADDRESS RESIDENCES DUBAI OPERA T1+T2*
_Area: Downtown_
_Type: 5 bedroom apartment_
*Price dynamics, Dirham/sq.ft.*
_(M - median value)_
```5722|                     *```
```    |                      ```
```    |                      ```
```    |                      ```
```    |                      ```
```4039|---------------------M```
```    |                      ```
```    |                      ```
```    |                      ```
```    |                      ```
```2355|                    * ```
```____|______________________```
```    |Aug2021        Aug2023```
_Source: see table below_
*Latest sales transactions*
```Date   Price  BUA Type P/sf```
```------------2023-----------```
```17Aug    57M 9962 XXXX 5722```
```------------2021-----------```
```29Aug 14.15M 6009 XX02 2355```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</si>
  <si>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1014202, *NEW RE</t>
  </si>
  <si>
    <t>1014203, *RESELL</t>
  </si>
  <si>
    <t>*RESELL*
*VS PRIMARY*
*THE ADDRESS RESIDENCES DUBAI OPERA T1+T2*
_Area: Downtown_
_Type: 5 bedroom apartment_
*Price dynamics, Dirham/sq.ft.*
_(x - primary; * - resell)_
```5722|                     *```
```    |                      ```
```    |                      ```
```    |                      ```
```4374|                      ```
```    |       x              ```
```    |     xx  x            ```
```    |    x   x x           ```
```    |                      ```
```2355|                    * ```
```____|______________________```
```    |Dec1899        Jan2025```
_Source: see a table below_
*Latest resell transactions*
```Date   Price  BUA Type P/sf```
```------------2023-----------```
```17Aug    57M 9962 XXXX 5722```
```------------2021-----------```
```29Aug 14.15M 6009 XX02 2355```
*Latest primary transactions*
```------------2025-----------```
```10Jan 20.92M 6175 XX02 3389```
```------------2022-----------```
```05Apr  37.6M 9973 XX01 3771```
```03Mar  18.1M 5152 XX01 3514```
```10Feb 39.63M 9968 XX01 3976```
```10Feb 39.39M  11K XX01 3705```
```------------2021-----------```
```03Jun 19.83M 5151 XX01 3850```
```------------2019-----------```
```26May 20.92M 6066 XX02 3450```
_Source: DLD, Databot_
_BUA - built-up area, sq.ft._
_P/sf - price per sq.ft._
_B - bedrooms; O - office_
_M - million, K- thousand_
_S - studio, R - shop_
www.trydatabot.com</t>
  </si>
  <si>
    <t>1014214, *NEW RE</t>
  </si>
  <si>
    <t>1014220, *SALES*</t>
  </si>
  <si>
    <t>*SALES*
*TRANSACTIONS**
*THE ADDRESS RESIDENCES DUBAI OPERA T1+T2*
_Area: Downtown_
_Type: penthouse_
```Date   Price  BUA Type P/sf```
```------------2025-----------```
```26Jun  33.1M 6119 XX02 5409```
_Source: DLD, Databot_
_BUA - built-up area, sq.ft._
_P/sf - price per sq.ft._
_B - bedrooms; O - office_
_M - million, K- thousand_
_S - studio, R - shop_
_*Max 30 latest transactions_
www.trydatabot.com</t>
  </si>
  <si>
    <t>1014221, *MARKET</t>
  </si>
  <si>
    <t>*MARKET*
*SNAPSHOT*
*THE ADDRESS RESIDENCES DUBAI OPERA T1+T2*
_Area: Downtown_
_Type: penthouse_
*Price dynamics, Dirham/sq.ft.*
_(M - median value)_
```5409|                     *```
```5409|----------------------```
```    |                     *```
```5409|---------------------M```
```    |                     *```
```5409|---------------------M```
```    |                     *```
```5409|---------------------M```
```    |                     *```
```5409|---------------------M```
```    |                     *```
```____|______________________```
```    |Jun2025        Jun2025```
_Source: see table below_
*Latest sales transactions*
```Date   Price  BUA Type P/sf```
```------------2025-----------```
```26Jun  33.1M 6119 XX02 5409```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</si>
  <si>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1014228, *NEW RE</t>
  </si>
  <si>
    <t>1014229, *SALES*</t>
  </si>
  <si>
    <t>*SALES*
*TRANSACTIONS (RESALE)**
*THE ADDRESS RESIDENCES DUBAI OPERA T1+T2*
_Area: Downtown_
_All types/bedrooms_
```Date    Price   BUA  Type B```
```------------2026-----------```
```20Jan    4.3M  1186  XXXX 2```
```19Jan    2.8M   797  XXXX 1```
```19Jan   4.05M  1260  XXXX 2```
```16Jan   4.25M  1190  XX04 2```
```14Jan    3.2M   802  XX05 1```
```08Jan    3.1M   802  XX05 1```
```------------2025-----------```
```17Dec    7.5M  1563  XX02 3```
```16Dec   3.28M  1236  XXXX 2```
```16Dec   3.28M  1190  XX04 2```
```15Dec    6.3M  1473  XXXX 2```
```11Dec   4.15M  1190  XXXX 2```
```09Dec    7.6M  1575  XXXX 3```
```08Dec    6.9M  1560  XXXX 3```
```08Dec  2.888M  1671  XX01 3```
```27Nov    4.4M  1188  XXXX 2```
```20Nov    6.6M  1200  XXXX 2```
```20Nov      4M  1226  XXXX 2```
```19Nov   8.35M  1775  XXXX 3```
```19Nov     12M  1575  XX02 3```
```19Nov    4.1M  1189  XX04 2```
```18Nov   3.83M  1195  XXXX 2```
```17Nov   3.15M   802  XX05 1```
```13Nov   2.95M   799  XX05 1```
```12Nov   7.05M  1229  XXXX 2```
```06Nov   4.15M  1234  XX07 2```
```03Nov    4.3M  1226  XX06 2```
```03Nov   7.75M  1563  XX02 3```
```23Oct    4.1M  1258  XX03 2```
```23Oct   3.05M   939  XX06 1```
```23Oct   2.97M   802  XX05 1```
_Source: DLD, Databot_
_BUA - built-up area, sq.ft._
_P/sf - price per sq.ft._
_B - bedrooms; O - office_
_M - million, K- thousand_
_S - studio, R - shop_
_*Max 30 latest transactions_
www.trydatabot.com</t>
  </si>
  <si>
    <t>1014230, by code, *BUILDI</t>
  </si>
  <si>
    <t xml:space="preserve">*BUILDING*
*PROFILE*
*THE ADDRESS RESIDENCES DUBAI OPERA T1+T2*
_Area: Downtown_
_Tap&amp;hold to copy a reply_
```-------------------------```
```Report              Reply```
```-------------------------```
*1 B/R*
```Resell, ROI       1014184```
```Primary sales     1014232```
```Price chart       1014185```
```Rentals           1014186```
```Appreciation      1014187```
*2 B/R*
```Resell, ROI       1014188```
```Primary sales     1014233```
```Price chart       1014189```
```Rentals           1014190```
```Appreciation      1014191```
*3 B/R*
```Resell, ROI       1014192```
```Primary sales     1014234```
```Price chart       1014193```
```Rentals           1014194```
```Appreciation      1014195```
*4 B/R*
```Resell, ROI       1014196```
```Primary sales     1014235```
```Price chart       1014197```
```Rentals               n/a```
```Appreciation      1014199```
*5 B/R*
```Resell, ROI       1014200```
```Primary sales     1014236```
```Price chart       1014201```
```Rentals           1014202```
```Appreciation      1014203```
*Penthouse*
```Sales, ROI        1014220```
```Price chart       1014221```
```Rentals               n/a```
*All types/bedrooms*
```Resell, ROI       1014229```
```Primary sales     1014243```
```Rentals           1014228```
</t>
  </si>
  <si>
    <t>1014232, *SALES*</t>
  </si>
  <si>
    <t>*SALES*
*TRANSACTIONS (PRIMARY)**
*THE ADDRESS RESIDENCES DUBAI OPERA T1+T2*
_Area: Downtown_
_Type: 1 bedroom apartment_
```Date   Price  BUA Type P/sf```
```------------2023-----------```
```13Jul  3.79M  989 XXXX 3832```
```------------2022-----------```
```13Jul 2.465M  845 XX08 2917```
```13May 2.487M  802 XX05 3101```
```27Apr 2.355M  797 XX05 2955```
```08Mar 3.146M  990 XX01 3178```
```12Jan 2.273M  797 XX05 2852```
```------------2021-----------```
```14Dec 2.173M  803 XX07 2706```
```07Nov 3.016M  982 XX01 3071```
```04Nov 2.381M  802 XX05 2969```
```15Aug 2.412M  802 XX05 3007```
```15Aug 2.268M  802 XX05 2828```
```08Jun 2.443M  802 XX05 3046```
```20May 2.322M  802 XX05 2895```
```01Apr 2.284M  798 XXXX 2862```
```01Apr 2.169M  760 XXXX 2854```
```------------2020-----------```
```26Nov 2.168M  797 XX07 2720```
```25Nov 2.174M  797 XX05 2728```
```25Nov 2.263M  802 XX05 2822```
```25Oct 2.272M  802 XX05 2833```
```11Jun 2.305M  802 XX05 2874```
_Source: DLD, Databot_
_BUA - built-up area, sq.ft._
_P/sf - price per sq.ft._
_B - bedrooms; O - office_
_M - million, K- thousand_
_S - studio, R - shop_
_*Max 20 latest transactions_
www.trydatabot.com</t>
  </si>
  <si>
    <t>1014233, *SALES*</t>
  </si>
  <si>
    <t>*SALES*
*TRANSACTIONS (PRIMARY)**
*THE ADDRESS RESIDENCES DUBAI OPERA T1+T2*
_Area: Downtown_
_Type: 2 bedroom apartment_
```Date   Price  BUA Type P/sf```
```------------2023-----------```
```30May 3.912M 1256 XX03 3115```
```09Feb 3.587M 1189 XX04 3017```
```10Jan 3.404M 1242 XX07 2741```
```------------2022-----------```
```07Dec 3.682M 1198 XX06 3073```
```17Oct 3.584M 1258 XX03 2849```
```20Jul  3.44M 1198 XX06 2871```
```14Jul 3.822M 1334 XX08 2865```
```14Jul 3.191M 1256 XX03 2540```
```13Jul 3.351M 1186 XX04 2825```
```07Jul 3.135M 1234 XX07 2540```
```27Apr 3.208M 1186 XX02 2705```
```04Apr 3.269M 1198 XX06 2729```
```23Mar 3.173M 1220 XX06 2601```
```23Mar 3.271M 1258 XX03 2600```
```22Mar 3.543M 1236 XX07 2866```
```23Feb 3.529M 1249 XX07 2825```
```23Feb 3.444M 1249 XX07 2757```
```08Feb 3.328M 1255 XX07 2652```
```02Feb 3.726M 1255 XX07 2969```
```12Jan 3.244M 1190 XX04 2726```
_Source: DLD, Databot_
_BUA - built-up area, sq.ft._
_P/sf - price per sq.ft._
_B - bedrooms; O - office_
_M - million, K- thousand_
_S - studio, R - shop_
_*Max 20 latest transactions_
www.trydatabot.com</t>
  </si>
  <si>
    <t>1014234, *SALES*</t>
  </si>
  <si>
    <t>*SALES*
*TRANSACTIONS (PRIMARY)**
*THE ADDRESS RESIDENCES DUBAI OPERA T1+T2*
_Area: Downtown_
_Type: 3 bedroom apartment_
```Date   Price  BUA Type P/sf```
```------------2024-----------```
```12Jul 6.122M 1677 XX01 3650```
```------------2023-----------```
```13Dec 6.539M 1677 XX01 3899```
```19Apr   6.9M 1782 XX08 3872```
```------------2022-----------```
```03Nov 5.062M 1575 XX02 3214```
```21Jun 6.087M 1681 XX01 3621```
```13May 6.087M 1681 XX01 3621```
```12May 6.053M 1680 XX01 3603```
```21Apr   5.2M 1774 XX08 2931```
```12Apr 5.895M 1671 XX01 3528```
```12Apr 6.385M 1781 XX08 3585```
```12Apr 5.083M 1563 XX02 3252```
```04Apr 6.523M 1782 XX08 3660```
```04Apr 5.237M 1563 XX02 3351```
```28Mar 5.402M 1681 XX01 3213```
```24Mar 5.175M 1553 XX02 3332```
```23Mar 5.782M 1680 XX01 3441```
```22Mar 6.055M 1681 XX01 3602```
```28Jan 5.545M 1563 XX02 3547```
```19Jan 4.929M 1671 XX01 2950```
```07Jan 5.303M 1563 XX02 3393```
_Source: DLD, Databot_
_BUA - built-up area, sq.ft._
_P/sf - price per sq.ft._
_B - bedrooms; O - office_
_M - million, K- thousand_
_S - studio, R - shop_
_*Max 20 latest transactions_
www.trydatabot.com</t>
  </si>
  <si>
    <t>1014235, *SALES*</t>
  </si>
  <si>
    <t>*SALES*
*TRANSACTIONS (PRIMARY)**
*THE ADDRESS RESIDENCES DUBAI OPERA T1+T2*
_Area: Downtown_
_Type: 4 bedroom apartment_
```Date   Price  BUA Type P/sf```
```------------2022-----------```
```10Feb  22.3M 6431 XX01 3468```
```10Feb 23.79M 6914 XX01 3441```
_Source: DLD, Databot_
_BUA - built-up area, sq.ft._
_P/sf - price per sq.ft._
_B - bedrooms; O - office_
_M - million, K- thousand_
_S - studio, R - shop_
_*Max 20 latest transactions_
www.trydatabot.com</t>
  </si>
  <si>
    <t>1014236, *SALES*</t>
  </si>
  <si>
    <t>*SALES*
*TRANSACTIONS (PRIMARY)**
*THE ADDRESS RESIDENCES DUBAI OPERA T1+T2*
_Area: Downtown_
_Type: 5 bedroom apartment_
```Date   Price  BUA Type P/sf```
```------------2025-----------```
```10Jan 20.92M 6175 XX02 3389```
```------------2022-----------```
```05Apr  37.6M 9973 XX01 3771```
```03Mar  18.1M 5152 XX01 3514```
```10Feb 39.63M 9968 XX01 3976```
```10Feb 39.39M  11K XX01 3705```
```------------2021-----------```
```03Jun 19.83M 5151 XX01 3850```
```------------2019-----------```
```26May 20.92M 6066 XX02 3450```
_Source: DLD, Databot_
_BUA - built-up area, sq.ft._
_P/sf - price per sq.ft._
_B - bedrooms; O - office_
_M - million, K- thousand_
_S - studio, R - shop_
_*Max 20 latest transactions_
www.trydatabot.com</t>
  </si>
  <si>
    <t>1014243, *SALES*</t>
  </si>
  <si>
    <t>*SALES*
*TRANSACTIONS (PRIMARY)**
*THE ADDRESS RESIDENCES DUBAI OPERA T1+T2*
_Area: Downtown_
_All types/bedrooms_
```Date    Price   BUA  Type B```
```------------2025-----------```
```10Jan  20.92M  6175  XX02 5```
```------------2024-----------```
```12Jul  6.122M  1677  XX01 3```
```------------2023-----------```
```13Dec  6.539M  1677  XX01 3```
```13Jul   3.79M   989  XXXX 1```
```30May  3.912M  1256  XX03 2```
```19Apr    6.9M  1782  XX08 3```
```09Feb  3.587M  1189  XX04 2```
```10Jan  3.404M  1242  XX07 2```
```------------2022-----------```
```07Dec  3.682M  1198  XX06 2```
```03Nov  5.062M  1575  XX02 3```
```17Oct  3.584M  1258  XX03 2```
```20Jul   3.44M  1198  XX06 2```
```14Jul  3.822M  1334  XX08 2```
```14Jul  3.191M  1256  XX03 2```
```13Jul  2.465M   845  XX08 1```
```13Jul  3.351M  1186  XX04 2```
```07Jul  3.135M  1234  XX07 2```
```21Jun  6.087M  1681  XX01 3```
```13May  2.487M   802  XX05 1```
```13May  6.087M  1681  XX01 3```
_Source: DLD, Databot_
_BUA - built-up area, sq.ft._
_P/sf - price per sq.ft._
_B - bedrooms; O - office_
_M - million, K- thousand_
_S - studio, R - shop_
_*Max 20 latest transactions_
www.trydatabot.com</t>
  </si>
  <si>
    <t>1014248, *SALES*</t>
  </si>
  <si>
    <t>*SALES*
*TRANSACTIONS**
*THE ADDRESS RESIDENCES SKY VIEW 1*
_Area: Downtown_
_Type: 1 bedroom apartment_
```Date   Price  BUA Type P/sf```
```------------2026-----------```
```06Jan   2.8M  872 XXXX 3211```
```------------2025-----------```
```20Nov     4M 1157 XX09 3457```
```06Oct  3.75M 1157 XX09 3241```
```06Feb  3.83M 1157 XX09 3310```
```------------2024-----------```
```06Jun   3.1M  872 XX08 3555```
```07Feb     3M  872 XX08 3440```
```22Jan 2.935M  872 XX08 3366```
```------------2023-----------```
```16Oct   2.4M  872 XX08 2752```
```23Aug     3M 1157 XX09 2593```
```28Apr   2.3M  872 XX08 2638```
```28Apr 1.463M 1157 XX09 1264```
```17Mar   3.1M 1157 XX09 2679```
```------------2022-----------```
```08Nov   2.1M  872 XX08 2408```
```28Oct 2.985M 1157 XX09 2580```
```20Oct 2.275M  872 XX08 2609```
```10Mar   2.6M 1157 XX09 2247```
```28Feb 1.983M  872 XX08 2274```
```------------2021-----------```
```07Dec  1.95M  872 XX08 2236```
```18Jul  1.92M  872 XX08 2202```
```------------2020-----------```
```21Jul 2.866M 1157 XX09 2477```
```10Mar 2.354M  872 XX08 2699```
```28Jan   1.7M  872 XX08 1950```
```------------2019-----------```
```20Feb 2.404M  872 XX08 2757```
```------------2018-----------```
```09Oct   2.2M 1157 XX09 1901```
_Source: DLD, Databot_
_BUA - built-up area, sq.ft._
_P/sf - price per sq.ft._
_B - bedrooms; O - office_
_M - million, K- thousand_
_S - studio, R - shop_
_*Max 30 latest transactions_
www.trydatabot.com</t>
  </si>
  <si>
    <t>The Address Residences Sky View 1</t>
  </si>
  <si>
    <t>1014249, *MARKET</t>
  </si>
  <si>
    <t>*MARKET*
*SNAPSHOT*
*THE ADDRESS RESIDENCES SKY VIEW 1*
_Area: Downtown_
_Type: 1 bedroom apartment_
*Price dynamics, Dirham/sq.ft.*
_(M - median value)_
```3555|                 *  * ```
```    |               ** **  ```
```    |                     *```
```    |                      ```
```2624|---------------------M```
```    | *     ** * ***       ```
```    |  *      *            ```
```    |   ****               ```
```    |*                     ```
```    |                      ```
```1264|           *          ```
```____|______________________```
```    |Jan2020        Jan2026```
_Source: see table below_
*Latest sales transactions*
```Date   Price  BUA Type P/sf```
```------------2026-----------```
```06Jan   2.8M  872 XXXX 3211```
```------------2025-----------```
```20Nov     4M 1157 XX09 3457```
```06Oct  3.75M 1157 XX09 3241```
```06Feb  3.83M 1157 XX09 3310```
```------------2024-----------```
```06Jun   3.1M  872 XX08 3555```
```07Feb     3M  872 XX08 3440```
```22Jan 2.935M  872 XX08 3366```
```------------2023-----------```
```16Oct   2.4M  872 XX08 2752```
```23Aug     3M 1157 XX09 2593```
```28Apr   2.3M  872 XX08 2638```
```28Apr 1.463M 1157 XX09 1264```
```17Mar   3.1M 1157 XX09 2679```
```------------2022-----------```
```08Nov   2.1M  872 XX08 2408```
```28Oct 2.985M 1157 XX09 2580```
```20Oct 2.275M  872 XX08 2609```
```10Mar   2.6M 1157 XX09 2247```
```28Feb 1.983M  872 XX08 2274```
```------------2021-----------```
```07Dec  1.95M  872 XX08 2236```
```18Jul  1.92M  872 XX08 2202```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</si>
  <si>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1014252, *SALES*</t>
  </si>
  <si>
    <t>*SALES*
*TRANSACTIONS**
*THE ADDRESS RESIDENCES SKY VIEW 1*
_Area: Downtown_
_Type: 2 bedroom apartment_
```Date   Price  BUA Type P/sf```
```------------2026-----------```
```22Jan   5.7M 1519 XX03 3752```
```22Jan  6.85M 1699 XX05 4032```
```16Jan   6.5M 1699 XX05 3826```
```15Jan  4.85M 1329 XX01 3649```
```------------2025-----------```
```11Nov     2M 1699 XXXX 1177```
```28Oct   5.5M 1329 XX01 4138```
```14Oct     5M 1329 XX01 3762```
```08Sep     6M 1699 XX03 3531```
```21Jul 4.469M 1699 XX03 2630```
```08Jul   4.4M 1329 XX01 3311```
```07Jul  6.65M 1699 XX05 3914```
```30Jun   6.2M 1699 XX04 3649```
```25Jun   4.5M 1329 XX01 3386```
```04Jun   4.5M 1329 XX01 3386```
```06May  4.65M 1329 XX01 3499```
```05May     5M 1543 XX07 3240```
```21Apr   5.4M 1518 XX07 3557```
```14Mar   4.9M 1543 XX07 3176```
```14Mar   4.9M 1543 XX07 3176```
```03Mar   7.8M 1943 XX05 4014```
```30Jan   6.5M 1699 XX03 3826```
```06Jan     4M 1699 XX04 2354```
```------------2024-----------```
```20Dec   5.6M 1518 XX07 3689```
```11Dec   4.8M 1329 XX01 3612```
```18Nov  7.25M 1699 XX05 4267```
```28Oct  6.55M 1699 XX05 3855```
```21Oct   7.9M 1699 XX05 4650```
```18Oct   7.9M 1699 XX05 4650```
```18Oct   7.2M 1699 XX06 4238```
```17Jul   6.6M 1699 XX05 3885```
_Source: DLD, Databot_
_BUA - built-up area, sq.ft._
_P/sf - price per sq.ft._
_B - bedrooms; O - office_
_M - million, K- thousand_
_S - studio, R - shop_
_*Max 30 latest transactions_
www.trydatabot.com</t>
  </si>
  <si>
    <t>1014253, *MARKET</t>
  </si>
  <si>
    <t>*MARKET*
*SNAPSHOT*
*THE ADDRESS RESIDENCES SKY VIEW 1*
_Area: Downtown_
_Type: 2 bedroom apartment_
*Price dynamics, Dirham/sq.ft.*
_(M - median value)_
```4138|  *             *   * ```
```    | *         *   *   * *```
```3544|---------------------M```
```    |     * *  *   *   *   ```
```    |   ** * **  *         ```
```    |                      ```
```    |             *        ```
```    |*                     ```
```    |                      ```
```    |                      ```
```1177|                 *    ```
```____|______________________```
```    |Jan2025        Jan2026```
_Source: see table below_
*Latest sales transactions*
```Date   Price  BUA Type P/sf```
```------------2026-----------```
```22Jan   5.7M 1519 XX03 3752```
```22Jan  6.85M 1699 XX05 4032```
```16Jan   6.5M 1699 XX05 3826```
```15Jan  4.85M 1329 XX01 3649```
```------------2025-----------```
```11Nov     2M 1699 XXXX 1177```
```28Oct   5.5M 1329 XX01 4138```
```14Oct     5M 1329 XX01 3762```
```08Sep     6M 1699 XX03 3531```
```21Jul 4.469M 1699 XX03 2630```
```08Jul   4.4M 1329 XX01 3311```
```07Jul  6.65M 1699 XX05 3914```
```30Jun   6.2M 1699 XX04 3649```
```25Jun   4.5M 1329 XX01 3386```
```04Jun   4.5M 1329 XX01 3386```
```06May  4.65M 1329 XX01 3499```
```05May     5M 1543 XX07 3240```
```21Apr   5.4M 1518 XX07 3557```
```14Mar   4.9M 1543 XX07 3176```
```14Mar   4.9M 1543 XX07 3176```
```03Mar   7.8M 1943 XX05 4014```
```30Jan   6.5M 1699 XX03 3826```
```06Jan     4M 1699 XX04 2354```
```------------2024-----------```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</si>
  <si>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1014254, *NEW RE</t>
  </si>
  <si>
    <t>*NEW RENT*
*CONTRACTS**
_(renewals are not included)_
*THE ADDRESS RESIDENCES SKY VIEW T1+T2*
_Area: Downtown_
_Type: 2 bedroom apartment_
```Date  Price   BUA  Type D/s```
```------------2024-----------```
```20Oct  440K  1701  XXXX 259```
```07Jun  350K  1701  XXXX 206```
```------------2023-----------```
```01Oct  370K  1701  XXXX 218```
```18Aug  320K  1701  XXXX 188```
```18Aug  320K  1701  XXXX 188```
```08Feb  620K  1701  XXXX 364```
```------------2022-----------```
```03Oct  390K  1701  XXXX 229```
```------------2021-----------```
```01Oct  315K  1701  XXXX 185```
_Source: DLD, Databot_
_BUA - built-up area, sq.ft._
_P/sf - price per sq.ft._
_B - bedrooms; O - office_
_M - million, K- thousand_
_S - studio, R - shop_
_*20 latest contracts_
www.trydatabot.com</t>
  </si>
  <si>
    <t>1014256, *SALES*</t>
  </si>
  <si>
    <t>*SALES*
*TRANSACTIONS**
*THE ADDRESS RESIDENCES SKY VIEW 1*
_Area: Downtown_
_Type: 3 bedroom apartment_
```Date   Price  BUA Type P/sf```
```------------2026-----------```
```16Jan   8.7M 2019 XX06 4309```
```------------2025-----------```
```23Dec   8.6M 2020 XX02 4257```
```19Nov   8.6M 2019 XX06 4260```
```07Nov   8.9M 2020 XX02 4406```
```30Sep   8.9M 2019 XX06 4408```
```17Sep   8.3M 2019 XX06 4111```
```15Sep    10M 2427 XX05 4120```
```02Sep  8.35M 2019 XX06 4136```
```31Jul     8M 2019 XX06 3962```
```09May     8M 2020 XX02 3960```
```07May   8.7M 2427 XX05 3585```
```19Mar   8.9M 2019 XX06 4408```
```14Mar 10.85M 2427 XX05 4471```
```14Mar 10.85M 2427 XX05 4471```
```07Mar    33M 5193 XX02 6355```
```05Mar  45.5M 6665 XX01 6827```
```03Mar 8.075M 2020 XX02 3998```
```25Feb     6M 1851 XX01 3241```
```22Jan   8.3M 2020 XX02 4109```
```06Jan     6M 2019 XX06 2972```
```------------2024-----------```
```23Oct    10M 2427 XX04 4120```
```29Aug 7.825M 2019 XX06 3876```
```07Aug   8.5M 2019 XX06 4210```
```11Jul  8.15M 2020 XX02 4035```
```03May 29.75M 5191 XX02 5731```
```26Mar     8M 2427 XX04 3296```
```05Mar   8.9M 2019 XX06 4408```
```02Feb   8.7M 2019 XX06 4309```
```01Feb     7M 2427 XX04 2884```
```30Jan   9.6M 2020 XX02 4752```
_Source: DLD, Databot_
_BUA - built-up area, sq.ft._
_P/sf - price per sq.ft._
_B - bedrooms; O - office_
_M - million, K- thousand_
_S - studio, R - shop_
_*Max 30 latest transactions_
www.trydatabot.com</t>
  </si>
  <si>
    <t>1014257, *MARKET</t>
  </si>
  <si>
    <t>*MARKET*
*SNAPSHOT*
*THE ADDRESS RESIDENCES SKY VIEW 1*
_Area: Downtown_
_Type: 3 bedroom apartment_
*Price dynamics, Dirham/sq.ft.*
_(M - median value)_
```6827|      *               ```
```    |       *              ```
```    |                      ```
```    |                      ```
```    |                      ```
```    |                      ```
```    |        ***      **   ```
```4128|---------------------M```
```    | * * *      *****  ***```
```    |*          *          ```
```2972|  * *                 ```
```____|______________________```
```    |Aug2024        Jan2026```
_Source: see table below_
*Latest sales transactions*
```Date   Price  BUA Type P/sf```
```------------2026-----------```
```16Jan   8.7M 2019 XX06 4309```
```------------2025-----------```
```23Dec   8.6M 2020 XX02 4257```
```19Nov   8.6M 2019 XX06 4260```
```07Nov   8.9M 2020 XX02 4406```
```30Sep   8.9M 2019 XX06 4408```
```17Sep   8.3M 2019 XX06 4111```
```15Sep    10M 2427 XX05 4120```
```02Sep  8.35M 2019 XX06 4136```
```31Jul     8M 2019 XX06 3962```
```09May     8M 2020 XX02 3960```
```07May   8.7M 2427 XX05 3585```
```19Mar   8.9M 2019 XX06 4408```
```14Mar 10.85M 2427 XX05 4471```
```14Mar 10.85M 2427 XX05 4471```
```07Mar    33M 5193 XX02 6355```
```05Mar  45.5M 6665 XX01 6827```
```03Mar 8.075M 2020 XX02 3998```
```25Feb     6M 1851 XX01 3241```
```22Jan   8.3M 2020 XX02 4109```
```06Jan     6M 2019 XX06 2972```
```------------2024-----------```
```23Oct    10M 2427 XX04 4120```
```29Aug 7.825M 2019 XX06 3876```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</si>
  <si>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1014258, *NEW RE</t>
  </si>
  <si>
    <t>*NEW RENT*
*CONTRACTS**
_(renewals are not included)_
*THE ADDRESS RESIDENCES SKY VIEW T1+T2*
_Area: Downtown_
_Type: 3 bedroom apartment_
```Date  Price   BUA  Type D/s```
```------------2025-----------```
```01Sep  600K  2024  XXXX 296```
```01Sep  650K  2024  XXXX 321```
```------------2024-----------```
```01May  660K  2433  XXXX 271```
```------------2023-----------```
```01May  660K  2433  XXXX 271```
```------------2022-----------```
```05Oct  510K  2024  XXXX 252```
```------------2020-----------```
```01Oct  210K  2024  XXXX 104```
_Source: DLD, Databot_
_BUA - built-up area, sq.ft._
_P/sf - price per sq.ft._
_B - bedrooms; O - office_
_M - million, K- thousand_
_S - studio, R - shop_
_*20 latest contracts_
www.trydatabot.com</t>
  </si>
  <si>
    <t>1014260, *SALES*</t>
  </si>
  <si>
    <t>*SALES*
*TRANSACTIONS**
*THE ADDRESS RESIDENCES SKY VIEW 1*
_Area: Downtown_
_Type: 4 bedroom apartment_
```Date   Price  BUA Type P/sf```
```------------2026-----------```
```08Jan     9M 2538 XX01 3546```
```------------2025-----------```
```28May   9.5M 2538 XX01 3743```
```------------2024-----------```
```22Apr 3.766M 2538 XX01 1484```
```01Apr  12.5M 2538 XX02 4925```
```------------2023-----------```
```08Dec    11M 2538 XX02 4334```
```20Sep    11M 2538 XX02 4334```
```04Apr  7.19M 2538 XX01 2833```
```23Mar  15.5M 3288 XX04 4714```
```16Mar    40M 8100 XX01 4938```
```16Mar    44M 9129 XX01 4820```
```------------2021-----------```
```04Nov   9.5M 2538 XX02 3743```
```21Jun   8.3M 2538 XX02 3270```
```22Apr  13.8M 3295 XX04 4188```
```------------2020-----------```
```25Nov   6.5M 2538 XX01 2561```
```------------2019-----------```
```01Oct 3.265M 2538 XX01 1286```
```19Aug 7.737M 2538 XX02 3048```
```05Aug     6M 2538 XX01 2364```
```22Apr    13M 3281 XX04 3962```
```------------2018-----------```
```18Apr 6.797M 2538 XX01 2678```
_Source: DLD, Databot_
_BUA - built-up area, sq.ft._
_P/sf - price per sq.ft._
_B - bedrooms; O - office_
_M - million, K- thousand_
_S - studio, R - shop_
_*Max 30 latest transactions_
www.trydatabot.com</t>
  </si>
  <si>
    <t>1014261, *MARKET</t>
  </si>
  <si>
    <t>*MARKET*
*SNAPSHOT*
*THE ADDRESS RESIDENCES SKY VIEW 1*
_Area: Downtown_
_Type: 4 bedroom apartment_
*Price dynamics, Dirham/sq.ft.*
_(M - median value)_
```4938|            **    *   ```
```    |              *       ```
```    |         *      **    ```
```3743|---------------------M```
```    |    *      *        * ```
```    |                     *```
```    |      *   *           ```
```    |   *           *      ```
```    |     *  *             ```
```    |                      ```
```1286|       *           *  ```
```____|______________________```
```    |Apr2018        Jan2026```
_Source: see table below_
*Latest sales transactions*
```Date   Price  BUA Type P/sf```
```------------2026-----------```
```08Jan     9M 2538 XX01 3546```
```------------2025-----------```
```28May   9.5M 2538 XX01 3743```
```------------2024-----------```
```22Apr 3.766M 2538 XX01 1484```
```01Apr  12.5M 2538 XX02 4925```
```------------2023-----------```
```08Dec    11M 2538 XX02 4334```
```20Sep    11M 2538 XX02 4334```
```04Apr  7.19M 2538 XX01 2833```
```23Mar  15.5M 3288 XX04 4714```
```16Mar    40M 8100 XX01 4938```
```16Mar    44M 9129 XX01 4820```
```------------2021-----------```
```04Nov   9.5M 2538 XX02 3743```
```21Jun   8.3M 2538 XX02 3270```
```22Apr  13.8M 3295 XX04 4188```
```------------2020-----------```
```25Nov   6.5M 2538 XX01 2561```
```------------2019-----------```
```01Oct 3.265M 2538 XX01 1286```
```19Aug 7.737M 2538 XX02 3048```
```05Aug     6M 2538 XX01 2364```
```22Apr    13M 3281 XX04 3962```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</si>
  <si>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1014264, *SALES*</t>
  </si>
  <si>
    <t>*SALES*
*TRANSACTIONS**
*THE ADDRESS RESIDENCES SKY VIEW 1*
_Area: Downtown_
_Type: 5 bedroom apartment_
```Date   Price  BUA Type P/sf```
```------------2025-----------```
```15Oct  14.5M 3130 XX04 4633```
```26Feb    17M 3130 XX04 5431```
```------------2024-----------```
```09Jan  14.5M 3130 XX04 4633```
```------------2022-----------```
```23May    10M 3130 XX04 3195```
```------------2021-----------```
```14Nov  10.5M 3130 XX04 3355```
```------------2020-----------```
```26Nov 9.645M 3130 XX04 3081```
```------------2018-----------```
```19Jul 9.705M 3130 XX04 3101```
```01Jul  9.72M 3130 XX04 3105```
_Source: DLD, Databot_
_BUA - built-up area, sq.ft._
_P/sf - price per sq.ft._
_B - bedrooms; O - office_
_M - million, K- thousand_
_S - studio, R - shop_
_*Max 30 latest transactions_
www.trydatabot.com</t>
  </si>
  <si>
    <t>1014265, *MARKET</t>
  </si>
  <si>
    <t>*MARKET*
*SNAPSHOT*
*THE ADDRESS RESIDENCES SKY VIEW 1*
_Area: Downtown_
_Type: 5 bedroom apartment_
*Price dynamics, Dirham/sq.ft.*
_(M - median value)_
```5431|                    * ```
```    |                      ```
```    |                      ```
```    |                   * *```
```    |                      ```
```    |                      ```
```    |                      ```
```    |                      ```
```    |                 *    ```
```3081|              *** *   ```
```3081|              *** *   ```
```____|______________________```
```    |Jul2018        Oct2025```
_Source: see table below_
*Latest sales transactions*
```Date   Price  BUA Type P/sf```
```------------2025-----------```
```15Oct  14.5M 3130 XX04 4633```
```26Feb    17M 3130 XX04 5431```
```------------2024-----------```
```09Jan  14.5M 3130 XX04 4633```
```------------2022-----------```
```23May    10M 3130 XX04 3195```
```------------2021-----------```
```14Nov  10.5M 3130 XX04 3355```
```------------2020-----------```
```26Nov 9.645M 3130 XX04 3081```
```------------2018-----------```
```19Jul 9.705M 3130 XX04 3101```
```01Jul  9.72M 3130 XX04 3105```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</si>
  <si>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1014278, *NEW RE</t>
  </si>
  <si>
    <t>*NEW RENT*
*CONTRACTS**
_(renewals are not included)_
*THE ADDRESS RESIDENCES SKY VIEW T1+T2*
_Area: Downtown_
_Type: _
```Date  Price   BUA  Type D/s```
```------------2025-----------```
```15Jan 7.04M 14230  XXXX 494```
```------------2024-----------```
```15Sep 2.29M  7599  XXXX 302```
```28Jan  117K   140  XXXX 835```
```------------2021-----------```
```15Sep  1.9M 14456  XXXX 132```
```15Sep 1.96M 14456  XXXX 135```
```01Aug 2.12M  7599  XXXX 278```
```------------2020-----------```
```14Mar  105K   140  XXXX 751```
```------------2019-----------```
```01Aug 5.04M 14230  XXXX 354```
_Source: DLD, Databot_
_BUA - built-up area, sq.ft._
_P/sf - price per sq.ft._
_B - bedrooms; O - office_
_M - million, K- thousand_
_S - studio, R - shop_
_*20 latest contracts_
www.trydatabot.com</t>
  </si>
  <si>
    <t>1014284, *SALES*</t>
  </si>
  <si>
    <t>*SALES*
*TRANSACTIONS**
*THE ADDRESS RESIDENCES SKY VIEW 1*
_Area: Downtown_
_Type: penthouse_
```Date   Price  BUA Type P/sf```
```------------2022-----------```
```30Nov    30M 8309 XX01 3611```
```------------2019-----------```
```05Aug 29.15M 8309 XX01 3509```
```------------2018-----------```
```01Nov 29.15M 8309 XX01 3509```
_Source: DLD, Databot_
_BUA - built-up area, sq.ft._
_P/sf - price per sq.ft._
_B - bedrooms; O - office_
_M - million, K- thousand_
_S - studio, R - shop_
_*Max 30 latest transactions_
www.trydatabot.com</t>
  </si>
  <si>
    <t>1014285, *MARKET</t>
  </si>
  <si>
    <t>*MARKET*
*SNAPSHOT*
*THE ADDRESS RESIDENCES SKY VIEW 1*
_Area: Downtown_
_Type: penthouse_
*Price dynamics, Dirham/sq.ft.*
_(M - median value)_
```3611|                     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```3509|                   ** ```
```3509|                   ** ```
```____|______________________```
```    |Nov2018        Nov2022```
_Source: see table below_
*Latest sales transactions*
```Date   Price  BUA Type P/sf```
```------------2022-----------```
```30Nov    30M 8309 XX01 3611```
```------------2019-----------```
```05Aug 29.15M 8309 XX01 3509```
```------------2018-----------```
```01Nov 29.15M 8309 XX01 3509```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</si>
  <si>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1014292, *NEW RE</t>
  </si>
  <si>
    <t>*NEW RENT*
*CONTRACTS**
_(renewals are not included)_
*THE ADDRESS RESIDENCES SKY VIEW T1+T2*
_Area: Downtown_
_All types/bedrooms_
```Date    Price   BUA Type  B```
```------------2026-----------```
```01Mar    580K  2024 XXXX  check```
```14Jan    200K  1152 XXXX  check```
```08Jan    315K  1539 XXXX  check```
```08Jan    275K  1324 XXXX  check```
```------------2025-----------```
```06Dec    300K  1539 XXXX  check```
```25Oct    470K  1701 XXXX  check```
```01Sep    600K  2024 XXXX  3```
```01Sep    650K  2024 XXXX  3```
```15Aug    565K  2024 XXXX  check```
```05Aug    445K  2153 XXXX  check```
```01Aug    570K  2024 XXXX  check```
```01Aug    405K  1701 XXXX  check```
```25Jul    365K  1701 XXXX  check```
```25Jul    320K  1539 XXXX  check```
```20Jul    570K  2024 XXXX  check```
```07Jul  217.5K  1055 XXXX  check```
```05Jul  441.3K  1701 XXXX  check```
```01Jul    800K  2540 XXXX  check```
```01Jul    470K  2433 XXXX  check```
```26Jun    275K  1324 XXXX  check```
_Source: DLD, Databot_
_BUA - built-up area, sq.ft._
_P/sf - price per sq.ft._
_B - bedrooms; O - office_
_M - million, K- thousand_
_S - studio, R - shop_
_*20 latest contracts_
www.trydatabot.com</t>
  </si>
  <si>
    <t>1014293, *SALES*</t>
  </si>
  <si>
    <t>*SALES*
*TRANSACTIONS**
*THE ADDRESS RESIDENCES SKY VIEW 1*
_Area: Downtown_
_All types/bedrooms_
```Date    Price   BUA  Type B```
```------------2026-----------```
```22Jan    5.7M  1519  XX03 2```
```22Jan   6.85M  1699  XX05 2```
```16Jan    6.5M  1699  XX05 2```
```16Jan    8.7M  2019  XX06 3```
```15Jan   4.85M  1329  XX01 2```
```08Jan      9M  2538  XX01 4```
```06Jan    2.8M   872  XXXX 1```
```------------2025-----------```
```23Dec    8.6M  2020  XX02 3```
```20Nov      4M  1157  XX09 1```
```19Nov    8.6M  2019  XX06 3```
```11Nov      2M  1699  XXXX 2```
```07Nov    8.9M  2020  XX02 3```
```28Oct    5.5M  1329  XX01 2```
```15Oct   14.5M  3130  XX04 5```
```14Oct      5M  1329  XX01 2```
```06Oct   3.75M  1157  XX09 1```
```30Sep    8.9M  2019  XX06 3```
```17Sep    8.3M  2019  XX06 3```
```15Sep     10M  2427  XX05 3```
```08Sep      6M  1699  XX03 2```
```02Sep   8.35M  2019  XX06 3```
```31Jul      8M  2019  XX06 3```
```21Jul  4.469M  1699  XX03 2```
```08Jul    4.4M  1329  XX01 2```
```07Jul   6.65M  1699  XX05 2```
```30Jun    6.2M  1699  XX04 2```
```25Jun    4.5M  1329  XX01 2```
```04Jun    4.5M  1329  XX01 2```
```28May    9.5M  2538  XX01 4```
```09May      8M  2020  XX02 3```
_Source: DLD, Databot_
_BUA - built-up area, sq.ft._
_P/sf - price per sq.ft._
_B - bedrooms; O - office_
_M - million, K- thousand_
_S - studio, R - shop_
_*Max 30 latest transactions_
www.trydatabot.com</t>
  </si>
  <si>
    <t>1014294, by code, *BUILDI</t>
  </si>
  <si>
    <t xml:space="preserve">*BUILDING*
*PROFILE*
*THE ADDRESS RESIDENCES SKY VIEW 1*
_Area: Downtown_
_Tap&amp;hold to copy a reply_
```-------------------------```
```Report              Reply```
```-------------------------```
*1 B/R*
```Sales, ROI        1014248```
```Price chart       1014249```
```Rentals               n/a```
*2 B/R*
```Sales, ROI        1014252```
```Price chart       1014253```
```Rentals           1014254```
*3 B/R*
```Sales, ROI        1014256```
```Price chart       1014257```
```Rentals           1014258```
*4 B/R*
```Sales, ROI        1014260```
```Price chart       1014261```
```Rentals               n/a```
*5 B/R*
```Sales, ROI        1014264```
```Price chart       1014265```
```Rentals               n/a```
*Penthouse*
```Sales, ROI        1014284```
```Price chart       1014285```
```Rentals               n/a```
*All types/bedrooms*
```Sales, ROI        1014293```
```Rentals           1014292```
</t>
  </si>
  <si>
    <t>1014312, *SALES*</t>
  </si>
  <si>
    <r>
      <rPr/>
      <t xml:space="preserve">*SALES*
*TRANSACTIONS**
*THE ADDRESS RESIDENCES SKY VIEW 2*
_Area: Downtown_
_Type: 1 bedroom apartment_
```Date   Price  BUA Type P/sf```
```------------2024-----------```
```28Oct   3.8M 1051 XX07 3616```
```28Aug   3.7M 1051 XX07 3520```
```------------2023-----------```
```19Jun   3.1M 1051 XX07 2950```
```08May  3.25M 1051 XX07 3092```
```19Apr  3.05M 1051 XX07 2902```
```23Feb 3.265M 1051 XX07 3107```
```------------2022-----------```
```26Dec   3.2M 1051 XX07 3045```
```14Nov  2.95M 1051 XX07 2807```
```27Oct   3.4M 1051 XX07 3235```
```28Jul  2.65M 1051 XX07 2521```
```20Jan  2.65M 1051 XX07 2521```
```------------2021-----------```
```30Nov   2.2M 1051 XX07 2093```
```30Nov   2.2M 1051 XX07 2093```
```28Nov  2.15M 1051 XX07 2046```
```02Jun   2.2M 1051 XX07 2093```
```------------2020-----------```
```15Sep  1.75M 1051 XX07 1665```
```------------2018-----------```
```22Mar  2.39M 1051 XX07 2274```
```28Feb 2.185M 1051 XX07 2079```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</si>
  <si>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The Address Residences Sky View 2</t>
  </si>
  <si>
    <t>1014313, *MARKET</t>
  </si>
  <si>
    <t>*MARKET*
*SNAPSHOT*
*THE ADDRESS RESIDENCES SKY VIEW 2*
_Area: Downtown_
_Type: 1 bedroom apartment_
*Price dynamics, Dirham/sq.ft.*
_(M - median value)_
```3616|                    **```
```    |                      ```
```    |             *        ```
```    |               ** **  ```
```    |              *  *    ```
```2664|---------------------M```
```    |                      ```
```    |           **         ```
```    |     *                ```
```    |    *  ****           ```
```1665|      *               ```
```____|______________________```
```    |Feb2018        Oct2024```
_Source: see table below_
*Latest sales transactions*
```Date   Price  BUA Type P/sf```
```------------2024-----------```
```28Oct   3.8M 1051 XX07 3616```
```28Aug   3.7M 1051 XX07 3520```
```------------2023-----------```
```19Jun   3.1M 1051 XX07 2950```
```08May  3.25M 1051 XX07 3092```
```19Apr  3.05M 1051 XX07 2902```
```23Feb 3.265M 1051 XX07 3107```
```------------2022-----------```
```26Dec   3.2M 1051 XX07 3045```
```14Nov  2.95M 1051 XX07 2807```
```27Oct   3.4M 1051 XX07 3235```
```28Jul  2.65M 1051 XX07 2521```
```20Jan  2.65M 1051 XX07 2521```
```------------2021-----------```
```30Nov   2.2M 1051 XX07 2093```
```30Nov   2.2M 1051 XX07 2093```
```28Nov  2.15M 1051 XX07 2046```
```02Jun   2.2M 1051 XX07 2093```
```------------2020-----------```
```15Sep  1.75M 1051 XX07 1665```
```------------2018-----------```
```22Mar  2.39M 1051 XX07 2274```
```28Feb 2.185M 1051 XX07 2079```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</si>
  <si>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1014316, *SALES*</t>
  </si>
  <si>
    <t>*SALES*
*TRANSACTIONS**
*THE ADDRESS RESIDENCES SKY VIEW 2*
_Area: Downtown_
_Type: 2 bedroom apartment_
```Date   Price  BUA Type P/sf```
```------------2025-----------```
```25Nov   5.6M 1542 XX01 3632```
```04Nov  7.65M 1700 XX05 4500```
```11Aug   4.2M 1542 XX01 2724```
```21May   5.1M 1542 XX01 3307```
```29Apr   7.9M 1700 XX05 4647```
```06Mar  7.75M 1699 XX03 4562```
```13Jan  4.85M 1542 XX01 3145```
```------------2024-----------```
```28Nov   5.1M 1542 XX01 3307```
```31Oct     5M 1542 XX01 3243```
```29Oct   7.5M 1700 XX05 4412```
```10Oct 4.998M 1542 XX01 3241```
```12Sep   7.9M 1700 XX05 4647```
```05Sep  4.95M 1542 XX01 3210```
```02Sep  7.45M 1700 XX05 4382```
```13Aug   3.5M 1542 XX01 2270```
```28Jun  6.75M 1700 XX05 3971```
```26Jun   4.3M 1542 XX01 2789```
```27May     8M 1699 XX03 4709```
```09May     5M 1542 XX01 3243```
```02May   5.2M 1542 XX01 3372```
```25Apr  4.85M 1542 XX01 3145```
```21Mar   7.2M 1699 XX03 4238```
```14Mar   7.9M 1699 XX03 4650```
```08Mar  5.05M 1542 XX01 3275```
```04Mar     7M 1699 XX03 4120```
```09Jan  5.15M 1542 XX01 3340```
```------------2023-----------```
```07Nov   7.2M 1700 XX05 4235```
```01Nov  6.45M 1699 XX03 3796```
```25Sep   4.4M 1542 XX01 2853```
```24Jul  5.38M 1699 XX03 3167```
_Source: DLD, Databot_
_BUA - built-up area, sq.ft._
_P/sf - price per sq.ft._
_B - bedrooms; O - office_
_M - million, K- thousand_
_S - studio, R - shop_
_*Max 30 latest transactions_
www.trydatabot.com</t>
  </si>
  <si>
    <t>1014317, *MARKET</t>
  </si>
  <si>
    <t>*MARKET*
*SNAPSHOT*
*THE ADDRESS RESIDENCES SKY VIEW 2*
_Area: Downtown_
_Type: 2 bedroom apartment_
*Price dynamics, Dirham/sq.ft.*
_(M - median value)_
```4709|    *     *      *    ```
```    |        *   *   *   * ```
```    |*                     ```
```    |      *               ```
```    |                     *```
```    |  *                   ```
```3340|---------------------M```
```    | * *     * * ***  *   ```
```    |                      ```
```    |     *             *  ```
```2270|       *              ```
```____|______________________```
```    |Mar2024        Nov2025```
_Source: see table below_
*Latest sales transactions*
```Date   Price  BUA Type P/sf```
```------------2025-----------```
```25Nov   5.6M 1542 XX01 3632```
```04Nov  7.65M 1700 XX05 4500```
```11Aug   4.2M 1542 XX01 2724```
```21May   5.1M 1542 XX01 3307```
```29Apr   7.9M 1700 XX05 4647```
```06Mar  7.75M 1699 XX03 4562```
```13Jan  4.85M 1542 XX01 3145```
```------------2024-----------```
```28Nov   5.1M 1542 XX01 3307```
```31Oct     5M 1542 XX01 3243```
```29Oct   7.5M 1700 XX05 4412```
```10Oct 4.998M 1542 XX01 3241```
```12Sep   7.9M 1700 XX05 4647```
```05Sep  4.95M 1542 XX01 3210```
```02Sep  7.45M 1700 XX05 4382```
```13Aug   3.5M 1542 XX01 2270```
```28Jun  6.75M 1700 XX05 3971```
```26Jun   4.3M 1542 XX01 2789```
```27May     8M 1699 XX03 4709```
```09May     5M 1542 XX01 3243```
```02May   5.2M 1542 XX01 3372```
```25Apr  4.85M 1542 XX01 3145```
```21Mar   7.2M 1699 XX03 4238```
```14Mar   7.9M 1699 XX03 4650```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</si>
  <si>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1014318, *NEW RE</t>
  </si>
  <si>
    <t>1014320, *SALES*</t>
  </si>
  <si>
    <r>
      <rPr/>
      <t xml:space="preserve">*SALES*
*TRANSACTIONS**
*THE ADDRESS RESIDENCES SKY VIEW 2*
_Area: Downtown_
_Type: 3 bedroom apartment_
```Date   Price  BUA Type P/sf```
```------------2025-----------```
```23Dec    12M 2432 XX03 4934```
```20Oct  12.1M 2438 XX04 4963```
```25Sep  9.85M 2021 XXXX 4874```
```28Aug  16.1M 2434 XX03 6615```
```24Jul  11.8M 2021 XX02 5839```
```08May   8.4M 2021 XX02 4156```
```01May  12.5M 2438 XX04 5127```
```06Mar   8.9M 2021 XX06 4404```
```08Jan  10.9M 2438 XX04 4471```
```------------2024-----------```
```26Dec  11.5M 2438 XX04 4717```
```25Sep   9.9M 2021 XX06 4899```
```16Jan   8.9M 2021 XXXX 4404```
```------------2023-----------```
```11Oct   8.8M 2021 XXXX 4354```
```27Sep     9M 2021 XXXX 4453```
```25Sep     8M 2021 XXXX 3958```
```26Jun   8.5M 2021 XXXX 4206```
```23Jun  11.8M 2432 XX03 4852```
```21Jun  7.35M 2021 XXXX 3637```
```09Jun   8.5M 2021 XXXX 4206```
```08Jun   8.5M 2021 XXXX 4206```
```29May   8.8M 2438 XX04 3610```
```26May  10.5M 2438 XX04 4307```
```31Mar   7.3M 2021 XXXX 3612```
```03Mar  10.5M 2432 XX03 4317```
```24Feb  7.17M 2021 XXXX 3548```
```30Jan     8M 2021 XXXX 3958```
```------------2022-----------```
```21Dec   7.7M 2021 XX02 3810```
```19Dec  7.55M 2021 XX02 3736```
```09Dec     8M 2438 XX04 3281```
```08Dec  7.15M 2021 XX06 3538```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</si>
  <si>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1014321, *MARKET</t>
  </si>
  <si>
    <t>*MARKET*
*SNAPSHOT*
*THE ADDRESS RESIDENCES SKY VIEW 2*
_Area: Downtown_
_Type: 3 bedroom apartment_
*Price dynamics, Dirham/sq.ft.*
_(M - median value)_
```6615|                  *   ```
```    |                      ```
```    |                      ```
```    |                 *    ```
```    |                      ```
```    |               *    * ```
```    |     *     **      * *```
```4429|---------------------M```
```    |        * *  **       ```
```    |* **  ** *      *     ```
```3610| *  *                 ```
```____|______________________```
```    |May2023        Dec2025```
_Source: see table below_
*Latest sales transactions*
```Date   Price  BUA Type P/sf```
```------------2025-----------```
```23Dec    12M 2432 XX03 4934```
```20Oct  12.1M 2438 XX04 4963```
```25Sep  9.85M 2021 XXXX 4874```
```28Aug  16.1M 2434 XX03 6615```
```24Jul  11.8M 2021 XX02 5839```
```08May   8.4M 2021 XX02 4156```
```01May  12.5M 2438 XX04 5127```
```06Mar   8.9M 2021 XX06 4404```
```08Jan  10.9M 2438 XX04 4471```
```------------2024-----------```
```26Dec  11.5M 2438 XX04 4717```
```25Sep   9.9M 2021 XX06 4899```
```16Jan   8.9M 2021 XXXX 4404```
```------------2023-----------```
```11Oct   8.8M 2021 XXXX 4354```
```27Sep     9M 2021 XXXX 4453```
```25Sep     8M 2021 XXXX 3958```
```26Jun   8.5M 2021 XXXX 4206```
```23Jun  11.8M 2432 XX03 4852```
```21Jun  7.35M 2021 XXXX 3637```
```09Jun   8.5M 2021 XXXX 4206```
```08Jun   8.5M 2021 XXXX 4206```
```29May   8.8M 2438 XX04 3610```
```26May  10.5M 2438 XX04 4307```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</si>
  <si>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1014322, *NEW RE</t>
  </si>
  <si>
    <t>1014324, *SALES*</t>
  </si>
  <si>
    <t>*SALES*
*TRANSACTIONS**
*THE ADDRESS RESIDENCES SKY VIEW 2*
_Area: Downtown_
_Type: 4 bedroom apartment_
```Date   Price  BUA Type P/sf```
```------------2025-----------```
```04Apr  12.5M 2537 XX04 4927```
```------------2024-----------```
```05Aug    12M 2537 XX04 4730```
```------------2023-----------```
```13Oct  11.5M 2537 XX04 4533```
```22Jun  14.5M 2537 XX04 5715```
```22Feb  10.6M 2537 XX04 4178```
```------------2022-----------```
```20Dec     8M 2279 XX05 3510```
```15Dec   9.8M 2537 XX04 3863```
```24Nov     7M 2279 XX05 3072```
```16Nov   9.2M 2537 XX04 3626```
```13Jun  11.5M 2537 XX04 4533```
```25May  6.65M 2281 XX05 2915```
```------------2019-----------```
```22Aug 6.063M 2281 XX05 2658```
```------------2018-----------```
```14May  7.68M 2537 XX04 3027```
```29Jan 7.598M 2537 XX04 2995```
_Source: DLD, Databot_
_BUA - built-up area, sq.ft._
_P/sf - price per sq.ft._
_B - bedrooms; O - office_
_M - million, K- thousand_
_S - studio, R - shop_
_*Max 30 latest transactions_
www.trydatabot.com</t>
  </si>
  <si>
    <t>1014325, *MARKET</t>
  </si>
  <si>
    <t>*MARKET*
*SNAPSHOT*
*THE ADDRESS RESIDENCES SKY VIEW 2*
_Area: Downtown_
_Type: 4 bedroom apartment_
*Price dynamics, Dirham/sq.ft.*
_(M - median value)_
```5715|                  *   ```
```    |                      ```
```    |                      ```
```    |                    **```
```    |            *      *  ```
```    |                 *    ```
```3745|---------------------M```
```    |               *      ```
```    |             *  *     ```
```    |        **    *       ```
```2658|          **          ```
```____|______________________```
```    |Jan2018        Apr2025```
_Source: see table below_
*Latest sales transactions*
```Date   Price  BUA Type P/sf```
```------------2025-----------```
```04Apr  12.5M 2537 XX04 4927```
```------------2024-----------```
```05Aug    12M 2537 XX04 4730```
```------------2023-----------```
```13Oct  11.5M 2537 XX04 4533```
```22Jun  14.5M 2537 XX04 5715```
```22Feb  10.6M 2537 XX04 4178```
```------------2022-----------```
```20Dec     8M 2279 XX05 3510```
```15Dec   9.8M 2537 XX04 3863```
```24Nov     7M 2279 XX05 3072```
```16Nov   9.2M 2537 XX04 3626```
```13Jun  11.5M 2537 XX04 4533```
```25May  6.65M 2281 XX05 2915```
```------------2019-----------```
```22Aug 6.063M 2281 XX05 2658```
```------------2018-----------```
```14May  7.68M 2537 XX04 3027```
```29Jan 7.598M 2537 XX04 2995```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</si>
  <si>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1014328, *SALES*</t>
  </si>
  <si>
    <t>*SALES*
*TRANSACTIONS**
*THE ADDRESS RESIDENCES SKY VIEW 2*
_Area: Downtown_
_Type: 5 bedroom apartment_
```Date   Price  BUA Type P/sf```
```------------2023-----------```
```11Apr  13.6M 3130 XX02 4345```
```10Apr  13.8M 3130 XX02 4409```
```31Jan     8M 3130 XX02 2556```
```------------2022-----------```
```28Jul    10M 3130 XX02 3195```
```28Jul  11.3M 3130 XX02 3610```
```14Apr  12.3M 3130 XX02 3930```
```17Feb   8.9M 3130 XX02 2843```
```------------2021-----------```
```06Oct  8.65M 3130 XX02 2764```
```------------2020-----------```
```19Jul 5.675M 3130 XX02 1813```
```------------2018-----------```
```14Aug 7.735M 3130 XX02 2471```
```14Aug 7.722M 3130 XX02 2467```
```23Jul 9.652M 3130 XX02 3084```
_Source: DLD, Databot_
_BUA - built-up area, sq.ft._
_P/sf - price per sq.ft._
_B - bedrooms; O - office_
_M - million, K- thousand_
_S - studio, R - shop_
_*Max 30 latest transactions_
www.trydatabot.com</t>
  </si>
  <si>
    <t>1014329, *MARKET</t>
  </si>
  <si>
    <t>*MARKET*
*SNAPSHOT*
*THE ADDRESS RESIDENCES SKY VIEW 2*
_Area: Downtown_
_Type: 5 bedroom apartment_
*Price dynamics, Dirham/sq.ft.*
_(M - median value)_
```4409|                    **```
```    |                      ```
```    |                *     ```
```    |                 *    ```
```    |                      ```
```    |          *       *   ```
```2964|---------------------M```
```    |              **      ```
```    |           **      *  ```
```    |                      ```
```1813|             *        ```
```____|______________________```
```    |Jul2018        Apr2023```
_Source: see table below_
*Latest sales transactions*
```Date   Price  BUA Type P/sf```
```------------2023-----------```
```11Apr  13.6M 3130 XX02 4345```
```10Apr  13.8M 3130 XX02 4409```
```31Jan     8M 3130 XX02 2556```
```------------2022-----------```
```28Jul    10M 3130 XX02 3195```
```28Jul  11.3M 3130 XX02 3610```
```14Apr  12.3M 3130 XX02 3930```
```17Feb   8.9M 3130 XX02 2843```
```------------2021-----------```
```06Oct  8.65M 3130 XX02 2764```
```------------2020-----------```
```19Jul 5.675M 3130 XX02 1813```
```------------2018-----------```
```14Aug 7.735M 3130 XX02 2471```
```14Aug 7.722M 3130 XX02 2467```
```23Jul 9.652M 3130 XX02 3084```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</si>
  <si>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1014342, *NEW RE</t>
  </si>
  <si>
    <t>1014356, *NEW RE</t>
  </si>
  <si>
    <t>1014357, *SALES*</t>
  </si>
  <si>
    <t>*SALES*
*TRANSACTIONS**
*THE ADDRESS RESIDENCES SKY VIEW 2*
_Area: Downtown_
_All types/bedrooms_
```Date    Price   BUA  Type B```
```------------2025-----------```
```23Dec     12M  2432  XX03 3```
```25Nov    5.6M  1542  XX01 2```
```04Nov   7.65M  1700  XX05 2```
```20Oct   12.1M  2438  XX04 3```
```25Sep   9.85M  2021  XXXX 3```
```28Aug   16.1M  2434  XX03 3```
```11Aug    4.2M  1542  XX01 2```
```24Jul   11.8M  2021  XX02 3```
```21May    5.1M  1542  XX01 2```
```08May    8.4M  2021  XX02 3```
```01May   12.5M  2438  XX04 3```
```29Apr    7.9M  1700  XX05 2```
```04Apr   12.5M  2537  XX04 4```
```06Mar   7.75M  1699  XX03 2```
```06Mar    8.9M  2021  XX06 3```
```13Jan   4.85M  1542  XX01 2```
```08Jan   10.9M  2438  XX04 3```
```------------2024-----------```
```26Dec   11.5M  2438  XX04 3```
```28Nov    5.1M  1542  XX01 2```
```31Oct      5M  1542  XX01 2```
```29Oct    7.5M  1700  XX05 2```
```28Oct    3.8M  1051  XX07 1```
```10Oct  4.998M  1542  XX01 2```
```25Sep    9.9M  2021  XX06 3```
```12Sep    7.9M  1700  XX05 2```
```05Sep   4.95M  1542  XX01 2```
```02Sep   7.45M  1700  XX05 2```
```28Aug    3.7M  1051  XX07 1```
```13Aug    3.5M  1542  XX01 2```
```05Aug     12M  2537  XX04 4```
_Source: DLD, Databot_
_BUA - built-up area, sq.ft._
_P/sf - price per sq.ft._
_B - bedrooms; O - office_
_M - million, K- thousand_
_S - studio, R - shop_
_*Max 30 latest transactions_
www.trydatabot.com</t>
  </si>
  <si>
    <t>1014358, by code, *BUILDI</t>
  </si>
  <si>
    <t xml:space="preserve">*BUILDING*
*PROFILE*
*THE ADDRESS RESIDENCES SKY VIEW 2*
_Area: Downtown_
_Tap&amp;hold to copy a reply_
```-------------------------```
```Report              Reply```
```-------------------------```
*1 B/R*
```Sales, ROI        1014312```
```Price chart       1014313```
```Rentals               n/a```
*2 B/R*
```Sales, ROI        1014316```
```Price chart       1014317```
```Rentals           1014318```
*3 B/R*
```Sales, ROI        1014320```
```Price chart       1014321```
```Rentals           1014322```
*4 B/R*
```Sales, ROI        1014324```
```Price chart       1014325```
```Rentals               n/a```
*5 B/R*
```Sales, ROI        1014328```
```Price chart       1014329```
```Rentals               n/a```
*All types/bedrooms*
```Sales, ROI        1014357```
```Rentals           1014356```
</t>
  </si>
  <si>
    <t>1014384, *SALES*</t>
  </si>
  <si>
    <t>*SALES*
*TRANSACTIONS**
*THE ADDRESS RESIDENCES SKY VIEW BRIDGE SKY*
_Area: Downtown_
_Type: 3 bedroom apartment_
```Date   Price  BUA Type P/sf```
```------------2025-----------```
```04Mar 38.25M 4916 XXXX 7781```
```24Feb    34M 4625 XXXX 7351```
```------------2024-----------```
```16May  25.5M 4828 XXXX 5282```
```08May  24.5M 4560 XXXX 5373```
```------------2022-----------```
```24Feb  18.5M 4828 XXXX 3832```
```------------2020-----------```
```13Sep    10M 4828 XXXX 2071```
```------------2019-----------```
```04Nov     7M 4625 XXXX 1514```
_Source: DLD, Databot_
_BUA - built-up area, sq.ft._
_P/sf - price per sq.ft._
_B - bedrooms; O - office_
_M - million, K- thousand_
_S - studio, R - shop_
_*Max 30 latest transactions_
www.trydatabot.com</t>
  </si>
  <si>
    <t>The Address Residences Sky View Bridge Sky</t>
  </si>
  <si>
    <t>1014385, *MARKET</t>
  </si>
  <si>
    <t>*MARKET*
*SNAPSHOT*
*THE ADDRESS RESIDENCES SKY VIEW BRIDGE SKY*
_Area: Downtown_
_Type: 3 bedroom apartment_
*Price dynamics, Dirham/sq.ft.*
_(M - median value)_
```7781|                     *```
```    |                    * ```
```    |                      ```
```    |                      ```
```5282|---------------------M```
```    |                  **  ```
```    |                      ```
```    |                 *    ```
```    |                      ```
```    |                      ```
```1514|               **     ```
```____|______________________```
```    |Nov2019        Mar2025```
_Source: see table below_
*Latest sales transactions*
```Date   Price  BUA Type P/sf```
```------------2025-----------```
```04Mar 38.25M 4916 XXXX 7781```
```24Feb    34M 4625 XXXX 7351```
```------------2024-----------```
```16May  25.5M 4828 XXXX 5282```
```08May  24.5M 4560 XXXX 5373```
```------------2022-----------```
```24Feb  18.5M 4828 XXXX 3832```
```------------2020-----------```
```13Sep    10M 4828 XXXX 2071```
```------------2019-----------```
```04Nov     7M 4625 XXXX 1514```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</si>
  <si>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1014388, *SALES*</t>
  </si>
  <si>
    <t>*SALES*
*TRANSACTIONS**
*THE ADDRESS RESIDENCES SKY VIEW BRIDGE SKY*
_Area: Downtown_
_Type: 4 bedroom apartment_
```Date   Price  BUA Type P/sf```
```------------2020-----------```
```22Dec    16M 4726 XXXX 3386```
```------------2018-----------```
```02Aug  10.5M 4726 XXXX 2222```
_Source: DLD, Databot_
_BUA - built-up area, sq.ft._
_P/sf - price per sq.ft._
_B - bedrooms; O - office_
_M - million, K- thousand_
_S - studio, R - shop_
_*Max 30 latest transactions_
www.trydatabot.com</t>
  </si>
  <si>
    <t>1014389, *MARKET</t>
  </si>
  <si>
    <t>*MARKET*
*SNAPSHOT*
*THE ADDRESS RESIDENCES SKY VIEW BRIDGE SKY*
_Area: Downtown_
_Type: 4 bedroom apartment_
*Price dynamics, Dirham/sq.ft.*
_(M - median value)_
```3386|                     *```
```    |                      ```
```    |                      ```
```    |                      ```
```    |                      ```
```2804|---------------------M```
```    |                      ```
```    |                      ```
```    |                      ```
```    |                      ```
```2222|                    * ```
```____|______________________```
```    |Aug2018        Dec2020```
_Source: see table below_
*Latest sales transactions*
```Date   Price  BUA Type P/sf```
```------------2020-----------```
```22Dec    16M 4726 XXXX 3386```
```------------2018-----------```
```02Aug  10.5M 4726 XXXX 2222```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</si>
  <si>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1014392, *SALES*</t>
  </si>
  <si>
    <t>*SALES*
*TRANSACTIONS**
*THE ADDRESS RESIDENCES SKY VIEW BRIDGE SKY*
_Area: Downtown_
_Type: 5 bedroom apartment_
```Date   Price  BUA Type P/sf```
```------------2024-----------```
```02Apr 39.55M 7295 XXXX 5422```
_Source: DLD, Databot_
_BUA - built-up area, sq.ft._
_P/sf - price per sq.ft._
_B - bedrooms; O - office_
_M - million, K- thousand_
_S - studio, R - shop_
_*Max 30 latest transactions_
www.trydatabot.com</t>
  </si>
  <si>
    <t>1014393, *MARKET</t>
  </si>
  <si>
    <t>*MARKET*
*SNAPSHOT*
*THE ADDRESS RESIDENCES SKY VIEW BRIDGE SKY*
_Area: Downtown_
_Type: 5 bedroom apartment_
*Price dynamics, Dirham/sq.ft.*
_(M - median value)_
```5422|                     *```
```5422|----------------------```
```    |                     *```
```5422|---------------------M```
```    |                     *```
```5422|---------------------M```
```    |                     *```
```5422|---------------------M```
```    |                     *```
```5422|---------------------M```
```    |                     *```
```____|______________________```
```    |Apr2024        Apr2024```
_Source: see table below_
*Latest sales transactions*
```Date   Price  BUA Type P/sf```
```------------2024-----------```
```02Apr 39.55M 7295 XXXX 5422```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</si>
  <si>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1014421, *SALES*</t>
  </si>
  <si>
    <t>*SALES*
*TRANSACTIONS**
*THE ADDRESS RESIDENCES SKY VIEW BRIDGE SKY*
_Area: Downtown_
_All types/bedrooms_
```Date    Price   BUA  Type B```
```------------2025-----------```
```04Mar  38.25M  4916  XXXX 3```
```24Feb     34M  4625  XXXX 3```
```------------2024-----------```
```16May   25.5M  4828  XXXX 3```
```08May   24.5M  4560  XXXX 3```
```02Apr  39.55M  7295  XXXX 5```
```------------2022-----------```
```24Feb   18.5M  4828  XXXX 3```
```------------2020-----------```
```22Dec     16M  4726  XXXX 4```
```13Sep     10M  4828  XXXX 3```
```------------2019-----------```
```04Nov      7M  4625  XXXX 3```
```------------2018-----------```
```02Aug   10.5M  4726  XXXX 4```
_Source: DLD, Databot_
_BUA - built-up area, sq.ft._
_P/sf - price per sq.ft._
_B - bedrooms; O - office_
_M - million, K- thousand_
_S - studio, R - shop_
_*Max 30 latest transactions_
www.trydatabot.com</t>
  </si>
  <si>
    <t>1014422, by code, *BUILDI</t>
  </si>
  <si>
    <t xml:space="preserve">*BUILDING*
*PROFILE*
*THE ADDRESS RESIDENCES SKY VIEW BRIDGE SKY*
_Area: Downtown_
_Tap&amp;hold to copy a reply_
```-------------------------```
```Report              Reply```
```-------------------------```
*3 B/R*
```Sales, ROI        1014384```
```Price chart       1014385```
```Rentals               n/a```
*4 B/R*
```Sales, ROI        1014388```
```Price chart       1014389```
```Rentals               n/a```
*5 B/R*
```Sales, ROI        1014392```
```Price chart       1014393```
```Rentals               n/a```
*All types/bedrooms*
```Sales, ROI        1014421```
```Rentals               n/a```
</t>
  </si>
  <si>
    <t>1014436, *SALES*</t>
  </si>
  <si>
    <r>
      <rPr/>
      <t xml:space="preserve">*SALES*
*TRANSACTIONS**
*THE ADDRESS THE BLVD*
_Area: Downtown_
_Type: studio apartment_
_Gross ROI=6.93%_
_Median annual rent=138K_
```Date   Price  BUA Type P/sf```
```------------2025-----------```
```25Nov   2.1M  557 XXXX 3770```
```06Aug  2.05M  557 XX11 3680```
```10Jun   1.6M  557 XX15 2873```
```30May 1.207M  557 XXXX 2167```
```22Apr     2M  562 XXXX 3559```
```25Mar     2M  557 XX11 3591```
```10Jan 1.865M  562 XXXX 3319```
```08Jan  2.25M  557 XXXX 4039```
```08Jan  2.15M  557 XX10 3859```
```------------2024-----------```
```27Dec     2M  562 XXXX 3559```
```27Dec  1.88M  557 XX10 3375```
```28Nov     2M  557 XX11 3591```
```06Sep     2M  562 XXXX 3559```
```05Jul     2M  557 XX11 3591```
```11Jun  1.88M  557 XXXX 3375```
```29May  1.92M  557 XX10 3447```
```15May     2M  557 XX11 3591```
```16Apr  1.86M  557 XXXX 3339```
```02Apr     2M  557 XX11 3591```
```21Feb  1.85M  562 XXXX 3292```
```31Jan     2M  557 XX11 3591```
```17Jan     2M  557 XXXX 3591```
```17Jan  1.85M  557 XX10 3321```
```02Jan  1.77M  557 XX15 3178```
```------------2023-----------```
```22Nov   1.8M  557 XX15 3232```
```18Sep   1.8M  557 XX11 3232```
```11Jul  1.75M  562 XXXX 3114```
```20Jun     2M  557 XXXX 3591```
```16Jun 1.765M  557 XX10 3169```
```15Jun   1.6M  557 XX11 2873```
_Source: DLD, Databot_
_BUA - built-up area, sq.ft._
_P/sf - price per sq.ft._
_B - bedrooms; O - office_
_M - million, K- thousand_
_S - studio, R - shop_
_*Max 30 latest transactions_
</t>
    </r>
    <r>
      <rPr>
        <color rgb="FF1155CC"/>
        <u/>
      </rPr>
      <t>www.trydatabot.com</t>
    </r>
  </si>
  <si>
    <t>The Address The BLVD</t>
  </si>
  <si>
    <t>1014437, *MARKET</t>
  </si>
  <si>
    <t>*MARKET*
*SNAPSHOT*
*THE ADDRESS THE BLVD*
_Area: Downtown_
_Type: studio apartment_
*Price dynamics, Dirham/sq.ft.*
_(M - median value)_
```4039|              *       ```
```    |             *       *```
```3575|---------------------M```
```    |** * *  * *     *   * ```
```    |      *  *  *    *    ```
```    |  * *  *   *   *      ```
```    |                      ```
```    |                   *  ```
```    |                      ```
```    |                      ```
```2167|                  *   ```
```____|______________________```
```    |Jan2024        Nov2025```
_Source: see table below_
*Latest sales transactions*
```Date   Price  BUA Type P/sf```
```------------2025-----------```
```25Nov   2.1M  557 XXXX 3770```
```06Aug  2.05M  557 XX11 3680```
```10Jun   1.6M  557 XX15 2873```
```30May 1.207M  557 XXXX 2167```
```22Apr     2M  562 XXXX 3559```
```25Mar     2M  557 XX11 3591```
```10Jan 1.865M  562 XXXX 3319```
```08Jan  2.25M  557 XXXX 4039```
```08Jan  2.15M  557 XX10 3859```
```------------2024-----------```
```27Dec     2M  562 XXXX 3559```
```27Dec  1.88M  557 XX10 3375```
```28Nov     2M  557 XX11 3591```
```06Sep     2M  562 XXXX 3559```
```05Jul     2M  557 XX11 3591```
```11Jun  1.88M  557 XXXX 3375```
```29May  1.92M  557 XX10 3447```
```15May     2M  557 XX11 3591```
```16Apr  1.86M  557 XXXX 3339```
```02Apr     2M  557 XX11 3591```
```21Feb  1.85M  562 XXXX 3292```
```31Jan     2M  557 XX11 3591```
```17Jan     2M  557 XXXX 3591```
```17Jan  1.85M  557 XX10 3321```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</si>
  <si>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1014438, *NEW RE</t>
  </si>
  <si>
    <r>
      <rPr/>
      <t xml:space="preserve">*NEW RENT*
*CONTRACTS**
_(renewals are not included)_
*THE ADDRESS THE BLVD*
_Area: Downtown_
_Type: studio apartment_
```Date  Price   BUA  Type D/s```
```------------2025-----------```
```01Dec  133K   560  XXXX 238```
```27Nov  135K   560  XXXX 241```
```22Nov  140K   560  XXXX 250```
```17Nov  100K   560  XXXX 179```
```03Nov  143K   560  XXXX 255```
```01Nov  122K   560  XXXX 218```
```16Sep 83.3K   560  XXXX 149```
```18Aug  140K   560  XXXX 250```
```15Jun  140K   560  XXXX 250```
```13Jun  125K   560  XXXX 223```
```05Jun  140K   560  XXXX 250```
```12May  150K   560  XXXX 268```
```11May  140K   560  XXXX 250```
```10May  136K   560  XXXX 243```
```01May  140K   560  XXXX 250```
```24Apr  135K   560  XXXX 241```
```10Apr  135K   560  XXXX 241```
```05Apr  145K   560  XXXX 259```
```27Mar  135K   560  XXXX 241```
```01Mar  145K   560  XXXX 259```
_Source: DLD, Databot_
_BUA - built-up area, sq.ft._
_P/sf - price per sq.ft._
_B - bedrooms; O - office_
_M - million, K- thousand_
_S - studio, R - shop_
_*20 latest contracts_
</t>
    </r>
    <r>
      <rPr>
        <color rgb="FF1155CC"/>
        <u/>
      </rPr>
      <t>www.trydatabot.com</t>
    </r>
  </si>
  <si>
    <t>1014440, *SALES*</t>
  </si>
  <si>
    <t>*SALES*
*TRANSACTIONS**
*THE ADDRESS THE BLVD*
_Area: Downtown_
_Type: 1 bedroom apartment_
_Gross ROI=6.4%_
_Median annual rent=191K_
```Date   Price  BUA Type P/sf```
```------------2025-----------```
```25Dec  2.85M  905 XX12 3149```
```22Dec  2.84M  905 XX16 3138```
```11Dec  3.46M  847 XXXX 4085```
```24Nov     3M  905 XX16 3315```
```29Oct  2.95M  905 XXXX 3260```
```02Oct   2.5M  905 XX16 2762```
```02Oct   3.2M  814 XXXX 3931```
```01Aug   3.4M  814 XXXX 4177```
```15Jul     3M  905 XXXX 3315```
```09Jul  3.25M  814 XXXX 3993```
```12May   3.8M  847 XXXX 4486```
```23Apr  3.05M  905 XX12 3370```
```17Apr     3M  905 XX12 3315```
```15Apr   2.9M  882 XX13 3288```
```04Apr  3.47M  814 XXXX 4263```
```04Apr 1.975M  557 XXXX 3546```
```17Mar     3M  814 XXXX 3686```
```14Mar   2.9M  905 XX12 3204```
```08Jan 3.716M  814 XXXX 4565```
```------------2024-----------```
```24Dec   2.9M  905 XX12 3204```
```16Dec  3.25M  905 XXXX 3591```
```10Dec     3M  905 XX16 3315```
```28Nov   3.5M  847 XXXX 4132```
```25Nov  3.17M  905 XXXX 3503```
```24Oct  3.31M  814 XXXX 4066```
```17Oct   3.2M  847 XXXX 3778```
```07Oct     3M  905 XX12 3315```
```27Sep  1.95M  562 XXXX 3470```
```23Aug 2.975M  905 XXXX 3287```
```12Aug 3.175M  905 XXXX 3508```
_Source: DLD, Databot_
_BUA - built-up area, sq.ft._
_P/sf - price per sq.ft._
_B - bedrooms; O - office_
_M - million, K- thousand_
_S - studio, R - shop_
_*Max 30 latest transactions_
www.trydatabot.com</t>
  </si>
  <si>
    <t>1014441, *MARKET</t>
  </si>
  <si>
    <t>*MARKET*
*SNAPSHOT*
*THE ADDRESS THE BLVD*
_Area: Downtown_
_Type: 1 bedroom apartment_
*Price dynamics, Dirham/sq.ft.*
_(M - median value)_
```4565|   *       *          ```
```    |                      ```
```    |       *      *       ```
```    |            *      *  ```
```    |               *      ```
```    | *   *                ```
```    |      *               ```
```3343|---------------------M```
```    |*       ***  *   **   ```
```    |  * *               **```
```2762|                *     ```
```____|______________________```
```    |Dec2024        Dec2025```
_Source: see table below_
*Latest sales transactions*
```Date   Price  BUA Type P/sf```
```------------2025-----------```
```25Dec  2.85M  905 XX12 3149```
```22Dec  2.84M  905 XX16 3138```
```11Dec  3.46M  847 XXXX 4085```
```24Nov     3M  905 XX16 3315```
```29Oct  2.95M  905 XXXX 3260```
```02Oct   2.5M  905 XX16 2762```
```02Oct   3.2M  814 XXXX 3931```
```01Aug   3.4M  814 XXXX 4177```
```15Jul     3M  905 XXXX 3315```
```09Jul  3.25M  814 XXXX 3993```
```12May   3.8M  847 XXXX 4486```
```23Apr  3.05M  905 XX12 3370```
```17Apr     3M  905 XX12 3315```
```15Apr   2.9M  882 XX13 3288```
```04Apr  3.47M  814 XXXX 4263```
```04Apr 1.975M  557 XXXX 3546```
```17Mar     3M  814 XXXX 3686```
```14Mar   2.9M  905 XX12 3204```
```08Jan 3.716M  814 XXXX 4565```
```------------2024-----------```
```24Dec   2.9M  905 XX12 3204```
```16Dec  3.25M  905 XXXX 3591```
```10Dec     3M  905 XX16 3315```
```28Nov   3.5M  847 XXXX 4132```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</si>
  <si>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1014442, *NEW RE</t>
  </si>
  <si>
    <t>*NEW RENT*
*CONTRACTS**
_(renewals are not included)_
*THE ADDRESS THE BLVD*
_Area: Downtown_
_Type: 1 bedroom apartment_
```Date  Price   BUA  Type D/s```
```------------2025-----------```
```02Dec  229K   904  XXXX 254```
```20Nov  180K   850  XXXX 212```
```30Aug  219K   904  XXXX 242```
```20Aug  205K   904  XXXX 227```
```27Jul  200K   818  XXXX 244```
```07Jul  180K   883  XXXX 204```
```18Jun  170K   818  XXXX 208```
```17Jun  300K   850  XXXX 353```
```02Jun  185K   883  XXXX 210```
```02May  200K   904  XXXX 221```
```01May  190K   883  XXXX 215```
```01May  197K   904  XXXX 218```
```01May  190K   883  XXXX 215```
```26Apr  180K   850  XXXX 212```
```14Apr  192K   904  XXXX 212```
```14Apr  192K   904  XXXX 212```
```10Apr  185K   883  XXXX 210```
```09Apr  193K   883  XXXX 218```
```17Mar  190K   904  XXXX 210```
```15Mar  190K   850  XXXX 224```
_Source: DLD, Databot_
_BUA - built-up area, sq.ft._
_P/sf - price per sq.ft._
_B - bedrooms; O - office_
_M - million, K- thousand_
_S - studio, R - shop_
_*20 latest contracts_
www.trydatabot.com</t>
  </si>
  <si>
    <t>1014444, *SALES*</t>
  </si>
  <si>
    <t>*SALES*
*TRANSACTIONS**
*THE ADDRESS THE BLVD*
_Area: Downtown_
_Type: 2 bedroom apartment_
_Gross ROI=4.51%_
_Median annual rent=320K_
```Date   Price  BUA Type P/sf```
```------------2025-----------```
```26Nov   7.1M 1750 XX04 4057```
```04Nov   5.7M 1271 XXXX 4485```
```03Nov   6.7M 1751 XXXX 3826```
```29Sep   6.6M 1794 XXXX 3679```
```10Sep   4.5M 1449 XXXX 3106```
```14Aug 5.175M 1271 XXXX 4072```
```22Jul   6.4M 1750 XX04 3657```
```10Jul     8M 1750 XX04 4571```
```26Jun  6.55M 1751 XX04 3741```
```29Apr  5.45M 1271 XXXX 4288```
```09Apr  5.55M 1750 XX04 3171```
```08Apr   6.1M 1271 XXXX 4799```
```27Mar   7.4M 1794 XXXX 4125```
```18Mar   5.3M 1449 XXXX 3658```
```11Feb   7.3M 1750 XX03 4171```
```31Jan  4.25M 1751 XX05 2427```
```29Jan     5M 1449 XXXX 3451```
```20Jan 6.233M 1271 XXXX 4904```
```16Jan     5M 1449 XXXX 3451```
```08Jan 7.987M 1750 XX04 4564```
```08Jan 6.233M 1271 XXXX 4904```
```08Jan 6.233M 1271 XXXX 4904```
```08Jan  8.58M 1750 XX03 4903```
```------------2024-----------```
```12Dec  4.75M 1449 XXXX 3278```
```10Dec   7.5M 1750 XX04 4286```
```25Nov   6.5M 1794 XXXX 3623```
```21Nov   5.9M 1271 XXXX 4642```
```24Sep   6.2M 1794 XXXX 3456```
```04Sep     5M 1449 XXXX 3451```
```13Aug   7.1M 1750 XX04 4057```
_Source: DLD, Databot_
_BUA - built-up area, sq.ft._
_P/sf - price per sq.ft._
_B - bedrooms; O - office_
_M - million, K- thousand_
_S - studio, R - shop_
_*Max 30 latest transactions_
www.trydatabot.com</t>
  </si>
  <si>
    <t>1014445, *MARKET</t>
  </si>
  <si>
    <t>*MARKET*
*SNAPSHOT*
*THE ADDRESS THE BLVD*
_Area: Downtown_
_Type: 2 bedroom apartment_
*Price dynamics, Dirham/sq.ft.*
_(M - median value)_
```4904|**  *     *           ```
```    |  *           *       ```
```    |            *       * ```
```4065|---------------------M```
```    |       * *      *    *```
```    |                   *  ```
```    |        *    * *  *   ```
```    |   * *                ```
```    |           *     *    ```
```    |                      ```
```2427|      *               ```
```____|______________________```
```    |Jan2025        Nov2025```
_Source: see table below_
*Latest sales transactions*
```Date   Price  BUA Type P/sf```
```------------2025-----------```
```26Nov   7.1M 1750 XX04 4057```
```04Nov   5.7M 1271 XXXX 4485```
```03Nov   6.7M 1751 XXXX 3826```
```29Sep   6.6M 1794 XXXX 3679```
```10Sep   4.5M 1449 XXXX 3106```
```14Aug 5.175M 1271 XXXX 4072```
```22Jul   6.4M 1750 XX04 3657```
```10Jul     8M 1750 XX04 4571```
```26Jun  6.55M 1751 XX04 3741```
```29Apr  5.45M 1271 XXXX 4288```
```09Apr  5.55M 1750 XX04 3171```
```08Apr   6.1M 1271 XXXX 4799```
```27Mar   7.4M 1794 XXXX 4125```
```18Mar   5.3M 1449 XXXX 3658```
```11Feb   7.3M 1750 XX03 4171```
```31Jan  4.25M 1751 XX05 2427```
```29Jan     5M 1449 XXXX 3451```
```20Jan 6.233M 1271 XXXX 4904```
```16Jan     5M 1449 XXXX 3451```
```08Jan 7.987M 1750 XX04 4564```
```08Jan 6.233M 1271 XXXX 4904```
```08Jan 6.233M 1271 XXXX 4904```
```08Jan  8.58M 1750 XX03 4903```
```------------2024-----------```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</si>
  <si>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1014446, *NEW RE</t>
  </si>
  <si>
    <t>*NEW RENT*
*CONTRACTS**
_(renewals are not included)_
*THE ADDRESS THE BLVD*
_Area: Downtown_
_Type: 2 bedroom apartment_
```Date  Price   BUA  Type D/s```
```------------2026-----------```
```01Jan  300K  1270  XXXX 236```
```------------2025-----------```
```08Oct  360K  1270  XXXX 283```
```08Oct  320K  1270  XXXX 252```
```03Oct  315K  1453  XXXX 217```
```01Oct  275K  1453  XXXX 189```
```02Sep  324K  1270  XXXX 255```
```22Aug  320K  1755  XXXX 182```
```01Aug  396K  1453  XXXX 273```
```14Jul  380K  1755  XXXX 217```
```10Jun  340K  1798  XXXX 189```
```26May  250K  1453  XXXX 172```
```15May  290K  1453  XXXX 199```
```05May  400K  1755  XXXX 228```
```02May  300K  1453  XXXX 206```
```01May  400K  1755  XXXX 228```
```24Apr  380K  1755  XXXX 217```
```12Apr  390K  1798  XXXX 217```
```05Apr  290K  1270  XXXX 228```
```05Apr  200K  1270  XXXX 157```
```25Mar  300K  1453  XXXX 206```
_Source: DLD, Databot_
_BUA - built-up area, sq.ft._
_P/sf - price per sq.ft._
_B - bedrooms; O - office_
_M - million, K- thousand_
_S - studio, R - shop_
_*20 latest contracts_
www.trydatabot.com</t>
  </si>
  <si>
    <t>1014448, *SALES*</t>
  </si>
  <si>
    <t>*SALES*
*TRANSACTIONS**
*THE ADDRESS THE BLVD*
_Area: Downtown_
_Type: 3 bedroom apartment_
_Gross ROI=5.66%_
_Median annual rent=525K_
```Date   Price  BUA Type P/sf```
```------------2026-----------```
```08Jan  9.15M 2184 XX01 4190```
```07Jan 10.25M 2185 XXXX 4691```
```------------2025-----------```
```06Aug   9.4M 2185 XXXX 4302```
```24Jul     9M 2184 XX01 4121```
```10Jun     7M 2185 XXXX 3204```
```23May  18.5M 3459 XX02 5348```
```------------2024-----------```
```23Feb  8.65M 2184 XX01 3961```
```09Jan  8.55M 2184 XX01 3915```
```------------2023-----------```
```20Oct 11.42M 2506 XX02 4559```
```15Jun   6.7M 2184 XX01 3068```
```04Apr   8.3M 2185 XXXX 3799```
```03Feb   8.1M 2185 XXXX 3707```
```31Jan 5.204M 2184 XX01 2383```
```16Jan   7.5M 2360 XX04 3178```
```------------2022-----------```
```21Dec   7.8M 2184 XX01 3571```
```08Dec   7.5M 2185 XX06 3432```
```30Nov   7.8M 2184 XX01 3571```
```15Nov  11.8M 2184 XX01 5401```
```10Nov  7.05M 2184 XX01 3228```
```29Sep  8.25M 2360 XX04 3496```
```22Aug     9M 2360 XX04 3814```
```05Jul   6.5M 2184 XX01 2976```
```23Jun   6.9M 2185 XX06 3158```
```14Jun  7.25M 2185 XX06 3318```
```23May  7.52M 2185 XX06 3442```
```10May   6.7M 2185 XX06 3066```
```------------2021-----------```
```09Dec   6.3M 2184 XX01 2885```
```07Dec  7.25M 2185 XX06 3318```
```11Oct  4.35M 2360 XX04 1843```
```27Apr   5.2M 2185 XX06 2380```
_Source: DLD, Databot_
_BUA - built-up area, sq.ft._
_P/sf - price per sq.ft._
_B - bedrooms; O - office_
_M - million, K- thousand_
_S - studio, R - shop_
_*Max 30 latest transactions_
www.trydatabot.com</t>
  </si>
  <si>
    <t>1014449, *MARKET</t>
  </si>
  <si>
    <t>*MARKET*
*SNAPSHOT*
*THE ADDRESS THE BLVD*
_Area: Downtown_
_Type: 3 bedroom apartment_
*Price dynamics, Dirham/sq.ft.*
_(M - median value)_
```5401|    *           *     ```
```    |                      ```
```    |                    * ```
```    |             *        ```
```    |                  ** *```
```3753|---------------------M```
```    | *         *  **      ```
```    |  *  * *  *           ```
```    |   *  * *        *    ```
```    |*           *         ```
```2383|         *            ```
```____|______________________```
```    |Jul2022        Jan2026```
_Source: see table below_
*Latest sales transactions*
```Date   Price  BUA Type P/sf```
```------------2026-----------```
```08Jan  9.15M 2184 XX01 4190```
```07Jan 10.25M 2185 XXXX 4691```
```------------2025-----------```
```06Aug   9.4M 2185 XXXX 4302```
```24Jul     9M 2184 XX01 4121```
```10Jun     7M 2185 XXXX 3204```
```23May  18.5M 3459 XX02 5348```
```------------2024-----------```
```23Feb  8.65M 2184 XX01 3961```
```09Jan  8.55M 2184 XX01 3915```
```------------2023-----------```
```20Oct 11.42M 2506 XX02 4559```
```15Jun   6.7M 2184 XX01 3068```
```04Apr   8.3M 2185 XXXX 3799```
```03Feb   8.1M 2185 XXXX 3707```
```31Jan 5.204M 2184 XX01 2383```
```16Jan   7.5M 2360 XX04 3178```
```------------2022-----------```
```21Dec   7.8M 2184 XX01 3571```
```08Dec   7.5M 2185 XX06 3432```
```30Nov   7.8M 2184 XX01 3571```
```15Nov  11.8M 2184 XX01 5401```
```10Nov  7.05M 2184 XX01 3228```
```29Sep  8.25M 2360 XX04 3496```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</si>
  <si>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1014450, *NEW RE</t>
  </si>
  <si>
    <t>*NEW RENT*
*CONTRACTS**
_(renewals are not included)_
*THE ADDRESS THE BLVD*
_Area: Downtown_
_Type: 3 bedroom apartment_
```Date  Price   BUA  Type D/s```
```------------2025-----------```
```01Sep  475K  2357  XXXX 202```
```01Sep  550K  2185  XXXX 252```
```20Jun  525K  2185  XXXX 240```
```11Jun  540K  2185  XXXX 247```
```12May  500K  2185  XXXX 229```
```10May  500K  2185  XXXX 229```
```20Apr  510K  2185  XXXX 233```
```11Apr  475K  2185  XXXX 217```
```27Feb  400K  2185  XXXX 183```
```04Feb  400K  2357  XXXX 170```
```------------2024-----------```
```15Dec  525K  2185  XXXX 240```
```03Oct  460K  2185  XXXX 211```
```01Oct  650K  2508  XXXX 259```
```16Aug  530K  2185  XXXX 243```
```01Feb  680K  2185  XXXX 311```
```25Jan  600K  2185  XXXX 275```
```------------2023-----------```
```15Dec  500K  2185  XXXX 229```
```01Dec  750K  3455  XXXX 217```
```12Nov  600K  2185  XXXX 275```
```01May  600K  2185  XXXX 275```
_Source: DLD, Databot_
_BUA - built-up area, sq.ft._
_P/sf - price per sq.ft._
_B - bedrooms; O - office_
_M - million, K- thousand_
_S - studio, R - shop_
_*20 latest contracts_
www.trydatabot.com</t>
  </si>
  <si>
    <t>1014452, *SALES*</t>
  </si>
  <si>
    <t>*SALES*
*TRANSACTIONS**
*THE ADDRESS THE BLVD*
_Area: Downtown_
_Type: 4 bedroom apartment_
```Date   Price  BUA Type P/sf```
```------------2025-----------```
```15Dec    18M 2840 XX03 6338```
```11Nov    16M 3426 XX04 4670```
```07Jan  19.3M 3337 XX01 5784```
```------------2024-----------```
```26Jun    19M 3700 XX03 5135```
```10Jun    17M 2840 XX03 5986```
```02May    18M 3700 XX03 4865```
```30Apr    80M 7466 XX02  11K```
```11Mar  16.9M 2840 XX03 5951```
```------------2023-----------```
```28Sep  13.3M 2840 XX03 4683```
```18Sep    11M 2840 XX03 3873```
```29Aug  17.4M 2840 XX01 6127```
```------------2022-----------```
```28Dec  14.5M 2840 XX01 5106```
```19May    18M 3337 XX01 5394```
```09May    15M 3337 XX01 4495```
```------------2021-----------```
```09Feb 6.673M 2864 XX03 2330```
```------------2020-----------```
```30Nov 8.668M 3700 XX03 2343```
```19Jul 19.55M 3426 XX04 5708```
```------------2019-----------```
```10Dec    10M 3336 XX03 2998```
```26May  13.9M 3426 XX04 4058```
```14Mar    10M 3700 XX03 2703```
```20Feb 11.37M 3700 XX03 3072```
```------------2018-----------```
```22Nov 9.516M 2864 XX03 3323```
```14Nov   8.5M 2840 XX03 2993```
```04Nov  16.1M 4938 XX01 3260```
```11Oct 10.41M 3336 XX03 3119```
_Source: DLD, Databot_
_BUA - built-up area, sq.ft._
_P/sf - price per sq.ft._
_B - bedrooms; O - office_
_M - million, K- thousand_
_S - studio, R - shop_
_*Max 30 latest transactions_
www.trydatabot.com</t>
  </si>
  <si>
    <t>1014453, *MARKET</t>
  </si>
  <si>
    <t>*MARKET*
*SNAPSHOT*
*THE ADDRESS THE BLVD*
_Area: Downtown_
_Type: 4 bedroom apartment_
*Price dynamics, Dirham/sq.ft.*
_(M - median value)_
```10715|               *      ```
```    |                      ```
```    |                      ```
```    |                      ```
```    |                      ```
```    |           *         *```
```    |     *   *    *  * *  ```
```4774|---------------------M```
```    |        * *  *  * * * ```
```    |*  *        *         ```
```2330| ** * **              ```
```____|______________________```
```    |Nov2018        Dec2025```
_Source: see table below_
*Latest sales transactions*
```Date   Price  BUA Type P/sf```
```------------2025-----------```
```15Dec    18M 2840 XX03 6338```
```11Nov    16M 3426 XX04 4670```
```07Jan  19.3M 3337 XX01 5784```
```------------2024-----------```
```26Jun    19M 3700 XX03 5135```
```10Jun    17M 2840 XX03 5986```
```02May    18M 3700 XX03 4865```
```30Apr    80M 7466 XX02  11K```
```11Mar  16.9M 2840 XX03 5951```
```------------2023-----------```
```28Sep  13.3M 2840 XX03 4683```
```18Sep    11M 2840 XX03 3873```
```29Aug  17.4M 2840 XX01 6127```
```------------2022-----------```
```28Dec  14.5M 2840 XX01 5106```
```19May    18M 3337 XX01 5394```
```09May    15M 3337 XX01 4495```
```------------2021-----------```
```09Feb 6.673M 2864 XX03 2330```
```------------2020-----------```
```30Nov 8.668M 3700 XX03 2343```
```19Jul 19.55M 3426 XX04 5708```
```------------2019-----------```
```10Dec    10M 3336 XX03 2998```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</si>
  <si>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1014454, *NEW RE</t>
  </si>
  <si>
    <t>*NEW RENT*
*CONTRACTS**
_(renewals are not included)_
*THE ADDRESS THE BLVD*
_Area: Downtown_
_Type: 4 bedroom apartment_
```Date  Price   BUA  Type D/s```
```------------2025-----------```
```28Nov 1.03M  2842  XXXX 361```
```------------2024-----------```
```25Nov  1.3M  2842  XXXX 457```
```24Jun    1M  3423  XXXX 292```
```18May  925K  2906  XXXX 318```
```------------2023-----------```
```25Sep  950K  2842  XXXX 334```
```19Feb  925K  2842  XXXX 325```
```------------2022-----------```
```01Jun  925K  3423  XXXX 270```
```01May  825K  2842  XXXX 290```
```23Feb    1M  2842  XXXX 352```
```------------2021-----------```
```12Oct  800K  2842  XXXX 281```
```21Sep  900K  2906  XXXX 310```
```11Sep  480K  2842  XXXX 169```
```09Sep  700K  2842  XXXX 246```
```01May  575K  2842  XXXX 202```
```21Apr  790K  2842  XXXX 278```
```19Feb  550K  2842  XXXX 194```
_Source: DLD, Databot_
_BUA - built-up area, sq.ft._
_P/sf - price per sq.ft._
_B - bedrooms; O - office_
_M - million, K- thousand_
_S - studio, R - shop_
_*20 latest contracts_
www.trydatabot.com</t>
  </si>
  <si>
    <t>1014456, *SALES*</t>
  </si>
  <si>
    <t>*SALES*
*TRANSACTIONS**
*THE ADDRESS THE BLVD*
_Area: Downtown_
_Type: 5 bedroom apartment_
```Date   Price  BUA Type P/sf```
```------------2025-----------```
```17Nov    20M 3370 XX02 5935```
```12Jun 18.25M 3370 XX02 5415```
```------------2024-----------```
```29Apr    18M 3370 XX02 5341```
```20Mar    16M 3370 XX02 4748```
```19Jan  14.3M 3370 XX02 4243```
```------------2022-----------```
```24Nov  14.8M 3370 XX02 4392```
```------------2021-----------```
```16Feb 12.75M 3370 XX02 3783```
```09Feb  7.93M 3373 XX02 2351```
```------------2018-----------```
```27Nov 7.959M 4510 XX02 1765```
```22Nov 10.95M 3373 XX02 3248```
_Source: DLD, Databot_
_BUA - built-up area, sq.ft._
_P/sf - price per sq.ft._
_B - bedrooms; O - office_
_M - million, K- thousand_
_S - studio, R - shop_
_*Max 30 latest transactions_
www.trydatabot.com</t>
  </si>
  <si>
    <t>1014457, *MARKET</t>
  </si>
  <si>
    <t>*MARKET*
*SNAPSHOT*
*THE ADDRESS THE BLVD*
_Area: Downtown_
_Type: 5 bedroom apartment_
*Price dynamics, Dirham/sq.ft.*
_(M - median value)_
```5935|                     *```
```    |                   ** ```
```    |                      ```
```    |                  *   ```
```4318|---------------------M```
```    |                **    ```
```    |               *      ```
```    |            *         ```
```    |                      ```
```    |              *       ```
```1765|             *        ```
```____|______________________```
```    |Nov2018        Nov2025```
_Source: see table below_
*Latest sales transactions*
```Date   Price  BUA Type P/sf```
```------------2025-----------```
```17Nov    20M 3370 XX02 5935```
```12Jun 18.25M 3370 XX02 5415```
```------------2024-----------```
```29Apr    18M 3370 XX02 5341```
```20Mar    16M 3370 XX02 4748```
```19Jan  14.3M 3370 XX02 4243```
```------------2022-----------```
```24Nov  14.8M 3370 XX02 4392```
```------------2021-----------```
```16Feb 12.75M 3370 XX02 3783```
```09Feb  7.93M 3373 XX02 2351```
```------------2018-----------```
```27Nov 7.959M 4510 XX02 1765```
```22Nov 10.95M 3373 XX02 3248```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</si>
  <si>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1014458, *NEW RE</t>
  </si>
  <si>
    <t>*NEW RENT*
*CONTRACTS**
_(renewals are not included)_
*THE ADDRESS THE BLVD*
_Area: Downtown_
_Type: 5 bedroom apartment_
```Date  Price   BUA  Type D/s```
```------------2024-----------```
```10Oct 1.58M  3369  XXXX 469```
_Source: DLD, Databot_
_BUA - built-up area, sq.ft._
_P/sf - price per sq.ft._
_B - bedrooms; O - office_
_M - million, K- thousand_
_S - studio, R - shop_
_*20 latest contracts_
www.trydatabot.com</t>
  </si>
  <si>
    <t>1014466, *NEW RE</t>
  </si>
  <si>
    <t>*NEW RENT*
*CONTRACTS**
_(renewals are not included)_
*THE ADDRESS THE BLVD*
_Area: Downtown_
_Type: _
```Date  Price   BUA  Type D/s```
```------------2025-----------```
```19Sep  145K   560  XXXX 259```
_Source: DLD, Databot_
_BUA - built-up area, sq.ft._
_P/sf - price per sq.ft._
_B - bedrooms; O - office_
_M - million, K- thousand_
_S - studio, R - shop_
_*20 latest contracts_
www.trydatabot.com</t>
  </si>
  <si>
    <t>1014470, *NEW RE</t>
  </si>
  <si>
    <t>*NEW RENT*
*CONTRACTS**
_(renewals are not included)_
*THE ADDRESS THE BLVD*
_Area: Downtown_
_Type: _
```Date  Price   BUA  Type D/s```
```------------2020-----------```
```01Mar  356K  1475  XXXX 241```
```01Mar  187K   775  XXXX 241```
```------------2017-----------```
```01Mar  650K  1475  XXXX 441```
```01Mar  341K   775  XXXX 440```
_Source: DLD, Databot_
_BUA - built-up area, sq.ft._
_P/sf - price per sq.ft._
_B - bedrooms; O - office_
_M - million, K- thousand_
_S - studio, R - shop_
_*20 latest contracts_
www.trydatabot.com</t>
  </si>
  <si>
    <t>1014484, *NEW RE</t>
  </si>
  <si>
    <t>*NEW RENT*
*CONTRACTS**
_(renewals are not included)_
*THE ADDRESS THE BLVD*
_Area: Downtown_
_All types/bedrooms_
```Date    Price   BUA Type  B```
```------------2026-----------```
```01Jan    300K  1270 XXXX  2```
```------------2025-----------```
```29Dec    280K  1453 XXXX  check```
```18Dec    400K  1798 XXXX  check```
```02Dec  229.4K   904 XXXX  1```
```01Dec    133K   560 XXXX  S```
```28Nov  1.025M  2842 XXXX  4```
```27Nov    135K   560 XXXX  S```
```22Nov    140K   560 XXXX  S```
```20Nov    180K   850 XXXX  1```
```17Nov    100K   560 XXXX  S```
```03Nov    143K   560 XXXX  S```
```01Nov    122K   560 XXXX  S```
```08Oct    360K  1270 XXXX  2```
```08Oct    320K  1270 XXXX  2```
```04Oct    138K   560 XXXX  check```
```03Oct    315K  1453 XXXX  2```
```01Oct    275K  1453 XXXX  2```
```19Sep    145K   560 XXXX  O```
```16Sep   83.3K   560 XXXX  S```
```02Sep    324K  1270 XXXX  2```
_Source: DLD, Databot_
_BUA - built-up area, sq.ft._
_P/sf - price per sq.ft._
_B - bedrooms; O - office_
_M - million, K- thousand_
_S - studio, R - shop_
_*20 latest contracts_
www.trydatabot.com</t>
  </si>
  <si>
    <t>1014485, *SALES*</t>
  </si>
  <si>
    <t>*SALES*
*TRANSACTIONS**
*THE ADDRESS THE BLVD*
_Area: Downtown_
_All types/bedrooms_
```Date    Price   BUA  Type B```
```------------2026-----------```
```08Jan   9.15M  2184  XX01 3```
```07Jan  10.25M  2185  XXXX 3```
```------------2025-----------```
```25Dec   2.85M   905  XX12 1```
```22Dec   2.84M   905  XX16 1```
```15Dec     18M  2840  XX03 4```
```11Dec   3.46M   847  XXXX 1```
```26Nov    7.1M  1750  XX04 2```
```25Nov    2.1M   557  XXXX S```
```24Nov      3M   905  XX16 1```
```17Nov     20M  3370  XX02 5```
```11Nov     16M  3426  XX04 4```
```04Nov    5.7M  1271  XXXX 2```
```03Nov    6.7M  1751  XXXX 2```
```29Oct   2.95M   905  XXXX 1```
```02Oct    2.5M   905  XX16 1```
```02Oct    3.2M   814  XXXX 1```
```29Sep    6.6M  1794  XXXX 2```
```10Sep    4.5M  1449  XXXX 2```
```14Aug  5.175M  1271  XXXX 2```
```06Aug   2.05M   557  XX11 S```
```06Aug    9.4M  2185  XXXX 3```
```01Aug    3.4M   814  XXXX 1```
```24Jul      9M  2184  XX01 3```
```22Jul    6.4M  1750  XX04 2```
```15Jul      3M   905  XXXX 1```
```10Jul      8M  1750  XX04 2```
```09Jul   3.25M   814  XXXX 1```
```26Jun   6.55M  1751  XX04 2```
```12Jun  18.25M  3370  XX02 5```
```10Jun      7M  2185  XXXX 3```
_Source: DLD, Databot_
_BUA - built-up area, sq.ft._
_P/sf - price per sq.ft._
_B - bedrooms; O - office_
_M - million, K- thousand_
_S - studio, R - shop_
_*Max 30 latest transactions_
www.trydatabot.com</t>
  </si>
  <si>
    <t>1014486, by code, *BUILDI</t>
  </si>
  <si>
    <t xml:space="preserve">*BUILDING*
*PROFILE*
*THE ADDRESS THE BLVD*
_Area: Downtown_
_Tap&amp;hold to copy a reply_
```-------------------------```
```Report              Reply```
```-------------------------```
*Studio*
```Sales, ROI        1014436```
```Price chart       1014437```
```Rentals           1014438```
*1 B/R*
```Sales, ROI        1014440```
```Price chart       1014441```
```Rentals           1014442```
*2 B/R*
```Sales, ROI        1014444```
```Price chart       1014445```
```Rentals           1014446```
*3 B/R*
```Sales, ROI        1014448```
```Price chart       1014449```
```Rentals           1014450```
*4 B/R*
```Sales, ROI        1014452```
```Price chart       1014453```
```Rentals           1014454```
*5 B/R*
```Sales, ROI        1014456```
```Price chart       1014457```
```Rentals           1014458```
*All types/bedrooms*
```Sales, ROI        1014485```
```Rentals           1014484```
</t>
  </si>
  <si>
    <t>1014500, *SALES*</t>
  </si>
  <si>
    <t>*SALES*
*TRANSACTIONS (RESALE)**
*THE ADDRESS DOWNTOWN DUBAI*
_Area: Downtown_
_Type: studio apartment_
```Date   Price  BUA Type P/sf```
```------------2026-----------```
```13Jan     2M  519 XXXX 3854```
```------------2025-----------```
```29Dec  1.92M  519 XXXX 3699```
```27Nov   1.8M  519 XXXX 3468```
```20Oct   2.2M  519 XXXX 4239```
```20Oct   2.2M  519 XXXX 4239```
```20Oct   2.2M  519 XXXX 4239```
```15Oct  1.95M  519 XXXX 3757```
```15Oct     2M  519 XXXX 3854```
```26Sep   2.2M  519 XXXX 4239```
```25Sep   2.2M  519 XXXX 4239```
```21Jul   2.6M  519 XXXX 5010```
```02Jul  1.95M  519 XXXX 3757```
```29May   1.9M  519 XXXX 3661```
```07May  1.95M  519 XXXX 3757```
```22Apr 1.875M  519 XXXX 3613```
```22Apr   1.6M  519 XXXX 3083```
```22Apr   1.6M  519 XXXX 3083```
```11Apr     2M  519 XXXX 3854```
```13Mar     2M  519 XXXX 3854```
```10Mar  2.04M  519 XXXX 3931```
```------------2024-----------```
```15Nov  1.85M  519 XXXX 3565```
```24Oct     2M  519 XXXX 3854```
```23Sep  1.95M  519 XXXX 3757```
```12Aug  1.84M  519 XXXX 3545```
```06Aug     2M  519 XXXX 3854```
```24Jun   1.9M  519 XXXX 3661```
```19Jun     2M  519 XXXX 3854```
```28May   1.9M  519 XXXX 3661```
```18Apr     1M  519 XXXX 1927```
```21Mar  2.02M  519 XXXX 3892```
_Source: DLD, Databot_
_BUA - built-up area, sq.ft._
_P/sf - price per sq.ft._
_B - bedrooms; O - office_
_M - million, K- thousand_
_S - studio, R - shop_
_*Max 30 latest transactions_
www.trydatabot.com</t>
  </si>
  <si>
    <t>The Address Downtown Dubai</t>
  </si>
  <si>
    <t>1014501, *MARKET</t>
  </si>
  <si>
    <t>*MARKET*
*SNAPSHOT*
*THE ADDRESS DOWNTOWN DUBAI*
_Area: Downtown_
_Type: studio apartment_
*Price dynamics, Dirham/sq.ft.*
_(M - median value)_
```5010|           *          ```
```    |                      ```
```    |                      ```
```    |                      ```
```    |            **  ***   ```
```    |                      ```
```3854|---------------------M```
```    |* ***   * *   **     *```
```    | *     * *          * ```
```    |                   *  ```
```3083|     **               ```
```____|______________________```
```    |Oct2024        Jan2026```
_Source: see table below_
*Latest sales transactions*
```Date   Price  BUA Type P/sf```
```------------2026-----------```
```13Jan     2M  519 XXXX 3854```
```------------2025-----------```
```29Dec  1.92M  519 XXXX 3699```
```27Nov   1.8M  519 XXXX 3468```
```20Oct   2.2M  519 XXXX 4239```
```20Oct   2.2M  519 XXXX 4239```
```20Oct   2.2M  519 XXXX 4239```
```15Oct  1.95M  519 XXXX 3757```
```15Oct     2M  519 XXXX 3854```
```26Sep   2.2M  519 XXXX 4239```
```25Sep   2.2M  519 XXXX 4239```
```21Jul   2.6M  519 XXXX 5010```
```02Jul  1.95M  519 XXXX 3757```
```29May   1.9M  519 XXXX 3661```
```07May  1.95M  519 XXXX 3757```
```22Apr 1.875M  519 XXXX 3613```
```22Apr   1.6M  519 XXXX 3083```
```22Apr   1.6M  519 XXXX 3083```
```11Apr     2M  519 XXXX 3854```
```13Mar     2M  519 XXXX 3854```
```10Mar  2.04M  519 XXXX 3931```
```------------2024-----------```
```15Nov  1.85M  519 XXXX 3565```
```24Oct     2M  519 XXXX 3854```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</si>
  <si>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1014503, *RESELL</t>
  </si>
  <si>
    <t>*RESELL*
*VS PRIMARY*
*THE ADDRESS DOWNTOWN DUBAI*
_Area: Downtown_
_Type: studio apartment_
*Price dynamics, Dirham/sq.ft.*
_(x - primary; * - resell)_
```5010|           *          ```
```    |                      ```
```    |                      ```
```    |                      ```
```4394|                      ```
```    |            **  ***   ```
```    |                      ```
```    |          x           ```
```    |              **    **```
```3468|                   *  ```
```____|______________________```
```    |Dec1899        Jan2026```
_Source: see a table below_
*Latest resell transactions*
```Date   Price  BUA Type P/sf```
```------------2026-----------```
```13Jan     2M  519 XXXX 3854```
```------------2025-----------```
```29Dec  1.92M  519 XXXX 3699```
```27Nov   1.8M  519 XXXX 3468```
```20Oct   2.2M  519 XXXX 4239```
```20Oct   2.2M  519 XXXX 4239```
```20Oct   2.2M  519 XXXX 4239```
```15Oct  1.95M  519 XXXX 3757```
```15Oct     2M  519 XXXX 3854```
```26Sep   2.2M  519 XXXX 4239```
```25Sep   2.2M  519 XXXX 4239```
```21Jul   2.6M  519 XXXX 5010```
```02Jul  1.95M  519 XXXX 3757```
```29May   1.9M  519 XXXX 3661```
```07May  1.95M  519 XXXX 3757```
```22Apr 1.875M  519 XXXX 3613```
```22Apr   1.6M  519 XXXX 3083```
```22Apr   1.6M  519 XXXX 3083```
*Latest primary transactions*
```------------2025-----------```
```15Oct 2.073M  519 XXXX 3994```</t>
  </si>
  <si>
    <t>1014504, *SALES*</t>
  </si>
  <si>
    <t>*SALES*
*TRANSACTIONS (RESALE)**
*THE ADDRESS DOWNTOWN DUBAI*
_Area: Downtown_
_Type: 1 bedroom apartment_
```Date   Price  BUA Type P/sf```
```------------2026-----------```
```12Jan   4.5M  796 XX14 5653```
```06Jan  3.35M  935 XXXX 3583```
```------------2025-----------```
```24Dec   4.8M  880 XXXX 5455```
```15Dec   4.2M  796 XX14 5276```
```09Dec   3.2M  823 XXXX 3888```
```06Nov   3.2M  927 XXXX 3452```
```03Nov  3.08M  927 XXXX 3323```
```29Oct  3.27M  927 XXXX 3528```
```24Oct  4.05M  796 XXXX 5088```
```22Oct   5.3M  880 XXXX 6023```
```17Oct   3.4M  927 XXXX 3668```
```17Oct 3.425M  738 XXXX 4641```
```16Oct  3.35M  959 XXXX 3493```
```15Oct  3.08M  935 XXXX 3294```
```06Oct   3.8M  796 XXXX 4774```
```28Aug  3.75M  796 XX14 4711```
```21Aug   3.5M  796 XX14 4397```
```20Aug     4M  796 XX14 5025```
```30Jul   3.2M  927 XXXX 3452```
```28Jul   3.3M  927 XXXX 3560```
```21Jul  5.16M  880 XXXX 5864```
```02Jun   3.5M  796 XX14 4397```
```27May   4.1M  796 XX14 5151```
```19May   3.5M  796 XX14 4397```
```13May   3.6M  738 XXXX 4878```
```12May 3.625M  796 XX14 4554```
```25Apr   3.2M  927 XXXX 3452```
```24Apr  4.95M  880 XXXX 5625```
```22Apr   4.5M  880 XXXX 5114```
```22Apr   3.5M  796 XX14 4397```
_Source: DLD, Databot_
_BUA - built-up area, sq.ft._
_P/sf - price per sq.ft._
_B - bedrooms; O - office_
_M - million, K- thousand_
_S - studio, R - shop_
_*Max 30 latest transactions_
www.trydatabot.com</t>
  </si>
  <si>
    <t>1014505, *MARKET</t>
  </si>
  <si>
    <t>*MARKET*
*SNAPSHOT*
*THE ADDRESS DOWNTOWN DUBAI*
_Area: Downtown_
_Type: 1 bedroom apartment_
*Price dynamics, Dirham/sq.ft.*
_(M - median value)_
```6023|            *         ```
```    | *                   *```
```    |                   *  ```
```    |             *    *   ```
```    |    *                 ```
```    |      **  *           ```
```4397|---------------------M```
```    |*    *                ```
```    |                      ```
```    |           *     *  * ```
```3294|  **    **    ***     ```
```____|______________________```
```    |Jun2025        Jan2026```
_Source: see table below_
*Latest sales transactions*
```Date   Price  BUA Type P/sf```
```------------2026-----------```
```12Jan   4.5M  796 XX14 5653```
```06Jan  3.35M  935 XXXX 3583```
```------------2025-----------```
```24Dec   4.8M  880 XXXX 5455```
```15Dec   4.2M  796 XX14 5276```
```09Dec   3.2M  823 XXXX 3888```
```06Nov   3.2M  927 XXXX 3452```
```03Nov  3.08M  927 XXXX 3323```
```29Oct  3.27M  927 XXXX 3528```
```24Oct  4.05M  796 XXXX 5088```
```22Oct   5.3M  880 XXXX 6023```
```17Oct   3.4M  927 XXXX 3668```
```17Oct 3.425M  738 XXXX 4641```
```16Oct  3.35M  959 XXXX 3493```
```15Oct  3.08M  935 XXXX 3294```
```06Oct   3.8M  796 XXXX 4774```
```28Aug  3.75M  796 XX14 4711```
```21Aug   3.5M  796 XX14 4397```
```20Aug     4M  796 XX14 5025```
```30Jul   3.2M  927 XXXX 3452```
```28Jul   3.3M  927 XXXX 3560```
```21Jul  5.16M  880 XXXX 5864```
```02Jun   3.5M  796 XX14 4397```
```27May   4.1M  796 XX14 5151```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</si>
  <si>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1014507, *RESELL</t>
  </si>
  <si>
    <t>*RESELL*
*VS PRIMARY*
*THE ADDRESS DOWNTOWN DUBAI*
_Area: Downtown_
_Type: 1 bedroom apartment_
*Price dynamics, Dirham/sq.ft.*
_(x - primary; * - resell)_
```6023|            *         ```
```    |                   * *```
```    |             *    *   ```
```    |                      ```
```4215|                      ```
```    |           *     *  * ```
```    |              ***     ```
```    |                      ```
```    |                      ```
```1506|          x           ```
```____|______________________```
```    |Dec1899        Jan2026```
_Source: see a table below_
*Latest resell transactions*
```Date   Price  BUA Type P/sf```
```------------2026-----------```
```12Jan   4.5M  796 XX14 5653```
```06Jan  3.35M  935 XXXX 3583```
```------------2025-----------```
```24Dec   4.8M  880 XXXX 5455```
```15Dec   4.2M  796 XX14 5276```
```09Dec   3.2M  823 XXXX 3888```
```06Nov   3.2M  927 XXXX 3452```
```03Nov  3.08M  927 XXXX 3323```
```29Oct  3.27M  927 XXXX 3528```
```24Oct  4.05M  796 XXXX 5088```
```22Oct   5.3M  880 XXXX 6023```
```17Oct   3.4M  927 XXXX 3668```
```17Oct 3.425M  738 XXXX 4641```
```16Oct  3.35M  959 XXXX 3493```
```15Oct  3.08M  935 XXXX 3294```
```06Oct   3.8M  796 XXXX 4774```
```28Aug  3.75M  796 XX14 4711```
```21Aug   3.5M  796 XX14 4397```
*Latest primary transactions*
```------------2025-----------```
```10Jan 1.396M  927 XXXX 1506```</t>
  </si>
  <si>
    <t>1014508, *SALES*</t>
  </si>
  <si>
    <t>*SALES*
*TRANSACTIONS**
*THE ADDRESS DOWNTOWN DUBAI*
_Area: Downtown_
_Type: 2 bedroom apartment_
```Date   Price  BUA Type P/sf```
```------------2026-----------```
```06Jan   8.7M 1848 XXXX 4708```
```------------2025-----------```
```27Nov  10.5M 1732 XXXX 6062```
```11Nov  10.6M 1848 XXXX 5736```
```10Nov  10.8M 1732 XXXX 6236```
```05Nov   9.6M 1848 XXXX 5195```
```21Oct   7.5M 1848 XXXX 4058```
```17Oct   8.3M 1848 XXXX 4491```
```13Oct  9.45M 1732 XXXX 5456```
```17Sep   8.1M 1848 XXXX 4383```
```09Sep   8.4M 1848 XXXX 4545```
```26Aug   8.6M 1732 XXXX 4965```
```25Jul   8.1M 1732 XXXX 4677```
```22Jul   8.5M 1848 XXXX 4600```
```30May  12.8M 1848 XXXX 6926```
```15May   9.2M 1732 XXXX 5312```
```08May   9.5M 1732 XXXX 5485```
```07May   9.5M 1732 XXXX 5485```
```09Apr    11M 1848 XXXX 5952```
```18Mar  8.85M 1848 XXXX 4789```
```21Feb    10M 1732 XXXX 5774```
```10Feb  10.3M 1848 XXXX 5574```
```15Jan    10M 1848 XXXX 5411```
```02Jan    11M 1848 XXXX 5952```
```------------2024-----------```
```03Sep   8.5M 1848 XXXX 4600```
```12Aug 4.445M 1732 XXXX 2567```
```07May    11M 1732 XXXX 6351```
```14Mar   9.2M 1732 XXXX 5312```
```08Mar  10.1M 1848 XXXX 5465```
```07Mar    11M 1732 XXXX 6351```
```06Mar   9.3M 1732 XXXX 5370```
_Source: DLD, Databot_
_BUA - built-up area, sq.ft._
_P/sf - price per sq.ft._
_B - bedrooms; O - office_
_M - million, K- thousand_
_S - studio, R - shop_
_*Max 30 latest transactions_
www.trydatabot.com</t>
  </si>
  <si>
    <t>1014509, *MARKET</t>
  </si>
  <si>
    <t>*MARKET*
*SNAPSHOT*
*THE ADDRESS DOWNTOWN DUBAI*
_Area: Downtown_
_Type: 2 bedroom apartment_
*Price dynamics, Dirham/sq.ft.*
_(M - median value)_
```6926|        *             ```
```    |                      ```
```    |                  *   ```
```    |    *               * ```
```    |  *                *  ```
```5362|---------------------M```
```    |**   **       *       ```
```    |       *         *    ```
```    |   *       *          ```
```    |         ** ** *     *```
```4058|                *     ```
```____|______________________```
```    |Jan2025        Jan2026```
_Source: see table below_
*Latest sales transactions*
```Date   Price  BUA Type P/sf```
```------------2026-----------```
```06Jan   8.7M 1848 XXXX 4708```
```------------2025-----------```
```27Nov  10.5M 1732 XXXX 6062```
```11Nov  10.6M 1848 XXXX 5736```
```10Nov  10.8M 1732 XXXX 6236```
```05Nov   9.6M 1848 XXXX 5195```
```21Oct   7.5M 1848 XXXX 4058```
```17Oct   8.3M 1848 XXXX 4491```
```13Oct  9.45M 1732 XXXX 5456```
```17Sep   8.1M 1848 XXXX 4383```
```09Sep   8.4M 1848 XXXX 4545```
```26Aug   8.6M 1732 XXXX 4965```
```25Jul   8.1M 1732 XXXX 4677```
```22Jul   8.5M 1848 XXXX 4600```
```30May  12.8M 1848 XXXX 6926```
```15May   9.2M 1732 XXXX 5312```
```08May   9.5M 1732 XXXX 5485```
```07May   9.5M 1732 XXXX 5485```
```09Apr    11M 1848 XXXX 5952```
```18Mar  8.85M 1848 XXXX 4789```
```21Feb    10M 1732 XXXX 5774```
```10Feb  10.3M 1848 XXXX 5574```
```15Jan    10M 1848 XXXX 5411```
```02Jan    11M 1848 XXXX 5952```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</si>
  <si>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1014512, *SALES*</t>
  </si>
  <si>
    <t>*SALES*
*TRANSACTIONS**
*THE ADDRESS DOWNTOWN DUBAI*
_Area: Downtown_
_Type: 3 bedroom apartment_
```Date   Price  BUA Type P/sf```
```------------2023-----------```
```16Mar    26M 3231 XX02 8047```
_Source: DLD, Databot_
_BUA - built-up area, sq.ft._
_P/sf - price per sq.ft._
_B - bedrooms; O - office_
_M - million, K- thousand_
_S - studio, R - shop_
_*Max 30 latest transactions_
www.trydatabot.com</t>
  </si>
  <si>
    <t>1014513, *MARKET</t>
  </si>
  <si>
    <t>*MARKET*
*SNAPSHOT*
*THE ADDRESS DOWNTOWN DUBAI*
_Area: Downtown_
_Type: 3 bedroom apartment_
*Price dynamics, Dirham/sq.ft.*
_(M - median value)_
```8047|                     *```
```8047|----------------------```
```    |                     *```
```8047|---------------------M```
```    |                     *```
```8047|---------------------M```
```    |                     *```
```8047|---------------------M```
```    |                     *```
```8047|---------------------M```
```    |                     *```
```____|______________________```
```    |Mar2023        Mar2023```
_Source: see table below_
*Latest sales transactions*
```Date   Price  BUA Type P/sf```
```------------2023-----------```
```16Mar    26M 3231 XX02 8047```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</si>
  <si>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1014516, *SALES*</t>
  </si>
  <si>
    <t>*SALES*
*TRANSACTIONS**
*THE ADDRESS DOWNTOWN DUBAI*
_Area: Downtown_
_Type: 4 bedroom apartment_
```Date   Price  BUA Type P/sf```
```------------2024-----------```
```29May 10.24M 4623 XX01 2215```
```24May 25.62M 3691 XX03 6941```
```------------2023-----------```
```07Apr    10M 3691 XX03 2709```
```------------2022-----------```
```28Nov  22.8M 3738 XX01 6100```
```------------2021-----------```
```26Apr  17.3M 4769 XX03 3628```
```------------2019-----------```
```13Jan  9.35M 3738 XX01 2501```
_Source: DLD, Databot_
_BUA - built-up area, sq.ft._
_P/sf - price per sq.ft._
_B - bedrooms; O - office_
_M - million, K- thousand_
_S - studio, R - shop_
_*Max 30 latest transactions_
www.trydatabot.com</t>
  </si>
  <si>
    <t>1014517, *MARKET</t>
  </si>
  <si>
    <t>*MARKET*
*SNAPSHOT*
*THE ADDRESS DOWNTOWN DUBAI*
_Area: Downtown_
_Type: 4 bedroom apartment_
*Price dynamics, Dirham/sq.ft.*
_(M - median value)_
```6941|                    * ```
```    |                      ```
```    |                  *   ```
```    |                      ```
```    |                      ```
```    |                      ```
```    |                      ```
```    |                 *    ```
```3169|---------------------M```
```    |                   *  ```
```2215|                *    *```
```____|______________________```
```    |Jan2019        May2024```
_Source: see table below_
*Latest sales transactions*
```Date   Price  BUA Type P/sf```
```------------2024-----------```
```29May 10.24M 4623 XX01 2215```
```24May 25.62M 3691 XX03 6941```
```------------2023-----------```
```07Apr    10M 3691 XX03 2709```
```------------2022-----------```
```28Nov  22.8M 3738 XX01 6100```
```------------2021-----------```
```26Apr  17.3M 4769 XX03 3628```
```------------2019-----------```
```13Jan  9.35M 3738 XX01 2501```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</si>
  <si>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1014549, *SALES*</t>
  </si>
  <si>
    <t>*SALES*
*TRANSACTIONS (RESALE)**
*THE ADDRESS DOWNTOWN DUBAI*
_Area: Downtown_
_All types/bedrooms_
```Date    Price   BUA  Type B```
```------------2026-----------```
```13Jan      2M   519  XXXX S```
```12Jan    4.5M   796  XX14 1```
```06Jan   3.35M   935  XXXX 1```
```06Jan    8.7M  1848  XXXX 2```
```------------2025-----------```
```29Dec   1.92M   519  XXXX S```
```24Dec    4.8M   880  XXXX 1```
```15Dec    4.2M   796  XX14 1```
```09Dec    3.2M   823  XXXX 1```
```27Nov   10.5M  1732  XXXX 2```
```27Nov    1.8M   519  XXXX S```
```11Nov   10.6M  1848  XXXX 2```
```10Nov   10.8M  1732  XXXX 2```
```06Nov    3.2M   927  XXXX 1```
```05Nov    9.6M  1848  XXXX 2```
```03Nov   3.08M   927  XXXX 1```
```29Oct   3.27M   927  XXXX 1```
```24Oct   4.05M   796  XXXX 1```
```22Oct    5.3M   880  XXXX 1```
```21Oct    7.5M  1848  XXXX 2```
```20Oct    2.2M   519  XXXX S```
```20Oct    2.2M   519  XXXX S```
```20Oct    2.2M   519  XXXX S```
```17Oct    3.4M   927  XXXX 1```
```17Oct    8.3M  1848  XXXX 2```
```17Oct  3.425M   738  XXXX 1```
```16Oct   3.35M   959  XXXX 1```
```15Oct   3.08M   935  XXXX 1```
```15Oct   1.95M   519  XXXX S```
```15Oct      2M   519  XXXX S```
```13Oct   9.45M  1732  XXXX 2```
_Source: DLD, Databot_
_BUA - built-up area, sq.ft._
_P/sf - price per sq.ft._
_B - bedrooms; O - office_
_M - million, K- thousand_
_S - studio, R - shop_
_*Max 30 latest transactions_
www.trydatabot.com</t>
  </si>
  <si>
    <t>1014550, by code, *BUILDI</t>
  </si>
  <si>
    <t xml:space="preserve">*BUILDING*
*PROFILE*
*THE ADDRESS DOWNTOWN DUBAI*
_Area: Downtown_
_Tap&amp;hold to copy a reply_
```-------------------------```
```Report              Reply```
```-------------------------```
*Studio*
```Resell, ROI       1014500```
```Primary sales     1014551```
```Price chart       1014501```
```Rentals               n/a```
```Appreciation      1014503```
*1 B/R*
```Resell, ROI       1014504```
```Primary sales     1014552```
```Price chart       1014505```
```Rentals               n/a```
```Appreciation      1014507```
*2 B/R*
```Sales, ROI        1014508```
```Price chart       1014509```
```Rentals               n/a```
*3 B/R*
```Sales, ROI        1014512```
```Price chart       1014513```
```Rentals               n/a```
*4 B/R*
```Sales, ROI        1014516```
```Price chart       1014517```
```Rentals               n/a```
*All types/bedrooms*
```Resell, ROI       1014549```
```Primary sales     1014563```
```Rentals               n/a```
</t>
  </si>
  <si>
    <t>1014551, *SALES*</t>
  </si>
  <si>
    <t>*SALES*
*TRANSACTIONS (PRIMARY)**
*THE ADDRESS DOWNTOWN DUBAI*
_Area: Downtown_
_Type: studio apartment_
```Date   Price  BUA Type P/sf```
```------------2025-----------```
```15Oct 2.073M  519 XXXX 3994```
_Source: DLD, Databot_
_BUA - built-up area, sq.ft._
_P/sf - price per sq.ft._
_B - bedrooms; O - office_
_M - million, K- thousand_
_S - studio, R - shop_
_*Max 20 latest transactions_
www.trydatabot.com</t>
  </si>
  <si>
    <t>1014552, *SALES*</t>
  </si>
  <si>
    <t>*SALES*
*TRANSACTIONS (PRIMARY)**
*THE ADDRESS DOWNTOWN DUBAI*
_Area: Downtown_
_Type: 1 bedroom apartment_
```Date   Price  BUA Type P/sf```
```------------2025-----------```
```10Jan 1.396M  927 XXXX 1506```
_Source: DLD, Databot_
_BUA - built-up area, sq.ft._
_P/sf - price per sq.ft._
_B - bedrooms; O - office_
_M - million, K- thousand_
_S - studio, R - shop_
_*Max 20 latest transactions_
www.trydatabot.com</t>
  </si>
  <si>
    <t>1014563, *SALES*</t>
  </si>
  <si>
    <t>*SALES*
*TRANSACTIONS (PRIMARY)**
*THE ADDRESS DOWNTOWN DUBAI*
_Area: Downtown_
_All types/bedrooms_
```Date    Price   BUA  Type B```
```------------2025-----------```
```15Oct  2.073M   519  XXXX S```
```10Jan  1.396M   927  XXXX 1```
_Source: DLD, Databot_
_BUA - built-up area, sq.ft._
_P/sf - price per sq.ft._
_B - bedrooms; O - office_
_M - million, K- thousand_
_S - studio, R - shop_
_*Max 20 latest transactions_
www.trydatabot.com</t>
  </si>
  <si>
    <t>1014568, *SALES*</t>
  </si>
  <si>
    <t>*SALES*
*TRANSACTIONS**
*THE LOFTS CENTRAL*
_Area: Downtown_
_Type: 1 bedroom apartment_
```Date   Price  BUA Type P/sf```
```------------2025-----------```
```29Dec 1.715M  690 XXXX 2486```
```26Jun  1.75M  870 XXXX 2011```
```03Jun  2.35M 1011 XXXX 2324```
```02Jun 1.825M  896 XXXX 2037```
```17Mar 2.215M 1011 XXXX 2191```
```17Feb 1.585M  690 XXXX 2297```
```21Jan 2.025M 1011 XXXX 2003```
```------------2024-----------```
```26Nov   1.5M  690 XXXX 2174```
```28Oct   2.3M  870 XXXX 2644```
```17Oct 1.435M  690 XXXX 2080```
```05Aug  1.85M 1011 XXXX 1830```
```22Jul 2.035M 1299 XXXX 1567```
```18Jul  1.45M  690 XXXX 2101```
```------------2025-----------```
```26Jun  1.75M  870 XXXX 2011```
```03Jun  2.35M 1011 XXXX 2324```
```02Jun 1.825M  896 XXXX 2037```
```17Mar 2.215M 1011 XXXX 2191```
```17Feb 1.585M  690 XXXX 2297```
```21Jan 2.025M 1011 XXXX 2003```
```------------2024-----------```
```26Nov   1.5M  690 XXXX 2174```
```28Oct   2.3M  870 XXXX 2644```
```17Oct 1.435M  690 XXXX 2080```
```05Aug  1.85M 1011 XXXX 1830```
```22Jul 2.035M 1299 XXXX 1567```
```18Jul  1.45M  690 XXXX 2101```
```12Jun  1.66M  870 XX01 1908```
```29May  2.18M  870 XX01 2506```
```23May  1.55M 1011 XX04 1533```
```13May  1.63M  870 XX01 1874```
```22Jan     3M  870 XX01 3448```
_Source: DLD, Databot_
_BUA - built-up area, sq.ft._
_P/sf - price per sq.ft._
_B - bedrooms; O - office_
_M - million, K- thousand_
_S - studio, R - shop_
_*Max 30 latest transactions_
www.trydatabot.com</t>
  </si>
  <si>
    <t>The Lofts Central</t>
  </si>
  <si>
    <t>1014569, *MARKET</t>
  </si>
  <si>
    <t>*MARKET*
*SNAPSHOT*
*THE LOFTS CENTRAL*
_Area: Downtown_
_Type: 1 bedroom apartment_
*Price dynamics, Dirham/sq.ft.*
_(M - median value)_
```2644| *           *        ```
```    |                     *```
```    |                      ```
```    |    *  *        *  *  ```
```    |  *  *        *  *    ```
```2138|---------------------M```
```    |*        *  *         ```
```    |   *  * *      *  * * ```
```    |                      ```
```    |           *          ```
```1567|          *           ```
```____|______________________```
```    |Jul2024        Dec2025```
_Source: see table below_
*Latest sales transactions*
```Date   Price  BUA Type P/sf```
```------------2025-----------```
```29Dec 1.715M  690 XXXX 2486```
```26Jun  1.75M  870 XXXX 2011```
```03Jun  2.35M 1011 XXXX 2324```
```02Jun 1.825M  896 XXXX 2037```
```17Mar 2.215M 1011 XXXX 2191```
```17Feb 1.585M  690 XXXX 2297```
```21Jan 2.025M 1011 XXXX 2003```
```------------2024-----------```
```26Nov   1.5M  690 XXXX 2174```
```28Oct   2.3M  870 XXXX 2644```
```17Oct 1.435M  690 XXXX 2080```
```05Aug  1.85M 1011 XXXX 1830```
```22Jul 2.035M 1299 XXXX 1567```
```18Jul  1.45M  690 XXXX 2101```
```------------2025-----------```
```26Jun  1.75M  870 XXXX 2011```
```03Jun  2.35M 1011 XXXX 2324```
```02Jun 1.825M  896 XXXX 2037```
```17Mar 2.215M 1011 XXXX 2191```
```17Feb 1.585M  690 XXXX 2297```
```21Jan 2.025M 1011 XXXX 2003```
```------------2024-----------```
```26Nov   1.5M  690 XXXX 2174```
```28Oct   2.3M  870 XXXX 2644```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</si>
  <si>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1014572, *SALES*</t>
  </si>
  <si>
    <t>*SALES*
*TRANSACTIONS**
*THE LOFTS CENTRAL*
_Area: Downtown_
_Type: 2 bedroom apartment_
```Date   Price  BUA Type P/sf```
```------------2026-----------```
```19Jan  2.75M 1333 XXXX 2063```
```------------2025-----------```
```02Oct     3M 1416 XXXX 2119```
```10Jul  2.75M 1416 XXXX 1942```
```04Jul   2.2M 1333 XXXX 1650```
```10Mar     3M 1416 XXXX 2119```
```------------2024-----------```
```30Aug  2.77M 1416 XXXX 1956```
```29Aug  2.45M 1416 XXXX 1730```
```------------2025-----------```
```10Jul  2.75M 1416 XXXX 1942```
```04Jul   2.2M 1333 XXXX 1650```
```10Mar     3M 1416 XXXX 2119```
```------------2024-----------```
```30Aug  2.77M 1416 XXXX 1956```
```29Aug  2.45M 1416 XXXX 1730```
```23May  2.58M 1333 XX02 1935```
```06May   2.6M 1333 XX02 1950```
```01May     3M 1416 XX03 2119```
```01Mar  2.52M 1416 XX03 1780```
```05Jan   2.2M 1416 XX03 1554```
```------------2023-----------```
```30Nov  2.15M 1333 XX02 1613```
```02Nov   2.1M 1416 XX03 1483```
```06Apr   1.7M 1416 XX03 1201```
```------------2021-----------```
```06Oct 2.265M 1333 XX02 1699```
```27Jul 1.825M 1333 XX02 1369```
```14Mar   1.5M 1333 XX02 1125```
```31Jan   600K 1333 XX02  450```
```------------2020-----------```
```24Sep 1.338M 1333 XX02 1004```
```23Jul  1.31M 1333 XX02  983```
```13Apr   1.4M 1333 XX02 1050```
```------------2019-----------```
```23Dec 1.375M 1333 XX02 1032```
```02Sep  1.55M 1333 XX02 1163```
```02Apr   1.8M 1333 XX02 1350```
_Source: DLD, Databot_
_BUA - built-up area, sq.ft._
_P/sf - price per sq.ft._
_B - bedrooms; O - office_
_M - million, K- thousand_
_S - studio, R - shop_
_*Max 30 latest transactions_
www.trydatabot.com</t>
  </si>
  <si>
    <t>1014573, *MARKET</t>
  </si>
  <si>
    <t>*MARKET*
*SNAPSHOT*
*THE LOFTS CENTRAL*
_Area: Downtown_
_Type: 2 bedroom apartment_
*Price dynamics, Dirham/sq.ft.*
_(M - median value)_
```2119|       *    *    *  * ```
```    |                     *```
```    |        ** *  * *  *  ```
```1858|---------------------M```
```    |                      ```
```    |      *   *    *      ```
```    | *           *    *   ```
```    |     *                ```
```    |   *                  ```
```    |*                     ```
```1201|  *                   ```
```____|______________________```
```    |Jul2021        Jan2026```
_Source: see table below_
*Latest sales transactions*
```Date   Price  BUA Type P/sf```
```------------2026-----------```
```19Jan  2.75M 1333 XXXX 2063```
```------------2025-----------```
```02Oct     3M 1416 XXXX 2119```
```10Jul  2.75M 1416 XXXX 1942```
```04Jul   2.2M 1333 XXXX 1650```
```10Mar     3M 1416 XXXX 2119```
```------------2024-----------```
```30Aug  2.77M 1416 XXXX 1956```
```29Aug  2.45M 1416 XXXX 1730```
```------------2025-----------```
```10Jul  2.75M 1416 XXXX 1942```
```04Jul   2.2M 1333 XXXX 1650```
```10Mar     3M 1416 XXXX 2119```
```------------2024-----------```
```30Aug  2.77M 1416 XXXX 1956```
```29Aug  2.45M 1416 XXXX 1730```
```23May  2.58M 1333 XX02 1935```
```06May   2.6M 1333 XX02 1950```
```01May     3M 1416 XX03 2119```
```01Mar  2.52M 1416 XX03 1780```
```05Jan   2.2M 1416 XX03 1554```
```------------2023-----------```
```30Nov  2.15M 1333 XX02 1613```
```02Nov   2.1M 1416 XX03 1483```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</si>
  <si>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1014576, *SALES*</t>
  </si>
  <si>
    <t>*SALES*
*TRANSACTIONS**
*THE LOFTS CENTRAL*
_Area: Downtown_
_Type: 3 bedroom apartment_
```Date   Price  BUA Type P/sf```
```------------2018-----------```
```15Feb   4.5M 2318 XX02 1941```
_Source: DLD, Databot_
_BUA - built-up area, sq.ft._
_P/sf - price per sq.ft._
_B - bedrooms; O - office_
_M - million, K- thousand_
_S - studio, R - shop_
_*Max 30 latest transactions_
www.trydatabot.com</t>
  </si>
  <si>
    <t>1014577, *MARKET</t>
  </si>
  <si>
    <t>*MARKET*
*SNAPSHOT*
*THE LOFTS CENTRAL*
_Area: Downtown_
_Type: 3 bedroom apartment_
*Price dynamics, Dirham/sq.ft.*
_(M - median value)_
```1941|                     *```
```1941|----------------------```
```    |                     *```
```1941|---------------------M```
```    |                     *```
```1941|---------------------M```
```    |                     *```
```1941|---------------------M```
```    |                     *```
```1941|---------------------M```
```    |                     *```
```____|______________________```
```    |Feb2018        Feb2018```
_Source: see table below_
*Latest sales transactions*
```Date   Price  BUA Type P/sf```
```------------2018-----------```
```15Feb   4.5M 2318 XX02 1941```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</si>
  <si>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1014613, *SALES*</t>
  </si>
  <si>
    <t>*SALES*
*TRANSACTIONS**
*THE LOFTS CENTRAL*
_Area: Downtown_
_All types/bedrooms_
```Date    Price   BUA  Type B```
```------------2026-----------```
```19Jan   2.75M  1333  XXXX 2```
```------------2025-----------```
```29Dec  1.715M   690  XXXX 1```
```02Oct      3M  1416  XXXX 2```
```10Jul   2.75M  1416  XXXX 2```
```04Jul    2.2M  1333  XXXX 2```
```26Jun   1.75M   870  XXXX 1```
```03Jun   2.35M  1011  XXXX 1```
```02Jun  1.825M   896  XXXX 1```
```17Mar  2.215M  1011  XXXX 1```
```10Mar      3M  1416  XXXX 2```
```17Feb  1.585M   690  XXXX 1```
```21Jan  2.025M  1011  XXXX 1```
```------------2024-----------```
```26Nov    1.5M   690  XXXX 1```
```28Oct    2.3M   870  XXXX 1```
```17Oct  1.435M   690  XXXX 1```
```30Aug   2.77M  1416  XXXX 2```
```29Aug   2.45M  1416  XXXX 2```
```05Aug   1.85M  1011  XXXX 1```
```22Jul  2.035M  1299  XXXX 1```
```18Jul   1.45M   690  XXXX 1```
```------------2025-----------```
```10Jul   2.75M  1416  XXXX 2```
```04Jul    2.2M  1333  XXXX 2```
```26Jun   1.75M   870  XXXX 1```
```03Jun   2.35M  1011  XXXX 1```
```02Jun  1.825M   896  XXXX 1```
```17Mar  2.215M  1011  XXXX 1```
```10Mar      3M  1416  XXXX 2```
```17Feb  1.585M   690  XXXX 1```
```21Jan  2.025M  1011  XXXX 1```
```------------2024-----------```
```26Nov    1.5M   690  XXXX 1```
_Source: DLD, Databot_
_BUA - built-up area, sq.ft._
_P/sf - price per sq.ft._
_B - bedrooms; O - office_
_M - million, K- thousand_
_S - studio, R - shop_
_*Max 30 latest transactions_
www.trydatabot.com</t>
  </si>
  <si>
    <t>1014614, by code, *BUILDI</t>
  </si>
  <si>
    <t xml:space="preserve">*BUILDING*
*PROFILE*
*THE LOFTS CENTRAL*
_Area: Downtown_
_Tap&amp;hold to copy a reply_
```-------------------------```
```Report              Reply```
```-------------------------```
*1 B/R*
```Sales, ROI        1014568```
```Price chart       1014569```
```Rentals               n/a```
*2 B/R*
```Sales, ROI        1014572```
```Price chart       1014573```
```Rentals               n/a```
*3 B/R*
```Sales, ROI        1014576```
```Price chart       1014577```
```Rentals               n/a```
*All types/bedrooms*
```Sales, ROI        1014613```
```Rentals               n/a```
</t>
  </si>
  <si>
    <t>1014632, *SALES*</t>
  </si>
  <si>
    <t>*SALES*
*TRANSACTIONS**
*THE LOFTS EAST*
_Area: Downtown_
_Type: 1 bedroom apartment_
```Date   Price  BUA Type P/sf```
```------------2025-----------```
```10Sep  1.87M  745 XXXX 2510```
```15Aug   1.8M  884 XXXX 2036```
```20Jun   2.1M  884 XXXX 2376```
```02May  1.68M  884 XXXX 1900```
```01May  1.95M  916 XXXX 2129```
```28Apr  2.15M  745 XXXX 2886```
```13Jan   1.8M  884 XXXX 2036```
```------------2024-----------```
```23Dec 2.035M  916 XXXX 2222```
```09Dec   1.4M  745 XXXX 1879```
```13Nov   2.3M  745 XXXX 3087```
```07Oct 1.735M  745 XXXX 2329```
```01Oct  1.65M  745 XXXX 2215```
```20Aug  1.65M  916 XXXX 1801```
```29Jul   1.6M  745 XXXX 2148```
```10Jul  1.55M  745 XXXX 2081```
```------------2025-----------```
```15Aug   1.8M  884 XXXX 2036```
```20Jun   2.1M  884 XXXX 2376```
```02May  1.68M  884 XXXX 1900```
```01May  1.95M  916 XXXX 2129```
```28Apr  2.15M  745 XXXX 2886```
```13Jan   1.8M  884 XXXX 2036```
```------------2024-----------```
```23Dec 2.035M  916 XXXX 2222```
```09Dec   1.4M  745 XXXX 1879```
```13Nov   2.3M  745 XXXX 3087```
```07Oct 1.735M  745 XXXX 2329```
```01Oct  1.65M  745 XXXX 2215```
```20Aug  1.65M  916 XXXX 1801```
```29Jul   1.6M  745 XXXX 2148```
```10Jul  1.55M  745 XXXX 2081```
```13Jun  1.63M  884 XX04 1844```
_Source: DLD, Databot_
_BUA - built-up area, sq.ft._
_P/sf - price per sq.ft._
_B - bedrooms; O - office_
_M - million, K- thousand_
_S - studio, R - shop_
_*Max 30 latest transactions_
www.trydatabot.com</t>
  </si>
  <si>
    <t>The Lofts East</t>
  </si>
  <si>
    <t>1014633, *MARKET</t>
  </si>
  <si>
    <t>*MARKET*
*SNAPSHOT*
*THE LOFTS EAST*
_Area: Downtown_
_Type: 1 bedroom apartment_
*Price dynamics, Dirham/sq.ft.*
_(M - median value)_
```3087|            *         ```
```    |                      ```
```    |  *             *     ```
```    |                      ```
```    |                     *```
```    |                      ```
```    |     *     *       *  ```
```2139|---------------------M```
```    |*  *    * *   *  *    ```
```    | *    **       *    * ```
```1801|    *    *   *    *   ```
```____|______________________```
```    |Jul2024        Sep2025```
_Source: see table below_
*Latest sales transactions*
```Date   Price  BUA Type P/sf```
```------------2025-----------```
```10Sep  1.87M  745 XXXX 2510```
```15Aug   1.8M  884 XXXX 2036```
```20Jun   2.1M  884 XXXX 2376```
```02May  1.68M  884 XXXX 1900```
```01May  1.95M  916 XXXX 2129```
```28Apr  2.15M  745 XXXX 2886```
```13Jan   1.8M  884 XXXX 2036```
```------------2024-----------```
```23Dec 2.035M  916 XXXX 2222```
```09Dec   1.4M  745 XXXX 1879```
```13Nov   2.3M  745 XXXX 3087```
```07Oct 1.735M  745 XXXX 2329```
```01Oct  1.65M  745 XXXX 2215```
```20Aug  1.65M  916 XXXX 1801```
```29Jul   1.6M  745 XXXX 2148```
```10Jul  1.55M  745 XXXX 2081```
```------------2025-----------```
```15Aug   1.8M  884 XXXX 2036```
```20Jun   2.1M  884 XXXX 2376```
```02May  1.68M  884 XXXX 1900```
```01May  1.95M  916 XXXX 2129```
```28Apr  2.15M  745 XXXX 2886```
```13Jan   1.8M  884 XXXX 2036```
```------------2024-----------```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</si>
  <si>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1014636, *SALES*</t>
  </si>
  <si>
    <t>*SALES*
*TRANSACTIONS**
*THE LOFTS EAST*
_Area: Downtown_
_Type: 2 bedroom apartment_
```Date   Price  BUA Type P/sf```
```------------2026-----------```
```08Jan   2.7M 1297 XXXX 2082```
```------------2025-----------```
```20Nov  2.45M 1297 XXXX 1889```
```12Nov   2.9M 1433 XXXX 2024```
```27Oct   2.8M 1297 XXXX 2159```
```15Oct  2.99M 1433 XXXX 2087```
```25Jul  2.95M 1433 XXXX 2059```
```10Jul   2.6M 1297 XXXX 2005```
```29Apr   3.2M 1241 XXXX 2579```
```14Mar  2.85M 1297 XXXX 2197```
```28Feb  2.55M 1297 XXXX 1966```
```11Feb 2.515M 1241 XXXX 2027```
```------------2024-----------```
```07Nov     3M 1241 XXXX 2417```
```14Oct 2.375M 1433 XXXX 1657```
```09Aug 2.825M 1295 XXXX 2181```
```29Jul   2.5M 1297 XXXX 1928```
```28Jun   2.2M 1297 XXXX 1696```
```------------2025-----------```
```25Jul  2.95M 1433 XXXX 2059```
```10Jul   2.6M 1297 XXXX 2005```
```29Apr   3.2M 1241 XXXX 2579```
```14Mar  2.85M 1297 XXXX 2197```
```28Feb  2.55M 1297 XXXX 1966```
```11Feb 2.515M 1241 XXXX 2027```
```------------2024-----------```
```07Nov     3M 1241 XXXX 2417```
```14Oct 2.375M 1433 XXXX 1657```
```09Aug 2.825M 1295 XXXX 2181```
```29Jul   2.5M 1297 XXXX 1928```
```28Jun   2.2M 1297 XXXX 1696```
```10Jun   2.3M 1241 XX03 1853```
```15Mar   2.5M 1433 XX02 1745```
```14Feb 2.325M 1433 XX02 1622```
_Source: DLD, Databot_
_BUA - built-up area, sq.ft._
_P/sf - price per sq.ft._
_B - bedrooms; O - office_
_M - million, K- thousand_
_S - studio, R - shop_
_*Max 30 latest transactions_
www.trydatabot.com</t>
  </si>
  <si>
    <t>1014637, *MARKET</t>
  </si>
  <si>
    <t>*MARKET*
*SNAPSHOT*
*THE LOFTS EAST*
_Area: Downtown_
_Type: 2 bedroom apartment_
*Price dynamics, Dirham/sq.ft.*
_(M - median value)_
```2579|   *          *       ```
```    |                      ```
```    |          *           ```
```    |                      ```
```    |  *     *    *        ```
```    |                 **  *```
```2043|---------------------M```
```    |*   **     *   **  *  ```
```    | *     *    *         ```
```    |                      ```
```1657|      *  *            ```
```____|______________________```
```    |Jun2024        Jan2026```
_Source: see table below_
*Latest sales transactions*
```Date   Price  BUA Type P/sf```
```------------2026-----------```
```08Jan   2.7M 1297 XXXX 2082```
```------------2025-----------```
```20Nov  2.45M 1297 XXXX 1889```
```12Nov   2.9M 1433 XXXX 2024```
```27Oct   2.8M 1297 XXXX 2159```
```15Oct  2.99M 1433 XXXX 2087```
```25Jul  2.95M 1433 XXXX 2059```
```10Jul   2.6M 1297 XXXX 2005```
```29Apr   3.2M 1241 XXXX 2579```
```14Mar  2.85M 1297 XXXX 2197```
```28Feb  2.55M 1297 XXXX 1966```
```11Feb 2.515M 1241 XXXX 2027```
```------------2024-----------```
```07Nov     3M 1241 XXXX 2417```
```14Oct 2.375M 1433 XXXX 1657```
```09Aug 2.825M 1295 XXXX 2181```
```29Jul   2.5M 1297 XXXX 1928```
```28Jun   2.2M 1297 XXXX 1696```
```------------2025-----------```
```25Jul  2.95M 1433 XXXX 2059```
```10Jul   2.6M 1297 XXXX 2005```
```29Apr   3.2M 1241 XXXX 2579```
```14Mar  2.85M 1297 XXXX 2197```
```28Feb  2.55M 1297 XXXX 1966```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</si>
  <si>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1014677, *SALES*</t>
  </si>
  <si>
    <t>*SALES*
*TRANSACTIONS**
*THE LOFTS EAST*
_Area: Downtown_
_All types/bedrooms_
```Date    Price   BUA  Type B```
```------------2026-----------```
```08Jan    2.7M  1297  XXXX 2```
```------------2025-----------```
```20Nov   2.45M  1297  XXXX 2```
```12Nov    2.9M  1433  XXXX 2```
```27Oct    2.8M  1297  XXXX 2```
```15Oct   2.99M  1433  XXXX 2```
```10Sep   1.87M   745  XXXX 1```
```15Aug    1.8M   884  XXXX 1```
```25Jul   2.95M  1433  XXXX 2```
```10Jul    2.6M  1297  XXXX 2```
```20Jun    2.1M   884  XXXX 1```
```02May   1.68M   884  XXXX 1```
```01May   1.95M   916  XXXX 1```
```29Apr    3.2M  1241  XXXX 2```
```28Apr   2.15M   745  XXXX 1```
```14Mar   2.85M  1297  XXXX 2```
```28Feb   2.55M  1297  XXXX 2```
```11Feb  2.515M  1241  XXXX 2```
```13Jan    1.8M   884  XXXX 1```
```------------2024-----------```
```23Dec  2.035M   916  XXXX 1```
```09Dec    1.4M   745  XXXX 1```
```13Nov    2.3M   745  XXXX 1```
```07Nov      3M  1241  XXXX 2```
```14Oct  2.375M  1433  XXXX 2```
```07Oct  1.735M   745  XXXX 1```
```01Oct   1.65M   745  XXXX 1```
```20Aug   1.65M   916  XXXX 1```
```09Aug  2.825M  1295  XXXX 2```
```29Jul    2.5M  1297  XXXX 2```
```29Jul    1.6M   745  XXXX 1```
```10Jul   1.55M   745  XXXX 1```
_Source: DLD, Databot_
_BUA - built-up area, sq.ft._
_P/sf - price per sq.ft._
_B - bedrooms; O - office_
_M - million, K- thousand_
_S - studio, R - shop_
_*Max 30 latest transactions_
www.trydatabot.com</t>
  </si>
  <si>
    <t>1014678, by code, *BUILDI</t>
  </si>
  <si>
    <t xml:space="preserve">*BUILDING*
*PROFILE*
*THE LOFTS EAST*
_Area: Downtown_
_Tap&amp;hold to copy a reply_
```-------------------------```
```Report              Reply```
```-------------------------```
*1 B/R*
```Sales, ROI        1014632```
```Price chart       1014633```
```Rentals               n/a```
*2 B/R*
```Sales, ROI        1014636```
```Price chart       1014637```
```Rentals               n/a```
*All types/bedrooms*
```Sales, ROI        1014677```
```Rentals               n/a```
</t>
  </si>
  <si>
    <t>1014696, *SALES*</t>
  </si>
  <si>
    <t>*SALES*
*TRANSACTIONS**
*THE LOFTS WEST*
_Area: Downtown_
_Type: 1 bedroom apartment_
```Date   Price  BUA Type P/sf```
```------------2025-----------```
```29Aug   1.9M  916 XXXX 2074```
```13May  1.95M  745 XXXX 2617```
```30Apr   1.8M  916 XXXX 1965```
```20Jan  1.74M  884 XXXX 1968```
```14Jan  1.62M  884 XXXX 1833```
```------------2024-----------```
```11Nov 1.635M  884 XXXX 1850```
```08Nov 1.696M  884 XXXX 1919```
```11Jul   1.5M  884 XXXX 1697```
```05Jul  1.56M  745 XXXX 2094```
```17Jun  1.49M  874 XXXX 1705```
```------------2025-----------```
```29Aug   1.9M  916 XXXX 2074```
```13May  1.95M  745 XXXX 2617```
```30Apr   1.8M  916 XXXX 1965```
```20Jan  1.74M  884 XXXX 1968```
```14Jan  1.62M  884 XXXX 1833```
```------------2024-----------```
```11Nov 1.635M  884 XXXX 1850```
```08Nov 1.696M  884 XXXX 1919```
```11Jul   1.5M  884 XXXX 1697```
```05Jul  1.56M  745 XXXX 2094```
```17Jun  1.49M  874 XXXX 1705```
```------------2025-----------```
```29Aug   1.9M  916 XXXX 2074```
```------------2024-----------```
```13May  1.78M  884 XX04 2014```
```29Apr 1.351M  884 XX04 1529```
```29Feb  1.43M  745 XX06 1919```
```21Feb   1.7M  745 XX06 2282```
```07Feb 1.609M  745 XX06 2160```
```30Jan   1.8M  745 XX06 2416```
```------------2023-----------```
```18Dec   1.5M  916 XX05 1638```
```05Dec  1.55M  745 XX06 2081```
```01Dec  1.61M  916 XX05 1758```
_Source: DLD, Databot_
_BUA - built-up area, sq.ft._
_P/sf - price per sq.ft._
_B - bedrooms; O - office_
_M - million, K- thousand_
_S - studio, R - shop_
_*Max 30 latest transactions_
www.trydatabot.com</t>
  </si>
  <si>
    <t>The Lofts West</t>
  </si>
  <si>
    <t>1014697, *MARKET</t>
  </si>
  <si>
    <t>*MARKET*
*SNAPSHOT*
*THE LOFTS WEST*
_Area: Downtown_
_Type: 1 bedroom apartment_
*Price dynamics, Dirham/sq.ft.*
_(M - median value)_
```2617|          *         * ```
```    |                      ```
```    |                      ```
```    |                      ```
```    |                      ```
```    |                      ```
```    | * *       * *       *```
```1965|---------------------M```
```    |*       **        **  ```
```    |     ***       ***    ```
```1697|  * *       * *       ```
```____|______________________```
```    |May2024        Aug2025```
_Source: see table below_
*Latest sales transactions*
```Date   Price  BUA Type P/sf```
```------------2025-----------```
```29Aug   1.9M  916 XXXX 2074```
```13May  1.95M  745 XXXX 2617```
```30Apr   1.8M  916 XXXX 1965```
```20Jan  1.74M  884 XXXX 1968```
```14Jan  1.62M  884 XXXX 1833```
```------------2024-----------```
```11Nov 1.635M  884 XXXX 1850```
```08Nov 1.696M  884 XXXX 1919```
```11Jul   1.5M  884 XXXX 1697```
```05Jul  1.56M  745 XXXX 2094```
```17Jun  1.49M  874 XXXX 1705```
```------------2025-----------```
```29Aug   1.9M  916 XXXX 2074```
```13May  1.95M  745 XXXX 2617```
```30Apr   1.8M  916 XXXX 1965```
```20Jan  1.74M  884 XXXX 1968```
```14Jan  1.62M  884 XXXX 1833```
```------------2024-----------```
```11Nov 1.635M  884 XXXX 1850```
```08Nov 1.696M  884 XXXX 1919```
```11Jul   1.5M  884 XXXX 1697```
```05Jul  1.56M  745 XXXX 2094```
```17Jun  1.49M  874 XXXX 1705```
```------------2025-----------```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</si>
  <si>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1014700, *SALES*</t>
  </si>
  <si>
    <t>*SALES*
*TRANSACTIONS**
*THE LOFTS WEST*
_Area: Downtown_
_Type: 2 bedroom apartment_
```Date   Price  BUA Type P/sf```
```------------2026-----------```
```06Jan  3.35M 1433 XXXX 2338```
```------------2025-----------```
```29Dec 2.525M 1241 XXXX 2035```
```15Dec  2.65M 1241 XXXX 2135```
```19Nov  2.45M 1297 XXXX 1889```
```15Aug  2.45M 1241 XXXX 1974```
```08Jul 2.575M 1253 XX06 2055```
```19Jun   2.5M 1297 XXXX 1928```
```22Apr  2.65M 1433 XXXX 1849```
```18Feb 2.525M 1241 XXXX 2035```
```07Feb   2.9M 1356 XXXX 2139```
```------------2024-----------```
```28Oct  2.35M 1297 XXXX 1812```
```17Oct  2.58M 1297 XXXX 1989```
```------------2025-----------```
```15Aug  2.45M 1241 XXXX 1974```
```08Jul 2.575M 1253 XXXX 2055```
```19Jun   2.5M 1297 XXXX 1928```
```22Apr  2.65M 1433 XXXX 1849```
```18Feb 2.525M 1241 XXXX 2035```
```07Feb   2.9M 1356 XXXX 2139```
```------------2024-----------```
```28Oct  2.35M 1297 XXXX 1812```
```17Oct  2.58M 1297 XXXX 1989```
```------------2025-----------```
```15Aug  2.45M 1241 XXXX 1974```
```------------2024-----------```
```14May   2.3M 1241 XX03 1853```
```01May 2.325M 1241 XX03 1873```
```25Mar   2.8M 1433 XX02 1954```
```15Mar   2.4M 1241 XX03 1934```
```------------2023-----------```
```28Sep  1.97M 1241 XX03 1587```
```20Jul  2.55M 1433 XX02 1779```
```19Jul  2.35M 1433 XX02 1640```
```16Jun  2.45M 1297 XX01 1889```
```17May  2.55M 1297 XX01 1966```
_Source: DLD, Databot_
_BUA - built-up area, sq.ft._
_P/sf - price per sq.ft._
_B - bedrooms; O - office_
_M - million, K- thousand_
_S - studio, R - shop_
_*Max 30 latest transactions_
www.trydatabot.com</t>
  </si>
  <si>
    <t>1014701, *MARKET</t>
  </si>
  <si>
    <t>*MARKET*
*SNAPSHOT*
*THE LOFTS WEST*
_Area: Downtown_
_Type: 2 bedroom apartment_
*Price dynamics, Dirham/sq.ft.*
_(M - median value)_
```2338|                     *```
```    |                      ```
```    |                      ```
```    |                      ```
```    |    *       *      *  ```
```    |        *       *     ```
```    |     *       *      * ```
```1982|---------------------M```
```    | **      **      *    ```
```    |       *       *  *   ```
```1812|*  *  *    *  *       ```
```____|______________________```
```    |May2024        Jan2026```
_Source: see table below_
*Latest sales transactions*
```Date   Price  BUA Type P/sf```
```------------2026-----------```
```06Jan  3.35M 1433 XXXX 2338```
```------------2025-----------```
```29Dec 2.525M 1241 XXXX 2035```
```15Dec  2.65M 1241 XXXX 2135```
```19Nov  2.45M 1297 XXXX 1889```
```15Aug  2.45M 1241 XXXX 1974```
```08Jul 2.575M 1253 XX06 2055```
```19Jun   2.5M 1297 XXXX 1928```
```22Apr  2.65M 1433 XXXX 1849```
```18Feb 2.525M 1241 XXXX 2035```
```07Feb   2.9M 1356 XXXX 2139```
```------------2024-----------```
```28Oct  2.35M 1297 XXXX 1812```
```17Oct  2.58M 1297 XXXX 1989```
```------------2025-----------```
```15Aug  2.45M 1241 XXXX 1974```
```08Jul 2.575M 1253 XXXX 2055```
```19Jun   2.5M 1297 XXXX 1928```
```22Apr  2.65M 1433 XXXX 1849```
```18Feb 2.525M 1241 XXXX 2035```
```07Feb   2.9M 1356 XXXX 2139```
```------------2024-----------```
```28Oct  2.35M 1297 XXXX 1812```
```17Oct  2.58M 1297 XXXX 1989```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</si>
  <si>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1014741, *SALES*</t>
  </si>
  <si>
    <t>*SALES*
*TRANSACTIONS**
*THE LOFTS WEST*
_Area: Downtown_
_All types/bedrooms_
```Date    Price   BUA  Type B```
```------------2026-----------```
```06Jan   3.35M  1433  XXXX 2```
```------------2025-----------```
```29Dec  2.525M  1241  XXXX 2```
```15Dec   2.65M  1241  XXXX 2```
```19Nov   2.45M  1297  XXXX 2```
```29Aug    1.9M   916  XXXX 1```
```15Aug   2.45M  1241  XXXX 2```
```08Jul  2.575M  1253  XX06 2```
```19Jun    2.5M  1297  XXXX 2```
```13May   1.95M   745  XXXX 1```
```30Apr    1.8M   916  XXXX 1```
```22Apr   2.65M  1433  XXXX 2```
```18Feb  2.525M  1241  XXXX 2```
```07Feb    2.9M  1356  XXXX 2```
```20Jan   1.74M   884  XXXX 1```
```14Jan   1.62M   884  XXXX 1```
```------------2024-----------```
```11Nov  1.635M   884  XXXX 1```
```08Nov  1.696M   884  XXXX 1```
```28Oct   2.35M  1297  XXXX 2```
```17Oct   2.58M  1297  XXXX 2```
```11Jul    1.5M   884  XXXX 1```
```05Jul   1.56M   745  XXXX 1```
```17Jun   1.49M   874  XXXX 1```
```------------2025-----------```
```29Aug    1.9M   916  XXXX 1```
```15Aug   2.45M  1241  XXXX 2```
```08Jul  2.575M  1253  XXXX 2```
```19Jun    2.5M  1297  XXXX 2```
```13May   1.95M   745  XXXX 1```
```30Apr    1.8M   916  XXXX 1```
```22Apr   2.65M  1433  XXXX 2```
```18Feb  2.525M  1241  XXXX 2```
_Source: DLD, Databot_
_BUA - built-up area, sq.ft._
_P/sf - price per sq.ft._
_B - bedrooms; O - office_
_M - million, K- thousand_
_S - studio, R - shop_
_*Max 30 latest transactions_
www.trydatabot.com</t>
  </si>
  <si>
    <t>1014742, by code, *BUILDI</t>
  </si>
  <si>
    <t xml:space="preserve">*BUILDING*
*PROFILE*
*THE LOFTS WEST*
_Area: Downtown_
_Tap&amp;hold to copy a reply_
```-------------------------```
```Report              Reply```
```-------------------------```
*1 B/R*
```Sales, ROI        1014696```
```Price chart       1014697```
```Rentals               n/a```
*2 B/R*
```Sales, ROI        1014700```
```Price chart       1014701```
```Rentals               n/a```
*All types/bedrooms*
```Sales, ROI        1014741```
```Rentals               n/a```
</t>
  </si>
  <si>
    <t>1014756, *SALES*</t>
  </si>
  <si>
    <t>*SALES*
*TRANSACTIONS**
*THE LOFTS PODIUM*
_Area: Downtown_
_Type: studio apartment_
```Date   Price  BUA Type P/sf```
```------------2025-----------```
```28Aug 1.225M  558 XXXX 2195```
```28Aug 1.225M  558 XXXX 2195```
```28Aug 1.225M  558 XXXX 2195```
_Source: DLD, Databot_
_BUA - built-up area, sq.ft._
_P/sf - price per sq.ft._
_B - bedrooms; O - office_
_M - million, K- thousand_
_S - studio, R - shop_
_*Max 30 latest transactions_
www.trydatabot.com</t>
  </si>
  <si>
    <t>The Lofts Podium</t>
  </si>
  <si>
    <t>1014757, *MARKET</t>
  </si>
  <si>
    <t>*MARKET*
*SNAPSHOT*
*THE LOFTS PODIUM*
_Area: Downtown_
_Type: studio apartment_
*Price dynamics, Dirham/sq.ft.*
_(M - median value)_
```2195|                   ***```
```2195|----------------------```
```    |                   ***```
```2195|---------------------M```
```    |                   ***```
```2195|---------------------M```
```    |                   ***```
```2195|---------------------M```
```    |                   ***```
```2195|---------------------M```
```    |                   ***```
```____|______________________```
```    |Aug2025        Aug2025```
_Source: see table below_
*Latest sales transactions*
```Date   Price  BUA Type P/sf```
```------------2025-----------```
```28Aug 1.225M  558 XXXX 2195```
```28Aug 1.225M  558 XXXX 2195```
```28Aug 1.225M  558 XXXX 2195```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</si>
  <si>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1014760, *SALES*</t>
  </si>
  <si>
    <t>*SALES*
*TRANSACTIONS**
*THE LOFTS PODIUM*
_Area: Downtown_
_Type: 1 bedroom apartment_
```Date   Price  BUA Type P/sf```
```------------2025-----------```
```03Oct  1.53M  954 XXXX 1604```
```18Sep 1.935M  899 XXXX 2152```
```18Aug  2.67M 1624 XXXX 1644```
```28Jul   1.6M  845 XXXX 1893```
```17Jul  1.52M  681 XXXX 2232```
```23Jun 1.585M  674 XXXX 2352```
```19Jun   1.5M  686 XXXX 2187```
```18Jun 2.475M 1332 XXXX 1858```
```08May   1.5M  692 XXXX 2168```
```12Feb  1.53M  812 XXXX 1884```
```05Feb 1.535M  892 XXXX 1721```
```03Feb  1.72M  832 XXXX 2067```
```13Jan  2.25M  887 XX01 2537```
```10Jan 1.634M  827 XXXX 1976```
```------------2024-----------```
```18Dec   1.4M  720 XX17 1944```
```02Oct   1.5M 1135 XX01 1322```
```10Sep   2.3M 1229 XX03 1871```
```29Jul  1.45M  831 XX03 1745```
```10Jul  2.45M 1401 XXXX 1749```
```02Jul  1.95M 1036 XXXX 1882```
```------------2025-----------```
```18Aug  2.67M 1624 XXXX 1644```
```28Jul   1.6M  845 XXXX 1893```
```17Jul  1.52M  681 XXXX 2232```
```23Jun 1.585M  674 XXXX 2352```
```19Jun   1.5M  686 XXXX 2187```
```18Jun 2.475M 1332 XXXX 1858```
```08May   1.5M  692 XXXX 2168```
```12Feb  1.53M  812 XXXX 1884```
```05Feb 1.535M  892 XXXX 1721```
```03Feb  1.72M  832 XXXX 2067```
_Source: DLD, Databot_
_BUA - built-up area, sq.ft._
_P/sf - price per sq.ft._
_B - bedrooms; O - office_
_M - million, K- thousand_
_S - studio, R - shop_
_*Max 30 latest transactions_
www.trydatabot.com</t>
  </si>
  <si>
    <t>1014761, *MARKET</t>
  </si>
  <si>
    <t>*MARKET*
*SNAPSHOT*
*THE LOFTS PODIUM*
_Area: Downtown_
_Type: 1 bedroom apartment_
*Price dynamics, Dirham/sq.ft.*
_(M - median value)_
```2537|         *            ```
```    |                      ```
```    |                *     ```
```    |             * *    * ```
```    |          *           ```
```1889|---------------------M```
```    |* *  * **   *     *   ```
```    |   **         *       ```
```    | *         *       *  ```
```    |                     *```
```1322|      *               ```
```____|______________________```
```    |Jul2024        Oct2025```
_Source: see table below_
*Latest sales transactions*
```Date   Price  BUA Type P/sf```
```------------2025-----------```
```03Oct  1.53M  954 XXXX 1604```
```18Sep 1.935M  899 XXXX 2152```
```18Aug  2.67M 1624 XXXX 1644```
```28Jul   1.6M  845 XXXX 1893```
```17Jul  1.52M  681 XXXX 2232```
```23Jun 1.585M  674 XXXX 2352```
```19Jun   1.5M  686 XXXX 2187```
```18Jun 2.475M 1332 XXXX 1858```
```08May   1.5M  692 XXXX 2168```
```12Feb  1.53M  812 XXXX 1884```
```05Feb 1.535M  892 XXXX 1721```
```03Feb  1.72M  832 XXXX 2067```
```13Jan  2.25M  887 XX01 2537```
```10Jan 1.634M  827 XXXX 1976```
```------------2024-----------```
```18Dec   1.4M  720 XX17 1944```
```02Oct   1.5M 1135 XX01 1322```
```10Sep   2.3M 1229 XX03 1871```
```29Jul  1.45M  831 XX03 1745```
```10Jul  2.45M 1401 XXXX 1749```
```02Jul  1.95M 1036 XXXX 1882```
```------------2025-----------```
```18Aug  2.67M 1624 XXXX 1644```
```28Jul   1.6M  845 XXXX 1893```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</si>
  <si>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1014764, *SALES*</t>
  </si>
  <si>
    <t>*SALES*
*TRANSACTIONS**
*THE LOFTS PODIUM*
_Area: Downtown_
_Type: 2 bedroom apartment_
```Date   Price  BUA Type P/sf```
```------------2025-----------```
```16Dec  4.35M 1753 XXXX 2481```
```24Sep   3.4M 1962 XXXX 1733```
```01Sep     4M 1981 XXXX 2019```
```10Jul  2.95M 1720 XXXX 1715```
```07Apr   2.8M 1727 XXXX 1621```
```------------2024-----------```
```29Aug  2.85M 1700 XXXX 1676```
```------------2025-----------```
```01Sep     4M 1981 XXXX 2019```
```10Jul  2.95M 1720 XXXX 1715```
```07Apr   2.8M 1727 XXXX 1621```
```------------2024-----------```
```29Aug  2.85M 1700 XXXX 1676```
```------------2025-----------```
```01Sep     4M 1981 XXXX 2019```
```------------2023-----------```
```11Dec   2.5M 1534 XXXX 1630```
```26Sep   3.5M 1981 XXXX 1767```
```22Sep   2.7M 1727 XXXX 1563```
```19Sep   2.8M 1727 XXXX 1621```
```------------2022-----------```
```11Aug  2.25M 2233 XXXX 1008```
```12Jul   2.2M 1753 XXXX 1255```
```17Mar   2.5M 1783 XXXX 1402```
```------------2021-----------```
```02Jun   1.7M 2215 XXXX  767```
```05Jan   1.4M 1692 XXXX  827```
```------------2020-----------```
```22Sep  1.33M 1727 XXXX  770```
_Source: DLD, Databot_
_BUA - built-up area, sq.ft._
_P/sf - price per sq.ft._
_B - bedrooms; O - office_
_M - million, K- thousand_
_S - studio, R - shop_
_*Max 30 latest transactions_
www.trydatabot.com</t>
  </si>
  <si>
    <t>1014765, *MARKET</t>
  </si>
  <si>
    <t>*MARKET*
*SNAPSHOT*
*THE LOFTS PODIUM*
_Area: Downtown_
_Type: 2 bedroom apartment_
*Price dynamics, Dirham/sq.ft.*
_(M - median value)_
```2481|                     *```
```    |                      ```
```    |                      ```
```    |           *   *   *  ```
```    |         *    *   * * ```
```1630|---------------------M```
```    |       ** * **  **    ```
```    |    *                 ```
```    |     *                ```
```    |      *               ```
```767 | ***                  ```
```____|______________________```
```    |Sep2020        Dec2025```
_Source: see table below_
*Latest sales transactions*
```Date   Price  BUA Type P/sf```
```------------2025-----------```
```16Dec  4.35M 1753 XXXX 2481```
```24Sep   3.4M 1962 XXXX 1733```
```01Sep     4M 1981 XXXX 2019```
```10Jul  2.95M 1720 XXXX 1715```
```07Apr   2.8M 1727 XXXX 1621```
```------------2024-----------```
```29Aug  2.85M 1700 XXXX 1676```
```------------2025-----------```
```01Sep     4M 1981 XXXX 2019```
```10Jul  2.95M 1720 XXXX 1715```
```07Apr   2.8M 1727 XXXX 1621```
```------------2024-----------```
```29Aug  2.85M 1700 XXXX 1676```
```------------2025-----------```
```01Sep     4M 1981 XXXX 2019```
```------------2023-----------```
```11Dec   2.5M 1534 XXXX 1630```
```26Sep   3.5M 1981 XXXX 1767```
```22Sep   2.7M 1727 XXXX 1563```
```19Sep   2.8M 1727 XXXX 1621```
```------------2022-----------```
```11Aug  2.25M 2233 XXXX 1008```
```12Jul   2.2M 1753 XXXX 1255```
```17Mar   2.5M 1783 XXXX 1402```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</si>
  <si>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1014768, *SALES*</t>
  </si>
  <si>
    <t>*SALES*
*TRANSACTIONS**
*THE LOFTS PODIUM*
_Area: Downtown_
_Type: 3 bedroom apartment_
```Date   Price  BUA Type P/sf```
```------------2020-----------```
```20Aug  2.65M 3748 XXXX  707```
_Source: DLD, Databot_
_BUA - built-up area, sq.ft._
_P/sf - price per sq.ft._
_B - bedrooms; O - office_
_M - million, K- thousand_
_S - studio, R - shop_
_*Max 30 latest transactions_
www.trydatabot.com</t>
  </si>
  <si>
    <t>1014769, *MARKET</t>
  </si>
  <si>
    <t>*MARKET*
*SNAPSHOT*
*THE LOFTS PODIUM*
_Area: Downtown_
_Type: 3 bedroom apartment_
*Price dynamics, Dirham/sq.ft.*
_(M - median value)_
```707 |                     *```
```707 |----------------------```
```    |                     *```
```707 |---------------------M```
```    |                     *```
```707 |---------------------M```
```    |                     *```
```707 |---------------------M```
```    |                     *```
```707 |---------------------M```
```    |                     *```
```____|______________________```
```    |Aug2020        Aug2020```
_Source: see table below_
*Latest sales transactions*
```Date   Price  BUA Type P/sf```
```------------2020-----------```
```20Aug  2.65M 3748 XXXX  707```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</si>
  <si>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1014805, *SALES*</t>
  </si>
  <si>
    <t>*SALES*
*TRANSACTIONS**
*THE LOFTS PODIUM*
_Area: Downtown_
_All types/bedrooms_
```Date    Price   BUA  Type B```
```------------2025-----------```
```16Dec   4.35M  1753  XXXX 2```
```03Oct   1.53M   954  XXXX 1```
```24Sep    3.4M  1962  XXXX 2```
```18Sep  1.935M   899  XXXX 1```
```01Sep      4M  1981  XXXX 2```
```28Aug  1.225M   558  XXXX S```
```18Aug   2.67M  1624  XXXX 1```
```28Jul    1.6M   845  XXXX 1```
```17Jul   1.52M   681  XXXX 1```
```10Jul   2.95M  1720  XXXX 2```
```23Jun  1.585M   674  XXXX 1```
```19Jun    1.5M   686  XXXX 1```
```18Jun  2.475M  1332  XXXX 1```
```08May    1.5M   692  XXXX 1```
```07Apr    2.8M  1727  XXXX 2```
```12Feb   1.53M   812  XXXX 1```
```05Feb  1.535M   892  XXXX 1```
```03Feb   1.72M   832  XXXX 1```
```13Jan   2.25M   887  XX01 1```
```10Jan  1.634M   827  XXXX 1```
```------------2024-----------```
```18Dec    1.4M   720  XX17 1```
```02Oct    1.5M  1135  XX01 1```
```10Sep    2.3M  1229  XX03 1```
```29Aug   2.85M  1700  XXXX 2```
```29Jul   1.45M   831  XX03 1```
```10Jul   2.45M  1401  XXXX 1```
```02Jul   1.95M  1036  XXXX 1```
```------------2025-----------```
```01Sep      4M  1981  XXXX 2```
```28Aug  1.225M   558  XXXX S```
```18Aug   2.67M  1624  XXXX 1```
_Source: DLD, Databot_
_BUA - built-up area, sq.ft._
_P/sf - price per sq.ft._
_B - bedrooms; O - office_
_M - million, K- thousand_
_S - studio, R - shop_
_*Max 30 latest transactions_
www.trydatabot.com</t>
  </si>
  <si>
    <t>1014806, by code, *BUILDI</t>
  </si>
  <si>
    <t xml:space="preserve">*BUILDING*
*PROFILE*
*THE LOFTS PODIUM*
_Area: Downtown_
_Tap&amp;hold to copy a reply_
```-------------------------```
```Report              Reply```
```-------------------------```
*Studio*
```Sales, ROI        1014756```
```Price chart       1014757```
```Rentals               n/a```
*1 B/R*
```Sales, ROI        1014760```
```Price chart       1014761```
```Rentals               n/a```
*2 B/R*
```Sales, ROI        1014764```
```Price chart       1014765```
```Rentals               n/a```
*3 B/R*
```Sales, ROI        1014768```
```Price chart       1014769```
```Rentals               n/a```
*All types/bedrooms*
```Sales, ROI        1014805```
```Rentals               n/a```
</t>
  </si>
  <si>
    <t>1014820, *SALES*</t>
  </si>
  <si>
    <t>*SALES*
*TRANSACTIONS (RESALE)**
*ROVE HOME DOWNTOWN*
_Area: Downtown_
_Type: studio apartment_
```Date   Price  BUA Type P/sf```
```------------2026-----------```
```07Jan 1.365M  403 XXXX 3388```
```07Jan 1.368M  403 XXXX 3396```
```07Jan   1.4M  416 XXXX 3366```
```------------2025-----------```
```29Dec   1.4M  416 XXXX 3365```
```29Oct  1.36M  403 XXXX 3375```
```09Oct 1.366M  403 XXXX 3389```
```22Sep  1.15M  416 XXXX 2764```
```16Sep 1.396M  403 XXXX 3463```
```08Sep  1.19M  403 XXXX 2953```
```24Mar   1.4M  403 XXXX 3474```
```------------2024-----------```
```12Nov   1.5M  403 XXXX 3722```
_Source: DLD, Databot_
_BUA - built-up area, sq.ft._
_P/sf - price per sq.ft._
_B - bedrooms; O - office_
_M - million, K- thousand_
_S - studio, R - shop_
_*Max 30 latest transactions_
www.trydatabot.com</t>
  </si>
  <si>
    <t>Rove Home Downtown</t>
  </si>
  <si>
    <t>1014821, *MARKET</t>
  </si>
  <si>
    <t>*MARKET*
*SNAPSHOT*
*ROVE HOME DOWNTOWN*
_Area: Downtown_
_Type: studio apartment_
*Price dynamics, Dirham/sq.ft.*
_(M - median value)_
```3722|           *          ```
```    |                      ```
```    |                      ```
```3388|---------------------M```
```    |            * * *   **```
```    |                 ***  ```
```    |                      ```
```    |                      ```
```    |                      ```
```    |             *        ```
```2764|               *      ```
```____|______________________```
```    |Nov2024        Jan2026```
_Source: see table below_
*Latest sales transactions*
```Date   Price  BUA Type P/sf```
```------------2026-----------```
```07Jan 1.365M  403 XXXX 3388```
```07Jan 1.368M  403 XXXX 3396```
```07Jan   1.4M  416 XXXX 3366```
```------------2025-----------```
```29Dec   1.4M  416 XXXX 3365```
```29Oct  1.36M  403 XXXX 3375```
```09Oct 1.366M  403 XXXX 3389```
```22Sep  1.15M  416 XXXX 2764```
```16Sep 1.396M  403 XXXX 3463```
```08Sep  1.19M  403 XXXX 2953```
```24Mar   1.4M  403 XXXX 3474```
```------------2024-----------```
```12Nov   1.5M  403 XXXX 3722```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</si>
  <si>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1014823, *RESELL</t>
  </si>
  <si>
    <t>*RESELL*
*VS PRIMARY*
*ROVE HOME DOWNTOWN*
_Area: Downtown_
_Type: studio apartment_
*Price dynamics, Dirham/sq.ft.*
_(x - primary; * - resell)_
```3770|         x *          ```
```    |                      ```
```    |                      ```
```    |            * *       ```
```3366|                ******```
```    |          x           ```
```    |                      ```
```    |                      ```
```    |             *        ```
```2764|               *      ```
```____|______________________```
```    |Dec1899        Jan2026```
_Source: see a table below_
*Latest resell transactions*
```Date   Price  BUA Type P/sf```
```------------2026-----------```
```07Jan 1.365M  403 XXXX 3388```
```07Jan 1.368M  403 XXXX 3396```
```07Jan   1.4M  416 XXXX 3366```
```------------2025-----------```
```29Dec   1.4M  416 XXXX 3365```
```29Oct  1.36M  403 XXXX 3375```
```09Oct 1.366M  403 XXXX 3389```
```22Sep  1.15M  416 XXXX 2764```
```16Sep 1.396M  403 XXXX 3463```
```08Sep  1.19M  403 XXXX 2953```
```24Mar   1.4M  403 XXXX 3474```
```------------2024-----------```
```12Nov   1.5M  403 XXXX 3722```
*Latest primary transactions*
```------------2024-----------```
```21Nov 1.303M  403 XXXX 3233```
```11Nov 1.519M  403 XXXX 3770```
_Source: DLD, Databot_
_BUA - built-up area, sq.ft._
_P/sf - price per sq.ft._
_B - bedrooms; O - office_
_M - million, K- thousand_
_S - studio, R - shop_
www.trydatabot.com</t>
  </si>
  <si>
    <t>1014824, *SALES*</t>
  </si>
  <si>
    <t>*SALES*
*TRANSACTIONS (RESALE)**
*ROVE HOME DOWNTOWN*
_Area: Downtown_
_Type: 1 bedroom apartment_
```Date   Price  BUA Type P/sf```
```------------2026-----------```
```07Jan 1.982M  588 XXXX 3371```
```07Jan 1.981M  588 XXXX 3369```
```07Jan 1.939M  588 XXXX 3298```
```07Jan 1.982M  588 XXXX 3371```
```07Jan 1.855M  588 XXXX 3154```
```07Jan 2.005M  588 XXXX 3411```
```07Jan 1.927M  588 XXXX 3277```
```------------2025-----------```
```15Oct 1.661M  470 XXXX 3533```
```15Oct  2.24M  588 XXXX 3810```
```09Oct     2M  588 XXXX 3401```
```02Jun 1.875M  588 XXXX 3189```
```18Apr  2.96M  859 XX02 3446```
```18Apr  2.96M  859 XXXX 3446```
```19Feb  2.45M  805 XXXX 3043```
```------------2024-----------```
```30Oct     2M  588 XXXX 3401```
```17Jul     2M  588 XXXX 3401```
_Source: DLD, Databot_
_BUA - built-up area, sq.ft._
_P/sf - price per sq.ft._
_B - bedrooms; O - office_
_M - million, K- thousand_
_S - studio, R - shop_
_*Max 30 latest transactions_
www.trydatabot.com</t>
  </si>
  <si>
    <t>1014825, *MARKET</t>
  </si>
  <si>
    <t>*MARKET*
*SNAPSHOT*
*ROVE HOME DOWNTOWN*
_Area: Downtown_
_Type: 1 bedroom apartment_
*Price dynamics, Dirham/sq.ft.*
_(M - median value)_
```3810|             *        ```
```    |                      ```
```    |                      ```
```    |                      ```
```    |              *       ```
```    |      ** ** *   *     ```
```3386|---------------------M```
```    |                  * **```
```    |               *   *  ```
```    |           *     *    ```
```3043|        *             ```
```____|______________________```
```    |Jul2024        Jan2026```
_Source: see table below_
*Latest sales transactions*
```Date   Price  BUA Type P/sf```
```------------2026-----------```
```07Jan 1.982M  588 XXXX 3371```
```07Jan 1.981M  588 XXXX 3369```
```07Jan 1.939M  588 XXXX 3298```
```07Jan 1.982M  588 XXXX 3371```
```07Jan 1.855M  588 XXXX 3154```
```07Jan 2.005M  588 XXXX 3411```
```07Jan 1.927M  588 XXXX 3277```
```------------2025-----------```
```15Oct 1.661M  470 XXXX 3533```
```15Oct  2.24M  588 XXXX 3810```
```09Oct     2M  588 XXXX 3401```
```02Jun 1.875M  588 XXXX 3189```
```18Apr  2.96M  859 XX02 3446```
```18Apr  2.96M  859 XXXX 3446```
```19Feb  2.45M  805 XXXX 3043```
```------------2024-----------```
```30Oct     2M  588 XXXX 3401```
```17Jul     2M  588 XXXX 3401```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</si>
  <si>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1014827, *RESELL</t>
  </si>
  <si>
    <t>*RESELL*
*VS PRIMARY*
*ROVE HOME DOWNTOWN*
_Area: Downtown_
_Type: 1 bedroom apartment_
*Price dynamics, Dirham/sq.ft.*
_(x - primary; * - resell)_
```3813|          x  *        ```
```    |                      ```
```    |                      ```
```    |              *       ```
```3429|            *   *     ```
```    |         x        ****```
```    |               *      ```
```    |                 *    ```
```    |                      ```
```2851|        x             ```
```____|______________________```
```    |Dec1899        Jan2026```
_Source: see a table below_
*Latest resell transactions*
```Date   Price  BUA Type P/sf```
```------------2026-----------```
```07Jan 1.982M  588 XXXX 3371```
```07Jan 1.981M  588 XXXX 3369```
```07Jan 1.939M  588 XXXX 3298```
```07Jan 1.982M  588 XXXX 3371```
```07Jan 1.855M  588 XXXX 3154```
```07Jan 2.005M  588 XXXX 3411```
```07Jan 1.927M  588 XXXX 3277```
```------------2025-----------```
```15Oct 1.661M  470 XXXX 3533```
```15Oct  2.24M  588 XXXX 3810```
```09Oct     2M  588 XXXX 3401```
```02Jun 1.875M  588 XXXX 3189```
```18Apr  2.96M  859 XX02 3446```
```18Apr  2.96M  859 XXXX 3446```
```19Feb  2.45M  805 XXXX 3043```
```------------2024-----------```
```30Oct     2M  588 XXXX 3401```
```17Jul     2M  588 XXXX 3401```
*Latest primary transactions*
```------------2025-----------```
```21May 2.242M  588 XXXX 3813```
```20Jan 2.699M  805 XXXX 3353```
```------------2024-----------```
```03Jul 2.449M  859 XXXX 2851```
_Source: DLD, Databot_
_BUA - built-up area, sq.ft._
_P/sf - price per sq.ft._
_B - bedrooms; O - office_
_M - million, K- thousand_
_S - studio, R - shop_
www.trydatabot.com</t>
  </si>
  <si>
    <t>1014828, *SALES*</t>
  </si>
  <si>
    <t>*SALES*
*TRANSACTIONS (RESALE)**
*ROVE HOME DOWNTOWN*
_Area: Downtown_
_Type: 2 bedroom apartment_
```Date   Price  BUA Type P/sf```
```------------2025-----------```
```10Mar 3.765M 1317 XX01 2859```
_Source: DLD, Databot_
_BUA - built-up area, sq.ft._
_P/sf - price per sq.ft._
_B - bedrooms; O - office_
_M - million, K- thousand_
_S - studio, R - shop_
_*Max 30 latest transactions_
www.trydatabot.com</t>
  </si>
  <si>
    <t>1014829, *MARKET</t>
  </si>
  <si>
    <t>*MARKET*
*SNAPSHOT*
*ROVE HOME DOWNTOWN*
_Area: Downtown_
_Type: 2 bedroom apartment_
*Price dynamics, Dirham/sq.ft.*
_(M - median value)_
```2859|                     *```
```2859|----------------------```
```    |                     *```
```2859|---------------------M```
```    |                     *```
```2859|---------------------M```
```    |                     *```
```2859|---------------------M```
```    |                     *```
```2859|---------------------M```
```    |                     *```
```____|______________________```
```    |Mar2025        Mar2025```
_Source: see table below_
*Latest sales transactions*
```Date   Price  BUA Type P/sf```
```------------2025-----------```
```10Mar 3.765M 1317 XX01 2859```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</si>
  <si>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1014831, *RESELL</t>
  </si>
  <si>
    <t>*RESELL*
*VS PRIMARY*
*ROVE HOME DOWNTOWN*
_Area: Downtown_
_Type: 2 bedroom apartment_
*Price dynamics, Dirham/sq.ft.*
_(x - primary; * - resell)_
```3150|         x            ```
```    |        x             ```
```    |                      ```
```    |                      ```
```3002|                      ```
```    |                      ```
```    |                      ```
```    |                      ```
```    |                     *```
```2778|          x           ```
```____|______________________```
```    |Dec1899        Sep2025```
_Source: see a table below_
*Latest resell transactions*
```Date   Price  BUA Type P/sf```
```------------2025-----------```
```10Mar 3.765M 1317 XX01 2859```
*Latest primary transactions*
```------------2025-----------```
```29Sep 3.658M 1317 XX01 2778```
```25Jun 3.764M 1195 XX04 3150```
```------------2024-----------```
```17Dec 3.734M 1195 XX04 3125```
_Source: DLD, Databot_
_BUA - built-up area, sq.ft._
_P/sf - price per sq.ft._
_B - bedrooms; O - office_
_M - million, K- thousand_
_S - studio, R - shop_
www.trydatabot.com</t>
  </si>
  <si>
    <t>1014869, *SALES*</t>
  </si>
  <si>
    <t>*SALES*
*TRANSACTIONS (RESALE)**
*ROVE HOME DOWNTOWN*
_Area: Downtown_
_All types/bedrooms_
```Date    Price   BUA  Type B```
```------------2026-----------```
```07Jan  1.982M   588  XXXX 1```
```07Jan  1.981M   588  XXXX 1```
```07Jan  1.365M   403  XXXX S```
```07Jan  1.939M   588  XXXX 1```
```07Jan  1.982M   588  XXXX 1```
```07Jan  1.368M   403  XXXX S```
```07Jan  1.855M   588  XXXX 1```
```07Jan  2.005M   588  XXXX 1```
```07Jan    1.4M   416  XXXX S```
```07Jan  1.927M   588  XXXX 1```
```------------2025-----------```
```29Dec    1.4M   416  XXXX S```
```29Oct   1.36M   403  XXXX S```
```15Oct  1.661M   470  XXXX 1```
```15Oct   2.24M   588  XXXX 1```
```09Oct  1.366M   403  XXXX S```
```09Oct      2M   588  XXXX 1```
```22Sep   1.15M   416  XXXX S```
```16Sep  1.396M   403  XXXX S```
```08Sep   1.19M   403  XXXX S```
```02Jun  1.875M   588  XXXX 1```
```18Apr   2.96M   859  XX02 1```
```18Apr   2.96M   859  XXXX 1```
```24Mar    1.4M   403  XXXX S```
```10Mar  3.765M  1317  XX01 2```
```19Feb   2.45M   805  XXXX 1```
```------------2024-----------```
```12Nov    1.5M   403  XXXX S```
```30Oct      2M   588  XXXX 1```
```17Jul      2M   588  XXXX 1```
_Source: DLD, Databot_
_BUA - built-up area, sq.ft._
_P/sf - price per sq.ft._
_B - bedrooms; O - office_
_M - million, K- thousand_
_S - studio, R - shop_
_*Max 30 latest transactions_
www.trydatabot.com</t>
  </si>
  <si>
    <t>1014870, by code - other areas, *BUILDI</t>
  </si>
  <si>
    <t xml:space="preserve">*BUILDING*
*PROFILE*
*ROVE HOME DOWNTOWN*
_Area: Downtown_
_Tap&amp;hold to copy a reply_
```-------------------------```
```Report              Reply```
```-------------------------```
*Studio*
```Resell, ROI       1014820```
```Primary sales     1014871```
```Price chart       1014821```
```Rentals               n/a```
```Appreciation      1014823```
*1 B/R*
```Resell, ROI       1014824```
```Primary sales     1014872```
```Price chart       1014825```
```Rentals               n/a```
```Appreciation      1014827```
*2 B/R*
```Resell, ROI       1014828```
```Primary sales     1014873```
```Price chart       1014829```
```Rentals               n/a```
```Appreciation      1014831```
*All types/bedrooms*
```Resell, ROI       1014869```
```Primary sales     1014883```
```Rentals               n/a```
</t>
  </si>
  <si>
    <t>1014871, *SALES*</t>
  </si>
  <si>
    <t>*SALES*
*TRANSACTIONS (PRIMARY)**
*ROVE HOME DOWNTOWN*
_Area: Downtown_
_Type: studio apartment_
```Date   Price  BUA Type P/sf```
```------------2024-----------```
```21Nov 1.303M  403 XXXX 3233```
```11Nov 1.519M  403 XXXX 3770```
_Source: DLD, Databot_
_BUA - built-up area, sq.ft._
_P/sf - price per sq.ft._
_B - bedrooms; O - office_
_M - million, K- thousand_
_S - studio, R - shop_
_*Max 20 latest transactions_
www.trydatabot.com</t>
  </si>
  <si>
    <t>1014872, *SALES*</t>
  </si>
  <si>
    <t>*SALES*
*TRANSACTIONS (PRIMARY)**
*ROVE HOME DOWNTOWN*
_Area: Downtown_
_Type: 1 bedroom apartment_
```Date   Price  BUA Type P/sf```
```------------2025-----------```
```21May 2.242M  588 XXXX 3813```
```20Jan 2.699M  805 XXXX 3353```
```------------2024-----------```
```03Jul 2.449M  859 XXXX 2851```
_Source: DLD, Databot_
_BUA - built-up area, sq.ft._
_P/sf - price per sq.ft._
_B - bedrooms; O - office_
_M - million, K- thousand_
_S - studio, R - shop_
_*Max 20 latest transactions_
www.trydatabot.com</t>
  </si>
  <si>
    <t>1014873, *SALES*</t>
  </si>
  <si>
    <t>*SALES*
*TRANSACTIONS (PRIMARY)**
*ROVE HOME DOWNTOWN*
_Area: Downtown_
_Type: 2 bedroom apartment_
```Date   Price  BUA Type P/sf```
```------------2025-----------```
```29Sep 3.658M 1317 XX01 2778```
```25Jun 3.764M 1195 XX04 3150```
```------------2024-----------```
```17Dec 3.734M 1195 XX04 3125```
_Source: DLD, Databot_
_BUA - built-up area, sq.ft._
_P/sf - price per sq.ft._
_B - bedrooms; O - office_
_M - million, K- thousand_
_S - studio, R - shop_
_*Max 20 latest transactions_
www.trydatabot.com</t>
  </si>
  <si>
    <t>1014883, *SALES*</t>
  </si>
  <si>
    <t>*SALES*
*TRANSACTIONS (PRIMARY)**
*ROVE HOME DOWNTOWN*
_Area: Downtown_
_All types/bedrooms_
```Date    Price   BUA  Type B```
```------------2025-----------```
```29Sep  3.658M  1317  XX01 2```
```25Jun  3.764M  1195  XX04 2```
```21May  2.242M   588  XXXX 1```
```20Jan  2.699M   805  XXXX 1```
```------------2024-----------```
```17Dec  3.734M  1195  XX04 2```
```21Nov  1.303M   403  XXXX S```
```11Nov  1.519M   403  XXXX S```
```03Jul  2.449M   859  XXXX 1```
_Source: DLD, Databot_
_BUA - built-up area, sq.ft._
_P/sf - price per sq.ft._
_B - bedrooms; O - office_
_M - million, K- thousand_
_S - studio, R - shop_
_*Max 20 latest transactions_
www.trydatabot.com</t>
  </si>
  <si>
    <t>1014884, *SALES*</t>
  </si>
  <si>
    <t>*SALES*
*TRANSACTIONS (RESALE)**
*SOCIETY HOUSE*
_Area: Downtown_
_Type: studio apartment_
```Date   Price  BUA Type P/sf```
```------------2025-----------```
```23Dec   1.2M  374 XXXX 3209```
```30Jun  1.34M  354 XXXX 3785```
```17Feb  1.19M  374 XXXX 3182```
```------------2024-----------```
```30Dec  1.07M  354 XXXX 3023```
```11Jun 1.235M  358 XXXX 3450```
```10Jan 1.417M  375 XX09 3779```
```------------2023-----------```
```01Dec 1.431M  374 XXXX 3826```
```01Dec 1.246M  381 XX10 3270```
_Source: DLD, Databot_
_BUA - built-up area, sq.ft._
_P/sf - price per sq.ft._
_B - bedrooms; O - office_
_M - million, K- thousand_
_S - studio, R - shop_
_*Max 30 latest transactions_
www.trydatabot.com</t>
  </si>
  <si>
    <t>Society House</t>
  </si>
  <si>
    <t>1014885, *MARKET</t>
  </si>
  <si>
    <t>*MARKET*
*SNAPSHOT*
*SOCIETY HOUSE*
_Area: Downtown_
_Type: studio apartment_
*Price dynamics, Dirham/sq.ft.*
_(M - median value)_
```3826|               *      ```
```    |                *   * ```
```    |                      ```
```    |                      ```
```    |                      ```
```    |                 *    ```
```3360|---------------------M```
```    |                      ```
```    |              *       ```
```    |                   * *```
```3023|                  *   ```
```____|______________________```
```    |Dec2023        Dec2025```
_Source: see table below_
*Latest sales transactions*
```Date   Price  BUA Type P/sf```
```------------2025-----------```
```23Dec   1.2M  374 XXXX 3209```
```30Jun  1.34M  354 XXXX 3785```
```17Feb  1.19M  374 XXXX 3182```
```------------2024-----------```
```30Dec  1.07M  354 XXXX 3023```
```11Jun 1.235M  358 XXXX 3450```
```10Jan 1.417M  375 XX09 3779```
```------------2023-----------```
```01Dec 1.431M  374 XXXX 3826```
```01Dec 1.246M  381 XX10 3270```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</si>
  <si>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1014887, *RESELL</t>
  </si>
  <si>
    <t>*RESELL*
*VS PRIMARY*
*SOCIETY HOUSE*
_Area: Downtown_
_Type: studio apartment_
*Price dynamics, Dirham/sq.ft.*
_(x - primary; * - resell)_
```3839|  xx x   x     *      ```
```    |x   x  x  x     *   * ```
```    | x                    ```
```    |                      ```
```3511|      x               ```
```    |        x        *    ```
```    |                      ```
```    |              *       ```
```    |                   * *```
```3023|                  *   ```
```____|______________________```
```    |Dec1899        Dec2025```
_Source: see a table below_
*Latest resell transactions*
```Date   Price  BUA Type P/sf```
```------------2025-----------```
```23Dec   1.2M  374 XXXX 3209```
```30Jun  1.34M  354 XXXX 3785```
```17Feb  1.19M  374 XXXX 3182```
```------------2024-----------```
```30Dec  1.07M  354 XXXX 3023```
```11Jun 1.235M  358 XXXX 3450```
```10Jan 1.417M  375 XX09 3779```
```------------2023-----------```
```01Dec 1.431M  374 XXXX 3826```
```01Dec 1.246M  381 XX10 3270```
*Latest primary transactions*
```------------2024-----------```
```20Aug 1.422M  377 XX02 3771```
```19Jul 1.478M  385 XXXX 3839```
```22May 1.221M  353 XXXX 3458```
```16May 1.473M  392 XXXX 3758```
```16May 1.338M  384 XXXX 3483```
```13May 1.464M  385 XXXX 3802```
```01May 1.459M  392 XXXX 3722```
```04Apr 1.468M  383 XXXX 3834```
```02Apr  1.45M  381 XXXX 3805```
```11Mar 1.375M  375 XX09 3667```
```13Feb 1.436M  385 XX10 3729```
```09Feb 1.408M  385 XXXX 3656```
```10Jan 1.225M  354 XX15 3462```
```------------2023-----------```
```29Aug 1.091M  358 XX08 3047```
_Source: DLD, Databot_
_BUA - built-up area, sq.ft._
_P/sf - price per sq.ft._
_B - bedrooms; O - office_
_M - million, K- thousand_
_S - studio, R - shop_
www.trydatabot.com</t>
  </si>
  <si>
    <t>1014888, *SALES*</t>
  </si>
  <si>
    <t>*SALES*
*TRANSACTIONS (RESALE)**
*SOCIETY HOUSE*
_Area: Downtown_
_Type: 1 bedroom apartment_
```Date   Price  BUA Type P/sf```
```------------2025-----------```
```10Nov  2.08M  753 XXXX 2762```
```09Sep 2.451M  997 XX04 2458```
```18Jul     2M  697 XXXX 2869```
```08Jul  2.15M  739 XXXX 2909```
```24Jun  2.05M  728 XXXX 2816```
```27May 2.521M  825 XX08 3055```
```20May  2.22M  996 XX04 2229```
```09Apr 2.099M  748 XXXX 2806```
```03Apr   1.8M  704 XXXX 2557```
```20Mar 1.902M  705 XX06 2698```
```28Feb 2.013M  705 XX06 2855```
```25Feb 2.899M  742 XXXX 3908```
```17Jan     2M  711 XXXX 2813```
```------------2024-----------```
```15Nov 2.753M  752 XX02 3661```
```16Jan 2.406M  823 XX12 2923```
```------------2023-----------```
```01Dec 2.431M  878 XX04 2768```
```30Nov 2.177M  827 XX04 2632```
_Source: DLD, Databot_
_BUA - built-up area, sq.ft._
_P/sf - price per sq.ft._
_B - bedrooms; O - office_
_M - million, K- thousand_
_S - studio, R - shop_
_*Max 30 latest transactions_
www.trydatabot.com</t>
  </si>
  <si>
    <t>1014889, *MARKET</t>
  </si>
  <si>
    <t>*MARKET*
*SNAPSHOT*
*SOCIETY HOUSE*
_Area: Downtown_
_Type: 1 bedroom apartment_
*Price dynamics, Dirham/sq.ft.*
_(M - median value)_
```3908|          *           ```
```    |        *             ```
```    |                      ```
```    |                      ```
```    |                      ```
```    |                *     ```
```    |       *   *      **  ```
```2813|---------------------M```
```    |      *  *  * *      *```
```    |     *       *      * ```
```2229|               *      ```
```____|______________________```
```    |Nov2023        Nov2025```
_Source: see table below_
*Latest sales transactions*
```Date   Price  BUA Type P/sf```
```------------2025-----------```
```10Nov  2.08M  753 XXXX 2762```
```09Sep 2.451M  997 XX04 2458```
```18Jul     2M  697 XXXX 2869```
```08Jul  2.15M  739 XXXX 2909```
```24Jun  2.05M  728 XXXX 2816```
```27May 2.521M  825 XX08 3055```
```20May  2.22M  996 XX04 2229```
```09Apr 2.099M  748 XXXX 2806```
```03Apr   1.8M  704 XXXX 2557```
```20Mar 1.902M  705 XX06 2698```
```28Feb 2.013M  705 XX06 2855```
```25Feb 2.899M  742 XXXX 3908```
```17Jan     2M  711 XXXX 2813```
```------------2024-----------```
```15Nov 2.753M  752 XX02 3661```
```16Jan 2.406M  823 XX12 2923```
```------------2023-----------```
```01Dec 2.431M  878 XX04 2768```
```30Nov 2.177M  827 XX04 2632```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</si>
  <si>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1014891, *RESELL</t>
  </si>
  <si>
    <t>*RESELL*
*VS PRIMARY*
*SOCIETY HOUSE*
_Area: Downtown_
_Type: 1 bedroom apartment_
*Price dynamics, Dirham/sq.ft.*
_(x - primary; * - resell)_
```3989|   x x                ```
```    |                      ```
```    |                      ```
```    |                      ```
```3285|                      ```
```    |    x x         *     ```
```    |x x    x   *      **  ```
```    | x      xx  * *  *   *```
```    |          x  *      * ```
```2229|               *      ```
```____|______________________```
```    |Dec2024        Nov2025```
_Source: see a table below_
*Latest resell transactions*
```Date   Price  BUA Type P/sf```
```------------2025-----------```
```10Nov  2.08M  753 XXXX 2762```
```09Sep 2.451M  997 XX04 2458```
```18Jul     2M  697 XXXX 2869```
```08Jul  2.15M  739 XXXX 2909```
```24Jun  2.05M  728 XXXX 2816```
```27May 2.521M  825 XX08 3055```
```20May  2.22M  996 XX04 2229```
```09Apr 2.099M  748 XXXX 2806```
```03Apr   1.8M  704 XXXX 2557```
```20Mar 1.902M  705 XX06 2698```
```28Feb 2.013M  705 XX06 2855```
```25Feb 2.899M  742 XXXX 3908```
```17Jan     2M  711 XXXX 2813```
```------------2024-----------```
```15Nov 2.753M  752 XX02 3661```
```16Jan 2.406M  823 XX12 2923```
```------------2023-----------```
```01Dec 2.431M  878 XX04 2768```
*Latest primary transactions*
```------------2025-----------```
```20Oct 2.567M  964 XXXX 2663```
```26Sep 2.717M  998 XXXX 2722```
```22Sep 2.584M  968 XXXX 2670```
```12Jun 2.376M  794 XX01 2992```
```27May 2.552M  824 XXXX 3097```
```07Apr     3M  752 XX02 3989```
```17Mar 2.339M  753 XX06 3106```
```25Feb 2.983M  752 XX02 3967```
```12Feb 2.574M  867 XXXX 2969```
```06Feb 2.417M  875 XXXX 2762```
```------------2024-----------```
```31Dec 2.269M  752 XX13 3018```
```08Nov 2.696M  742 XXXX 3634```
```08Nov  2.68M  742 XXXX 3612```
```27Sep  2.22M  755 XX01 2941```
_Source: DLD, Databot_
_BUA - built-up area, sq.ft._
_P/sf - price per sq.ft._
_B - bedrooms; O - office_
_M - million, K- thousand_
_S - studio, R - shop_
www.trydatabot.com</t>
  </si>
  <si>
    <t>1014892, *SALES*</t>
  </si>
  <si>
    <t>*SALES*
*TRANSACTIONS (RESALE)**
*SOCIETY HOUSE*
_Area: Downtown_
_Type: 2 bedroom apartment_
```Date   Price  BUA Type P/sf```
```------------2025-----------```
```10Dec 4.134M 1607 XXXX 2573```
_Source: DLD, Databot_
_BUA - built-up area, sq.ft._
_P/sf - price per sq.ft._
_B - bedrooms; O - office_
_M - million, K- thousand_
_S - studio, R - shop_
_*Max 30 latest transactions_
www.trydatabot.com</t>
  </si>
  <si>
    <t>1014893, *MARKET</t>
  </si>
  <si>
    <t>*MARKET*
*SNAPSHOT*
*SOCIETY HOUSE*
_Area: Downtown_
_Type: 2 bedroom apartment_
*Price dynamics, Dirham/sq.ft.*
_(M - median value)_
```2573|                     *```
```2573|----------------------```
```    |                     *```
```2573|---------------------M```
```    |                     *```
```2573|---------------------M```
```    |                     *```
```2573|---------------------M```
```    |                     *```
```2573|---------------------M```
```    |                     *```
```____|______________________```
```    |Dec2025        Dec2025```
_Source: see table below_
*Latest sales transactions*
```Date   Price  BUA Type P/sf```
```------------2025-----------```
```10Dec 4.134M 1607 XXXX 2573```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</si>
  <si>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1014895, *RESELL</t>
  </si>
  <si>
    <t>*RESELL*
*VS PRIMARY*
*SOCIETY HOUSE*
_Area: Downtown_
_Type: 2 bedroom apartment_
*Price dynamics, Dirham/sq.ft.*
_(x - primary; * - resell)_
```4089|  x    x              ```
```    |                      ```
```    |    x                 ```
```    |                      ```
```3401| x x                  ```
```    |                      ```
```    |                      ```
```    |                      ```
```    |x    xx              *```
```2370|        xxx           ```
```____|______________________```
```    |Dec1899        Jan2026```
_Source: see a table below_
*Latest resell transactions*
```Date   Price  BUA Type P/sf```
```------------2025-----------```
```10Dec 4.134M 1607 XXXX 2573```
*Latest primary transactions*
```------------2026-----------```
```15Jan 3.755M 1569 XXXX 2393```
```------------2025-----------```
```27Nov 3.714M 1567 XXXX 2370```
```25Nov 3.652M 1485 XXXX 2459```
```16Jun 5.445M 1352 XXXX 4027```
```12Jun 4.288M 1545 XX07 2776```
```23Apr 4.083M 1485 XX07 2750```
```24Feb 4.876M 1308 XXXX 3728```
```12Feb 7.257M 2091 XX01 3470```
```07Feb 4.764M 1165 XXXX 4089```
```23Jan 6.486M 1943 XX01 3338```
```------------2024-----------```
```12Aug 3.528M 1283 XX09 2750```
```09Aug 4.606M 2845 XX02 1619```
```24Jul 3.461M 1252 XX03 2765```
_Source: DLD, Databot_
_BUA - built-up area, sq.ft._
_P/sf - price per sq.ft._
_B - bedrooms; O - office_
_M - million, K- thousand_
_S - studio, R - shop_
www.trydatabot.com</t>
  </si>
  <si>
    <t>1014933, *SALES*</t>
  </si>
  <si>
    <t>*SALES*
*TRANSACTIONS (RESALE)**
*SOCIETY HOUSE*
_Area: Downtown_
_All types/bedrooms_
```Date    Price   BUA  Type B```
```------------2025-----------```
```23Dec    1.2M   374  XXXX S```
```10Dec  4.134M  1607  XXXX 2```
```10Nov   2.08M   753  XXXX 1```
```09Sep  2.451M   997  XX04 1```
```18Jul      2M   697  XXXX 1```
```08Jul   2.15M   739  XXXX 1```
```30Jun   1.34M   354  XXXX S```
```24Jun   2.05M   728  XXXX 1```
```27May  2.521M   825  XX08 1```
```20May   2.22M   996  XX04 1```
```09Apr  2.099M   748  XXXX 1```
```03Apr    1.8M   704  XXXX 1```
```20Mar  1.902M   705  XX06 1```
```28Feb  2.013M   705  XX06 1```
```25Feb  2.899M   742  XXXX 1```
```17Feb   1.19M   374  XXXX S```
```17Jan      2M   711  XXXX 1```
```------------2024-----------```
```30Dec   1.07M   354  XXXX S```
```15Nov  2.753M   752  XX02 1```
```11Jun  1.235M   358  XXXX S```
```16Jan  2.406M   823  XX12 1```
```10Jan  1.417M   375  XX09 S```
```------------2023-----------```
```01Dec  2.431M   878  XX04 1```
```01Dec  1.431M   374  XXXX S```
```01Dec  1.246M   381  XX10 S```
```30Nov  2.177M   827  XX04 1```
_Source: DLD, Databot_
_BUA - built-up area, sq.ft._
_P/sf - price per sq.ft._
_B - bedrooms; O - office_
_M - million, K- thousand_
_S - studio, R - shop_
_*Max 30 latest transactions_
www.trydatabot.com</t>
  </si>
  <si>
    <t>1014934, Society, *BUILDI</t>
  </si>
  <si>
    <t xml:space="preserve">*BUILDING*
*PROFILE*
*SOCIETY HOUSE*
_Area: Downtown_
_Tap&amp;hold to copy a reply_
```-------------------------```
```Report              Reply```
```-------------------------```
*Studio*
```Resell, ROI       1014884```
```Primary sales     1014935```
```Price chart       1014885```
```Rentals               n/a```
```Appreciation      1014887```
*1 B/R*
```Resell, ROI       1014888```
```Primary sales     1014936```
```Price chart       1014889```
```Rentals               n/a```
```Appreciation      1014891```
*2 B/R*
```Resell, ROI       1014892```
```Primary sales     1014937```
```Price chart       1014893```
```Rentals               n/a```
```Appreciation      1014895```
*3 B/R*
```Primary sales     1014938```
*All types/bedrooms*
```Resell, ROI       1014933```
```Primary sales     1014947```
```Rentals               n/a```
</t>
  </si>
  <si>
    <t>1014935, *SALES*</t>
  </si>
  <si>
    <t>*SALES*
*TRANSACTIONS (PRIMARY)**
*SOCIETY HOUSE*
_Area: Downtown_
_Type: studio apartment_
```Date   Price  BUA Type P/sf```
```------------2024-----------```
```20Aug 1.422M  377 XX02 3771```
```19Jul 1.478M  385 XXXX 3839```
```22May 1.221M  353 XXXX 3458```
```16May 1.473M  392 XXXX 3758```
```16May 1.338M  384 XXXX 3483```
```13May 1.464M  385 XXXX 3802```
```01May 1.459M  392 XXXX 3722```
```04Apr 1.468M  383 XXXX 3834```
```02Apr  1.45M  381 XXXX 3805```
```11Mar 1.375M  375 XX09 3667```
```13Feb 1.436M  385 XX10 3729```
```09Feb 1.408M  385 XXXX 3656```
```10Jan 1.225M  354 XX15 3462```
```------------2023-----------```
```29Aug 1.091M  358 XX08 3047```
```25Aug 1.062M  354 XX15 3001```
```23Aug 1.107M  358 XX08 3093```
```23Aug  1.16M  385 XXXX 3014```
```23Aug 1.213M  381 XX10 3185```
```22Aug 1.152M  374 XXXX 3080```
```21Aug 1.258M  383 XX02 3285```
_Source: DLD, Databot_
_BUA - built-up area, sq.ft._
_P/sf - price per sq.ft._
_B - bedrooms; O - office_
_M - million, K- thousand_
_S - studio, R - shop_
_*Max 20 latest transactions_
www.trydatabot.com</t>
  </si>
  <si>
    <t>1014936, *SALES*</t>
  </si>
  <si>
    <t>*SALES*
*TRANSACTIONS (PRIMARY)**
*SOCIETY HOUSE*
_Area: Downtown_
_Type: 1 bedroom apartment_
```Date   Price  BUA Type P/sf```
```------------2025-----------```
```20Oct 2.567M  964 XXXX 2663```
```26Sep 2.717M  998 XXXX 2722```
```22Sep 2.584M  968 XXXX 2670```
```12Jun 2.376M  794 XX01 2992```
```27May 2.552M  824 XXXX 3097```
```07Apr     3M  752 XX02 3989```
```17Mar 2.339M  753 XX06 3106```
```25Feb 2.983M  752 XX02 3967```
```12Feb 2.574M  867 XXXX 2969```
```06Feb 2.417M  875 XXXX 2762```
```------------2024-----------```
```31Dec 2.269M  752 XX13 3018```
```08Nov 2.696M  742 XXXX 3634```
```08Nov  2.68M  742 XXXX 3612```
```27Sep  2.22M  755 XX01 2941```
```21Aug 2.216M  739 XXXX 2999```
```02Aug 2.459M  971 XXXX 2532```
```25Jul 2.013M  723 XX03 2784```
```25Jul 2.202M  747 XX01 2948```
```10Jul 2.436M  860 XXXX 2833```
```10Jul  2.07M  729 XX03 2840```
_Source: DLD, Databot_
_BUA - built-up area, sq.ft._
_P/sf - price per sq.ft._
_B - bedrooms; O - office_
_M - million, K- thousand_
_S - studio, R - shop_
_*Max 20 latest transactions_
www.trydatabot.com</t>
  </si>
  <si>
    <t>1014937, *SALES*</t>
  </si>
  <si>
    <t>*SALES*
*TRANSACTIONS (PRIMARY)**
*SOCIETY HOUSE*
_Area: Downtown_
_Type: 2 bedroom apartment_
```Date   Price  BUA Type P/sf```
```------------2026-----------```
```15Jan 3.755M 1569 XXXX 2393```
```------------2025-----------```
```27Nov 3.714M 1567 XXXX 2370```
```25Nov 3.652M 1485 XXXX 2459```
```16Jun 5.445M 1352 XXXX 4027```
```12Jun 4.288M 1545 XX07 2776```
```23Apr 4.083M 1485 XX07 2750```
```24Feb 4.876M 1308 XXXX 3728```
```12Feb 7.257M 2091 XX01 3470```
```07Feb 4.764M 1165 XXXX 4089```
```23Jan 6.486M 1943 XX01 3338```
```------------2024-----------```
```12Aug 3.528M 1283 XX09 2750```
```09Aug 4.606M 2845 XX02 1619```
```24Jul 3.461M 1252 XX03 2765```
```15Jul 3.595M 1242 XXXX 2895```
```10Jul 3.841M 1376 XX03 2791```
```04Jul 3.885M 1485 XX07 2616```
```03Jun 3.935M 1569 XXXX 2508```
```22May 3.707M 1351 XXXX 2744```
```13May 4.134M 1607 XXXX 2573```
```13May 4.199M 1607 XXXX 2613```
_Source: DLD, Databot_
_BUA - built-up area, sq.ft._
_P/sf - price per sq.ft._
_B - bedrooms; O - office_
_M - million, K- thousand_
_S - studio, R - shop_
_*Max 20 latest transactions_
www.trydatabot.com</t>
  </si>
  <si>
    <t>1014938, *SALES*</t>
  </si>
  <si>
    <t>*SALES*
*TRANSACTIONS (PRIMARY)**
*SOCIETY HOUSE*
_Area: Downtown_
_Type: 3 bedroom apartment_
```Date   Price  BUA Type P/sf```
```------------2025-----------```
```18Jun 17.02M 4455 XX01 3821```
```------------2024-----------```
```09Aug   9.9M 2845 XX02 3480```
_Source: DLD, Databot_
_BUA - built-up area, sq.ft._
_P/sf - price per sq.ft._
_B - bedrooms; O - office_
_M - million, K- thousand_
_S - studio, R - shop_
_*Max 20 latest transactions_
www.trydatabot.com</t>
  </si>
  <si>
    <t>1014947, *SALES*</t>
  </si>
  <si>
    <t>*SALES*
*TRANSACTIONS (PRIMARY)**
*SOCIETY HOUSE*
_Area: Downtown_
_All types/bedrooms_
```Date    Price   BUA  Type B```
```------------2026-----------```
```15Jan  3.755M  1569  XXXX 2```
```------------2025-----------```
```27Nov  3.714M  1567  XXXX 2```
```25Nov  3.652M  1485  XXXX 2```
```20Oct  2.567M   964  XXXX 1```
```26Sep  2.717M   998  XXXX 1```
```22Sep  2.584M   968  XXXX 1```
```18Jun  17.02M  4455  XX01 3```
```16Jun  5.445M  1352  XXXX 2```
```12Jun  4.288M  1545  XX07 2```
```12Jun  2.376M   794  XX01 1```
```27May  2.552M   824  XXXX 1```
```23Apr  4.083M  1485  XX07 2```
```07Apr      3M   752  XX02 1```
```17Mar  2.339M   753  XX06 1```
```25Feb  2.983M   752  XX02 1```
```24Feb  4.876M  1308  XXXX 2```
```12Feb  7.257M  2091  XX01 2```
```12Feb  2.574M   867  XXXX 1```
```07Feb  4.764M  1165  XXXX 2```
```06Feb  2.417M   875  XXXX 1```
_Source: DLD, Databot_
_BUA - built-up area, sq.ft._
_P/sf - price per sq.ft._
_B - bedrooms; O - office_
_M - million, K- thousand_
_S - studio, R - shop_
_*Max 20 latest transactions_
www.trydatabot.com</t>
  </si>
  <si>
    <t>1014952, *SALES*</t>
  </si>
  <si>
    <t>*SALES*
*TRANSACTIONS**
*THE RESIDENCES 1*
_Area: Downtown_
_Type: 1 bedroom apartment_
```Date   Price  BUA Type P/sf```
```------------2026-----------```
```12Jan   2.3M  915 XXXX 2514```
```------------2025-----------```
```10Nov   2.3M 1046 XXXX 2199```
```04Sep   2.6M  915 XXXX 2842```
```25Aug 2.275M 1046 XXXX 2175```
```28Jul  2.45M  915 XXXX 2678```
```28Feb  2.36M  915 XXXX 2579```
```------------2024-----------```
```13Nov   2.2M  915 XXXX 2404```
```01Aug  1.78M 1046 XXXX 1702```
```13Jun   1.9M 1046 XX05 1816```
```14May   2.2M 1121 XX01 1963```
```22Apr   1.9M 1190 XXXX 1597```
```02Apr 2.275M  915 XX04 2486```
```25Mar   1.8M 1046 XX05 1721```
```22Feb   1.7M  915 XX04 1858```
```19Feb   2.1M  915 XX04 2295```
```13Feb     4M 1375 XXXX 2909```
```------------2023-----------```
```14Dec  1.85M 1046 XX05 1769```
```28Jul  1.84M 1046 XX05 1759```
```06Jul   1.7M 1046 XX05 1625```
```23Jun 1.925M 1121 XX01 1717```
```30May     2M  915 XX04 2186```
```18Apr  1.75M  915 XX04 1913```
```15Mar   2.1M  915 XX04 2295```
```27Feb     2M 1375 XXXX 1455```
```20Feb 1.625M 1046 XX05 1554```
```02Jan   1.5M 1046 XX05 1434```
```------------2022-----------```
```10Nov  1.52M 1046 XX05 1453```
```12Aug 1.485M 1375 XXXX 1080```
```02Mar  1.25M  915 XX04 1366```
```24Feb  1.53M  915 XX04 1672```
_Source: DLD, Databot_
_BUA - built-up area, sq.ft._
_P/sf - price per sq.ft._
_B - bedrooms; O - office_
_M - million, K- thousand_
_S - studio, R - shop_
_*Max 30 latest transactions_
www.trydatabot.com</t>
  </si>
  <si>
    <t>The Residences 1</t>
  </si>
  <si>
    <t>1014953, *MARKET</t>
  </si>
  <si>
    <t>*MARKET*
*SNAPSHOT*
*THE RESIDENCES 1*
_Area: Downtown_
_Type: 1 bedroom apartment_
*Price dynamics, Dirham/sq.ft.*
_(M - median value)_
```2909|      *               ```
```    |                   *  ```
```    |                 *    ```
```    |          *     *    *```
```    |               *      ```
```    |       *            * ```
```2069|---------------------M```
```    | *                *   ```
```    |            *         ```
```    |*   **  *    *        ```
```1597|  **     * *  *       ```
```____|______________________```
```    |Apr2023        Jan2026```
_Source: see table below_
*Latest sales transactions*
```Date   Price  BUA Type P/sf```
```------------2026-----------```
```12Jan   2.3M  915 XXXX 2514```
```------------2025-----------```
```10Nov   2.3M 1046 XXXX 2199```
```04Sep   2.6M  915 XXXX 2842```
```25Aug 2.275M 1046 XXXX 2175```
```28Jul  2.45M  915 XXXX 2678```
```28Feb  2.36M  915 XXXX 2579```
```------------2024-----------```
```13Nov   2.2M  915 XXXX 2404```
```01Aug  1.78M 1046 XXXX 1702```
```13Jun   1.9M 1046 XX05 1816```
```14May   2.2M 1121 XX01 1963```
```22Apr   1.9M 1190 XXXX 1597```
```02Apr 2.275M  915 XX04 2486```
```25Mar   1.8M 1046 XX05 1721```
```22Feb   1.7M  915 XX04 1858```
```19Feb   2.1M  915 XX04 2295```
```13Feb     4M 1375 XXXX 2909```
```------------2023-----------```
```14Dec  1.85M 1046 XX05 1769```
```28Jul  1.84M 1046 XX05 1759```
```06Jul   1.7M 1046 XX05 1625```
```23Jun 1.925M 1121 XX01 1717```
```30May     2M  915 XX04 2186```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</si>
  <si>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1014956, *SALES*</t>
  </si>
  <si>
    <t>*SALES*
*TRANSACTIONS**
*THE RESIDENCES 1*
_Area: Downtown_
_Type: 2 bedroom apartment_
```Date   Price  BUA Type P/sf```
```------------2025-----------```
```03Jun 3.765M 1629 XXXX 2311```
```17Apr  3.65M 1452 XXXX 2514```
```20Feb     6M 1629 XXXX 3683```
```03Feb 3.575M 1452 XXXX 2462```
```------------2024-----------```
```28Aug   3.5M 1452 XXXX 2410```
```13Aug     6M 1629 XXXX 3683```
```16May  3.35M 1452 XX01 2307```
```29Apr 1.612M 1629 XX03  990```
```03Apr   3.3M 1452 XX01 2273```
```22Jan   5.2M 1629 XX03 3192```
```------------2023-----------```
```30Oct   4.9M 1629 XX03 3008```
```21Jun  4.15M 1629 XX03 2548```
```06Apr  3.25M 1452 XX01 2238```
```17Jan     3M 1452 XX01 2066```
```------------2022-----------```
```08Sep  4.05M 1629 XX03 2486```
```18Aug  2.45M 1452 XX01 1687```
```------------2021-----------```
```26Sep   3.8M 1629 XX03 2333```
```29Jul  4.25M 1629 XX03 2609```
```27Jul   391K 1629 XX03  240```
```10May   3.4M 1629 XX03 2087```
```07Mar   3.4M 1629 XX03 2087```
```------------2020-----------```
```15Jul  2.05M 1452 XX01 1412```
```------------2019-----------```
```20Aug 1.975M 1452 XX01 1360```
_Source: DLD, Databot_
_BUA - built-up area, sq.ft._
_P/sf - price per sq.ft._
_B - bedrooms; O - office_
_M - million, K- thousand_
_S - studio, R - shop_
_*Max 30 latest transactions_
www.trydatabot.com</t>
  </si>
  <si>
    <t>1014957, *MARKET</t>
  </si>
  <si>
    <t>*MARKET*
*SNAPSHOT*
*THE RESIDENCES 1*
_Area: Downtown_
_Type: 2 bedroom apartment_
*Price dynamics, Dirham/sq.ft.*
_(M - median value)_
```3683|                *  *  ```
```    |            *         ```
```    |           *          ```
```    |    *  *  *         * ```
```2322|---------------------M```
```    |     *   *   * * **  *```
```    | **     *             ```
```    |      *               ```
```    |*                     ```
```    |              *       ```
```240 |   *                  ```
```____|______________________```
```    |Jul2020        Jun2025```
_Source: see table below_
*Latest sales transactions*
```Date   Price  BUA Type P/sf```
```------------2025-----------```
```03Jun 3.765M 1629 XXXX 2311```
```17Apr  3.65M 1452 XXXX 2514```
```20Feb     6M 1629 XXXX 3683```
```03Feb 3.575M 1452 XXXX 2462```
```------------2024-----------```
```28Aug   3.5M 1452 XXXX 2410```
```13Aug     6M 1629 XXXX 3683```
```16May  3.35M 1452 XX01 2307```
```29Apr 1.612M 1629 XX03  990```
```03Apr   3.3M 1452 XX01 2273```
```22Jan   5.2M 1629 XX03 3192```
```------------2023-----------```
```30Oct   4.9M 1629 XX03 3008```
```21Jun  4.15M 1629 XX03 2548```
```06Apr  3.25M 1452 XX01 2238```
```17Jan     3M 1452 XX01 2066```
```------------2022-----------```
```08Sep  4.05M 1629 XX03 2486```
```18Aug  2.45M 1452 XX01 1687```
```------------2021-----------```
```26Sep   3.8M 1629 XX03 2333```
```29Jul  4.25M 1629 XX03 2609```
```27Jul   391K 1629 XX03  240```
```10May   3.4M 1629 XX03 2087```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</si>
  <si>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1014960, *SALES*</t>
  </si>
  <si>
    <t>*SALES*
*TRANSACTIONS**
*THE RESIDENCES 1*
_Area: Downtown_
_Type: 3 bedroom apartment_
```Date   Price  BUA Type P/sf```
```------------2026-----------```
```14Jan    20M 3289 XXXX 6081```
```------------2025-----------```
```15Sep   7.3M 2082 XXXX 3506```
```13Feb   7.5M 2082 XXXX 3602```
```------------2024-----------```
```11Nov   6.7M 2082 XXXX 3218```
```14Jun   5.5M 2082 XXXX 2642```
```------------2022-----------```
```25Nov   6.1M 2082 XX02 2930```
```17Mar   624K 3289 XX02  190```
```11Mar   311K 3289 XX02   95```
```11Feb   5.5M 2082 XX02 2642```
```------------2021-----------```
```06Dec   8.4M 3546 XX02 2369```
```------------2020-----------```
```21Oct     5M 2082 XX02 2402```
```29Sep   4.1M 2082 XX02 1969```
```28Jan   3.5M 2082 XX02 1681```
```------------2018-----------```
```26Sep   3.1M 2082 XX02 1489```
_Source: DLD, Databot_
_BUA - built-up area, sq.ft._
_P/sf - price per sq.ft._
_B - bedrooms; O - office_
_M - million, K- thousand_
_S - studio, R - shop_
_*Max 30 latest transactions_
www.trydatabot.com</t>
  </si>
  <si>
    <t>1014961, *MARKET</t>
  </si>
  <si>
    <t>*MARKET*
*SNAPSHOT*
*THE RESIDENCES 1*
_Area: Downtown_
_Type: 3 bedroom apartment_
*Price dynamics, Dirham/sq.ft.*
_(M - median value)_
```6081|                     *```
```    |                      ```
```    |                      ```
```    |                      ```
```    |                   ** ```
```    |                * *   ```
```2522|---------------------M```
```    |           ***   *    ```
```    |         **           ```
```    |        *             ```
```95 |********      **      ```
```____|______________________```
```    |Sep2018        Jan2026```
_Source: see table below_
*Latest sales transactions*
```Date   Price  BUA Type P/sf```
```------------2026-----------```
```14Jan    20M 3289 XXXX 6081```
```------------2025-----------```
```15Sep   7.3M 2082 XXXX 3506```
```13Feb   7.5M 2082 XXXX 3602```
```------------2024-----------```
```11Nov   6.7M 2082 XXXX 3218```
```14Jun   5.5M 2082 XXXX 2642```
```------------2022-----------```
```25Nov   6.1M 2082 XX02 2930```
```17Mar   624K 3289 XX02  190```
```11Mar   311K 3289 XX02   95```
```11Feb   5.5M 2082 XX02 2642```
```------------2021-----------```
```06Dec   8.4M 3546 XX02 2369```
```------------2020-----------```
```21Oct     5M 2082 XX02 2402```
```29Sep   4.1M 2082 XX02 1969```
```28Jan   3.5M 2082 XX02 1681```
```------------2018-----------```
```26Sep   3.1M 2082 XX02 1489```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</si>
  <si>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1014968, *SALES*</t>
  </si>
  <si>
    <t>*SALES*
*TRANSACTIONS**
*THE RESIDENCES 1*
_Area: Downtown_
_Type: 5 bedroom apartment_
```Date   Price  BUA Type P/sf```
```------------2025-----------```
```15Sep 20.75M 7059 XXXX 2940```
_Source: DLD, Databot_
_BUA - built-up area, sq.ft._
_P/sf - price per sq.ft._
_B - bedrooms; O - office_
_M - million, K- thousand_
_S - studio, R - shop_
_*Max 30 latest transactions_
www.trydatabot.com</t>
  </si>
  <si>
    <t>1014969, *MARKET</t>
  </si>
  <si>
    <t>*MARKET*
*SNAPSHOT*
*THE RESIDENCES 1*
_Area: Downtown_
_Type: 5 bedroom apartment_
*Price dynamics, Dirham/sq.ft.*
_(M - median value)_
```2940|                     *```
```2940|----------------------```
```    |                     *```
```2940|---------------------M```
```    |                     *```
```2940|---------------------M```
```    |                     *```
```2940|---------------------M```
```    |                     *```
```2940|---------------------M```
```    |                     *```
```____|______________________```
```    |Sep2025        Sep2025```
_Source: see table below_
*Latest sales transactions*
```Date   Price  BUA Type P/sf```
```------------2025-----------```
```15Sep 20.75M 7059 XXXX 2940```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</si>
  <si>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1014997, *SALES*</t>
  </si>
  <si>
    <t>*SALES*
*TRANSACTIONS**
*THE RESIDENCES 1*
_Area: Downtown_
_All types/bedrooms_
```Date    Price   BUA  Type B```
```------------2026-----------```
```14Jan     20M  3289  XXXX 3```
```12Jan    2.3M   915  XXXX 1```
```------------2025-----------```
```10Nov    2.3M  1046  XXXX 1```
```15Sep  20.75M  7059  XXXX 5```
```15Sep    7.3M  2082  XXXX 3```
```04Sep    2.6M   915  XXXX 1```
```25Aug  2.275M  1046  XXXX 1```
```28Jul   2.45M   915  XXXX 1```
```03Jun  3.765M  1629  XXXX 2```
```17Apr   3.65M  1452  XXXX 2```
```28Feb   2.36M   915  XXXX 1```
```20Feb      6M  1629  XXXX 2```
```13Feb    7.5M  2082  XXXX 3```
```03Feb  3.575M  1452  XXXX 2```
```------------2024-----------```
```13Nov    2.2M   915  XXXX 1```
```11Nov    6.7M  2082  XXXX 3```
```28Aug    3.5M  1452  XXXX 2```
```13Aug      6M  1629  XXXX 2```
```01Aug   1.78M  1046  XXXX 1```
```14Jun    5.5M  2082  XXXX 3```
```13Jun    1.9M  1046  XX05 1```
```16May   3.35M  1452  XX01 2```
```14May    2.2M  1121  XX01 1```
```29Apr  1.612M  1629  XX03 2```
```22Apr    1.9M  1190  XXXX 1```
```03Apr    3.3M  1452  XX01 2```
```02Apr  2.275M   915  XX04 1```
```25Mar    1.8M  1046  XX05 1```
```22Feb    1.7M   915  XX04 1```
```19Feb    2.1M   915  XX04 1```
_Source: DLD, Databot_
_BUA - built-up area, sq.ft._
_P/sf - price per sq.ft._
_B - bedrooms; O - office_
_M - million, K- thousand_
_S - studio, R - shop_
_*Max 30 latest transactions_
www.trydatabot.com</t>
  </si>
  <si>
    <t>1014998, by code, *BUILDI</t>
  </si>
  <si>
    <t xml:space="preserve">*BUILDING*
*PROFILE*
*THE RESIDENCES 1*
_Area: Downtown_
_Tap&amp;hold to copy a reply_
```-------------------------```
```Report              Reply```
```-------------------------```
*1 B/R*
```Sales, ROI        1014952```
```Price chart       1014953```
```Rentals               n/a```
*2 B/R*
```Sales, ROI        1014956```
```Price chart       1014957```
```Rentals               n/a```
*3 B/R*
```Sales, ROI        1014960```
```Price chart       1014961```
```Rentals               n/a```
*5 B/R*
```Sales, ROI        1014968```
```Price chart       1014969```
```Rentals               n/a```
*All types/bedrooms*
```Sales, ROI        1014997```
```Rentals               n/a```
</t>
  </si>
  <si>
    <t>1015012, *SALES*</t>
  </si>
  <si>
    <t>*SALES*
*TRANSACTIONS**
*THE RESIDENCES 3*
_Area: Downtown_
_Type: studio apartment_
```Date   Price  BUA Type P/sf```
```------------2025-----------```
```02Jun 2.025M  937 XXXX 2161```
_Source: DLD, Databot_
_BUA - built-up area, sq.ft._
_P/sf - price per sq.ft._
_B - bedrooms; O - office_
_M - million, K- thousand_
_S - studio, R - shop_
_*Max 30 latest transactions_
www.trydatabot.com</t>
  </si>
  <si>
    <t>The Residences 3</t>
  </si>
  <si>
    <t>1015013, *MARKET</t>
  </si>
  <si>
    <t>*MARKET*
*SNAPSHOT*
*THE RESIDENCES 3*
_Area: Downtown_
_Type: studio apartment_
*Price dynamics, Dirham/sq.ft.*
_(M - median value)_
```2161|                     *```
```2161|----------------------```
```    |                     *```
```2161|---------------------M```
```    |                     *```
```2161|---------------------M```
```    |                     *```
```2161|---------------------M```
```    |                     *```
```2161|---------------------M```
```    |                     *```
```____|______________________```
```    |Jun2025        Jun2025```
_Source: see table below_
*Latest sales transactions*
```Date   Price  BUA Type P/sf```
```------------2025-----------```
```02Jun 2.025M  937 XXXX 2161```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</si>
  <si>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1015016, *SALES*</t>
  </si>
  <si>
    <t>*SALES*
*TRANSACTIONS**
*THE RESIDENCES 3*
_Area: Downtown_
_Type: 1 bedroom apartment_
```Date   Price  BUA Type P/sf```
```------------2026-----------```
```06Jan  2.35M  986 XXXX 2383```
```------------2025-----------```
```11Nov   2.5M 1023 XXXX 2444```
```30Oct  2.34M  986 XXXX 2373```
```09May   2.2M  986 XXXX 2231```
```27Jan  2.35M 1023 XXXX 2297```
```------------2024-----------```
```21Oct   600K  512 XXXX 1172```
```21Oct   600K  512 XXXX 1172```
```------------2023-----------```
```20Jun  1.97M 1023 XX05 1926```
```------------2022-----------```
```16Nov 2.075M 1023 XX05 2028```
```13Sep 1.675M  948 XX04 1767```
```29Aug   1.7M  986 XX03 1724```
```23Aug  2.05M  986 XX03 2079```
```10Aug  1.55M  986 XX03 1572```
```13Jun 1.775M 1023 XX05 1735```
```------------2021-----------```
```17Nov   1.4M  948 XX04 1477```
```29Sep 1.345M  986 XX03 1364```
```------------2019-----------```
```27May  1.28M  948 XX04 1350```
```17Feb   1.3M  948 XX04 1371```
```------------2018-----------```
```06Dec  1.64M  986 XX03 1663```
```27Sep 1.746M 1023 XX05 1707```
```21Jun  2.05M 1023 XX05 2004```
```29Mar  1.45M  948 XX04 1530```
```21Mar   1.4M  986 XX03 1420```
```20Mar 1.735M  986 XX03 1760```
_Source: DLD, Databot_
_BUA - built-up area, sq.ft._
_P/sf - price per sq.ft._
_B - bedrooms; O - office_
_M - million, K- thousand_
_S - studio, R - shop_
_*Max 30 latest transactions_
www.trydatabot.com</t>
  </si>
  <si>
    <t>1015017, *MARKET</t>
  </si>
  <si>
    <t>*MARKET*
*SNAPSHOT*
*THE RESIDENCES 3*
_Area: Downtown_
_Type: 1 bedroom apartment_
*Price dynamics, Dirham/sq.ft.*
_(M - median value)_
```2444|                    **```
```    |                 * *  ```
```    |                  *   ```
```    | *        *  *        ```
```    |              *       ```
```    |            *         ```
```1730|---------------------M```
```    |  **    *  *          ```
```    |*        *            ```
```    |    ****              ```
```1172|               **     ```
```____|______________________```
```    |Mar2018        Jan2026```
_Source: see table below_
*Latest sales transactions*
```Date   Price  BUA Type P/sf```
```------------2026-----------```
```06Jan  2.35M  986 XXXX 2383```
```------------2025-----------```
```11Nov   2.5M 1023 XXXX 2444```
```30Oct  2.34M  986 XXXX 2373```
```09May   2.2M  986 XXXX 2231```
```27Jan  2.35M 1023 XXXX 2297```
```------------2024-----------```
```21Oct   600K  512 XXXX 1172```
```21Oct   600K  512 XXXX 1172```
```------------2023-----------```
```20Jun  1.97M 1023 XX05 1926```
```------------2022-----------```
```16Nov 2.075M 1023 XX05 2028```
```13Sep 1.675M  948 XX04 1767```
```29Aug   1.7M  986 XX03 1724```
```23Aug  2.05M  986 XX03 2079```
```10Aug  1.55M  986 XX03 1572```
```13Jun 1.775M 1023 XX05 1735```
```------------2021-----------```
```17Nov   1.4M  948 XX04 1477```
```29Sep 1.345M  986 XX03 1364```
```------------2019-----------```
```27May  1.28M  948 XX04 1350```
```17Feb   1.3M  948 XX04 1371```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</si>
  <si>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1015020, *SALES*</t>
  </si>
  <si>
    <t>*SALES*
*TRANSACTIONS**
*THE RESIDENCES 3*
_Area: Downtown_
_Type: 2 bedroom apartment_
```Date   Price  BUA Type P/sf```
```------------2025-----------```
```04Mar   4.4M 1435 XXXX 3066```
```08Jan  5.85M 1478 XXXX 3958```
```------------2024-----------```
```08Oct  4.95M 1478 XXXX 3349```
```06May     5M 1478 XX02 3383```
```------------2023-----------```
```11Oct   4.3M 1478 XX02 2909```
```26Jul   4.3M 1478 XX02 2909```
```20Feb   3.1M 1435 XX01 2160```
```------------2022-----------```
```22Nov   4.2M 1435 XX01 2927```
```09Mar  3.45M 1435 XX01 2404```
```------------2021-----------```
```28Oct 3.159M 1435 XX01 2201```
```27Oct   3.5M 1435 XX01 2439```
```24May   2.9M 1435 XX01 2021```
```------------2020-----------```
```24Dec   2.5M 1435 XX01 1742```
```23Mar 2.747M 1478 XX02 1859```
```------------2019-----------```
```09Jun   3.1M 1478 XX02 2097```
```10Feb     3M 1435 XX01 2091```
_Source: DLD, Databot_
_BUA - built-up area, sq.ft._
_P/sf - price per sq.ft._
_B - bedrooms; O - office_
_M - million, K- thousand_
_S - studio, R - shop_
_*Max 30 latest transactions_
www.trydatabot.com</t>
  </si>
  <si>
    <t>1015021, *MARKET</t>
  </si>
  <si>
    <t>*MARKET*
*SNAPSHOT*
*THE RESIDENCES 3*
_Area: Downtown_
_Type: 2 bedroom apartment_
*Price dynamics, Dirham/sq.ft.*
_(M - median value)_
```3958|                    * ```
```    |                      ```
```    |                      ```
```    |                  **  ```
```    |                     *```
```    |              * **    ```
```    |                      ```
```2422|---------------------M```
```    |           * *        ```
```    |      **  * *  *      ```
```1742|        **            ```
```____|______________________```
```    |Feb2019        Mar2025```
_Source: see table below_
*Latest sales transactions*
```Date   Price  BUA Type P/sf```
```------------2025-----------```
```04Mar   4.4M 1435 XXXX 3066```
```08Jan  5.85M 1478 XXXX 3958```
```------------2024-----------```
```08Oct  4.95M 1478 XXXX 3349```
```06May     5M 1478 XX02 3383```
```------------2023-----------```
```11Oct   4.3M 1478 XX02 2909```
```26Jul   4.3M 1478 XX02 2909```
```20Feb   3.1M 1435 XX01 2160```
```------------2022-----------```
```22Nov   4.2M 1435 XX01 2927```
```09Mar  3.45M 1435 XX01 2404```
```------------2021-----------```
```28Oct 3.159M 1435 XX01 2201```
```27Oct   3.5M 1435 XX01 2439```
```24May   2.9M 1435 XX01 2021```
```------------2020-----------```
```24Dec   2.5M 1435 XX01 1742```
```23Mar 2.747M 1478 XX02 1859```
```------------2019-----------```
```09Jun   3.1M 1478 XX02 2097```
```10Feb     3M 1435 XX01 2091```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</si>
  <si>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1015032, *SALES*</t>
  </si>
  <si>
    <t>*SALES*
*TRANSACTIONS**
*THE RESIDENCES 3*
_Area: Downtown_
_Type: 5 bedroom apartment_
```Date   Price  BUA Type P/sf```
```------------2025-----------```
```14Jul  17.1M 5918 XXXX 2889```
_Source: DLD, Databot_
_BUA - built-up area, sq.ft._
_P/sf - price per sq.ft._
_B - bedrooms; O - office_
_M - million, K- thousand_
_S - studio, R - shop_
_*Max 30 latest transactions_
www.trydatabot.com</t>
  </si>
  <si>
    <t>1015033, *MARKET</t>
  </si>
  <si>
    <t>*MARKET*
*SNAPSHOT*
*THE RESIDENCES 3*
_Area: Downtown_
_Type: 5 bedroom apartment_
*Price dynamics, Dirham/sq.ft.*
_(M - median value)_
```2889|                     *```
```2889|----------------------```
```    |                     *```
```2889|---------------------M```
```    |                     *```
```2889|---------------------M```
```    |                     *```
```2889|---------------------M```
```    |                     *```
```2889|---------------------M```
```    |                     *```
```____|______________________```
```    |Jul2025        Jul2025```
_Source: see table below_
*Latest sales transactions*
```Date   Price  BUA Type P/sf```
```------------2025-----------```
```14Jul  17.1M 5918 XXXX 2889```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</si>
  <si>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1015061, *SALES*</t>
  </si>
  <si>
    <t>*SALES*
*TRANSACTIONS**
*THE RESIDENCES 3*
_Area: Downtown_
_All types/bedrooms_
```Date    Price   BUA  Type B```
```------------2026-----------```
```06Jan   2.35M   986  XXXX 1```
```------------2025-----------```
```11Nov    2.5M  1023  XXXX 1```
```30Oct   2.34M   986  XXXX 1```
```14Jul   17.1M  5918  XXXX 5```
```02Jun  2.025M   937  XXXX S```
```09May    2.2M   986  XXXX 1```
```04Mar    4.4M  1435  XXXX 2```
```27Jan   2.35M  1023  XXXX 1```
```08Jan   5.85M  1478  XXXX 2```
```------------2024-----------```
```21Oct    600K   512  XXXX 1```
```21Oct    600K   512  XXXX 1```
```08Oct   4.95M  1478  XXXX 2```
```06May      5M  1478  XX02 2```
```------------2023-----------```
```11Oct    4.3M  1478  XX02 2```
```26Jul    4.3M  1478  XX02 2```
```20Jun   1.97M  1023  XX05 1```
```20Feb    3.1M  1435  XX01 2```
```------------2022-----------```
```22Nov    4.2M  1435  XX01 2```
```16Nov  2.075M  1023  XX05 1```
```13Sep  1.675M   948  XX04 1```
```29Aug    1.7M   986  XX03 1```
```23Aug   2.05M   986  XX03 1```
```10Aug   1.55M   986  XX03 1```
```13Jun  1.775M  1023  XX05 1```
```09Mar   3.45M  1435  XX01 2```
```------------2021-----------```
```17Nov    1.4M   948  XX04 1```
```28Oct  3.159M  1435  XX01 2```
```27Oct    3.5M  1435  XX01 2```
```29Sep  1.345M   986  XX03 1```
```24May    2.9M  1435  XX01 2```
_Source: DLD, Databot_
_BUA - built-up area, sq.ft._
_P/sf - price per sq.ft._
_B - bedrooms; O - office_
_M - million, K- thousand_
_S - studio, R - shop_
_*Max 30 latest transactions_
www.trydatabot.com</t>
  </si>
  <si>
    <t>1015062, by code, *BUILDI</t>
  </si>
  <si>
    <t xml:space="preserve">*BUILDING*
*PROFILE*
*THE RESIDENCES 3*
_Area: Downtown_
_Tap&amp;hold to copy a reply_
```-------------------------```
```Report              Reply```
```-------------------------```
*Studio*
```Sales, ROI        1015012```
```Price chart       1015013```
```Rentals               n/a```
*1 B/R*
```Sales, ROI        1015016```
```Price chart       1015017```
```Rentals               n/a```
*2 B/R*
```Sales, ROI        1015020```
```Price chart       1015021```
```Rentals               n/a```
*5 B/R*
```Sales, ROI        1015032```
```Price chart       1015033```
```Rentals               n/a```
*All types/bedrooms*
```Sales, ROI        1015061```
```Rentals               n/a```
</t>
  </si>
  <si>
    <t>1015076, *SALES*</t>
  </si>
  <si>
    <t>*SALES*
*TRANSACTIONS**
*THE RESIDENCES 4*
_Area: Downtown_
_Type: studio apartment_
```Date   Price  BUA Type P/sf```
```------------2024-----------```
```17May     2M  923 XXXX 2167```
```------------2023-----------```
```04Sep 1.425M  923 XXXX 1544```
_Source: DLD, Databot_
_BUA - built-up area, sq.ft._
_P/sf - price per sq.ft._
_B - bedrooms; O - office_
_M - million, K- thousand_
_S - studio, R - shop_
_*Max 30 latest transactions_
www.trydatabot.com</t>
  </si>
  <si>
    <t>The Residences 4</t>
  </si>
  <si>
    <t>1015077, *MARKET</t>
  </si>
  <si>
    <t>*MARKET*
*SNAPSHOT*
*THE RESIDENCES 4*
_Area: Downtown_
_Type: studio apartment_
*Price dynamics, Dirham/sq.ft.*
_(M - median value)_
```2167|                     *```
```    |                      ```
```    |                      ```
```    |                      ```
```    |                      ```
```1856|---------------------M```
```    |                      ```
```    |                      ```
```    |                      ```
```    |                      ```
```1544|                    * ```
```____|______________________```
```    |Sep2023        May2024```
_Source: see table below_
*Latest sales transactions*
```Date   Price  BUA Type P/sf```
```------------2024-----------```
```17May     2M  923 XXXX 2167```
```------------2023-----------```
```04Sep 1.425M  923 XXXX 1544```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</si>
  <si>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1015088, *SALES*</t>
  </si>
  <si>
    <t>*SALES*
*TRANSACTIONS**
*THE RESIDENCES 4*
_Area: Downtown_
_Type: 3 bedroom apartment_
```Date   Price  BUA Type P/sf```
```------------2026-----------```
```19Jan  7.65M 2379 XXXX 3216```
```------------2025-----------```
```10Mar   7.3M 2379 XXXX 3069```
```18Feb   7.5M 2379 XXXX 3153```
```------------2024-----------```
```30Dec     8M 2379 XXXX 3363```
```03May  5.75M 2379 XX02 2417```
```19Jan   7.5M 2599 XX01 2886```
```------------2023-----------```
```11Dec     8M 2599 XX01 3078```
```25Jul  7.15M 2379 XX02 3005```
```05Jul   7.3M 2379 XX02 3069```
```02Jun     8M 2599 XX01 3078```
```25Apr  4.88M 2379 XX02 2051```
```26Jan 5.989M 2599 XX01 2304```
```------------2022-----------```
```08Feb   5.5M 2379 XX02 2312```
```------------2021-----------```
```09Nov     4M 2599 XX01 1539```
```05Jul    14M 2599 XX01 5387```
```------------2020-----------```
```10Sep 5.141M 2599 XX01 1978```
```30Aug  5.75M 4116 XX02 1397```
```------------2018-----------```
```11Sep   7.8M 2599 XX01 3001```
```22Apr   6.8M 2379 XX02 2858```
```03Jan  6.35M 2379 XX02 2669```
_Source: DLD, Databot_
_BUA - built-up area, sq.ft._
_P/sf - price per sq.ft._
_B - bedrooms; O - office_
_M - million, K- thousand_
_S - studio, R - shop_
_*Max 30 latest transactions_
www.trydatabot.com</t>
  </si>
  <si>
    <t>1015089, *MARKET</t>
  </si>
  <si>
    <t>*MARKET*
*SNAPSHOT*
*THE RESIDENCES 4*
_Area: Downtown_
_Type: 3 bedroom apartment_
*Price dynamics, Dirham/sq.ft.*
_(M - median value)_
```5387|       *              ```
```    |                      ```
```    |                      ```
```    |                      ```
```    |                      ```
```    |                  *  *```
```2944|---------------------M```
```    |   **       *****  ** ```
```    |  *              *    ```
```    |      *  ***          ```
```1397|     *  *             ```
```____|______________________```
```    |Jan2018        Jan2026```
_Source: see table below_
*Latest sales transactions*
```Date   Price  BUA Type P/sf```
```------------2026-----------```
```19Jan  7.65M 2379 XXXX 3216```
```------------2025-----------```
```10Mar   7.3M 2379 XXXX 3069```
```18Feb   7.5M 2379 XXXX 3153```
```------------2024-----------```
```30Dec     8M 2379 XXXX 3363```
```03May  5.75M 2379 XX02 2417```
```19Jan   7.5M 2599 XX01 2886```
```------------2023-----------```
```11Dec     8M 2599 XX01 3078```
```25Jul  7.15M 2379 XX02 3005```
```05Jul   7.3M 2379 XX02 3069```
```02Jun     8M 2599 XX01 3078```
```25Apr  4.88M 2379 XX02 2051```
```26Jan 5.989M 2599 XX01 2304```
```------------2022-----------```
```08Feb   5.5M 2379 XX02 2312```
```------------2021-----------```
```09Nov     4M 2599 XX01 1539```
```05Jul    14M 2599 XX01 5387```
```------------2020-----------```
```10Sep 5.141M 2599 XX01 1978```
```30Aug  5.75M 4116 XX02 1397```
```------------2018-----------```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</si>
  <si>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1015092, *SALES*</t>
  </si>
  <si>
    <t>*SALES*
*TRANSACTIONS**
*THE RESIDENCES 4*
_Area: Downtown_
_Type: 4 bedroom apartment_
```Date   Price  BUA Type P/sf```
```------------2018-----------```
```15Feb    11M 4789 XX01 2297```
_Source: DLD, Databot_
_BUA - built-up area, sq.ft._
_P/sf - price per sq.ft._
_B - bedrooms; O - office_
_M - million, K- thousand_
_S - studio, R - shop_
_*Max 30 latest transactions_
www.trydatabot.com</t>
  </si>
  <si>
    <t>1015093, *MARKET</t>
  </si>
  <si>
    <t>*MARKET*
*SNAPSHOT*
*THE RESIDENCES 4*
_Area: Downtown_
_Type: 4 bedroom apartment_
*Price dynamics, Dirham/sq.ft.*
_(M - median value)_
```2297|                     *```
```2297|----------------------```
```    |                     *```
```2297|---------------------M```
```    |                     *```
```2297|---------------------M```
```    |                     *```
```2297|---------------------M```
```    |                     *```
```2297|---------------------M```
```    |                     *```
```____|______________________```
```    |Feb2018        Feb2018```
_Source: see table below_
*Latest sales transactions*
```Date   Price  BUA Type P/sf```
```------------2018-----------```
```15Feb    11M 4789 XX01 2297```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</si>
  <si>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1015125, *SALES*</t>
  </si>
  <si>
    <t>*SALES*
*TRANSACTIONS**
*THE RESIDENCES 4*
_Area: Downtown_
_All types/bedrooms_
```Date    Price   BUA  Type B```
```------------2026-----------```
```19Jan   7.65M  2379  XXXX 3```
```------------2025-----------```
```10Mar    7.3M  2379  XXXX 3```
```18Feb    7.5M  2379  XXXX 3```
```------------2024-----------```
```30Dec      8M  2379  XXXX 3```
```17May      2M   923  XXXX S```
```03May   5.75M  2379  XX02 3```
```19Jan    7.5M  2599  XX01 3```
```------------2023-----------```
```11Dec      8M  2599  XX01 3```
```04Sep  1.425M   923  XXXX S```
```25Jul   7.15M  2379  XX02 3```
```05Jul    7.3M  2379  XX02 3```
```02Jun      8M  2599  XX01 3```
```25Apr   4.88M  2379  XX02 3```
```26Jan  5.989M  2599  XX01 3```
```------------2022-----------```
```08Feb    5.5M  2379  XX02 3```
```------------2021-----------```
```09Nov      4M  2599  XX01 3```
```05Jul     14M  2599  XX01 3```
```------------2020-----------```
```10Sep  5.141M  2599  XX01 3```
```30Aug   5.75M  4116  XX02 3```
```------------2018-----------```
```11Sep    7.8M  2599  XX01 3```
```22Apr    6.8M  2379  XX02 3```
```15Feb     11M  4789  XX01 4```
```03Jan   6.35M  2379  XX02 3```
_Source: DLD, Databot_
_BUA - built-up area, sq.ft._
_P/sf - price per sq.ft._
_B - bedrooms; O - office_
_M - million, K- thousand_
_S - studio, R - shop_
_*Max 30 latest transactions_
www.trydatabot.com</t>
  </si>
  <si>
    <t>1015126, by code, *BUILDI</t>
  </si>
  <si>
    <t xml:space="preserve">*BUILDING*
*PROFILE*
*THE RESIDENCES 4*
_Area: Downtown_
_Tap&amp;hold to copy a reply_
```-------------------------```
```Report              Reply```
```-------------------------```
*Studio*
```Sales, ROI        1015076```
```Price chart       1015077```
```Rentals               n/a```
*3 B/R*
```Sales, ROI        1015088```
```Price chart       1015089```
```Rentals               n/a```
*4 B/R*
```Sales, ROI        1015092```
```Price chart       1015093```
```Rentals               n/a```
*All types/bedrooms*
```Sales, ROI        1015125```
```Rentals               n/a```
</t>
  </si>
  <si>
    <t>1015144, *SALES*</t>
  </si>
  <si>
    <t>*SALES*
*TRANSACTIONS**
*THE RESIDENCES 5*
_Area: Downtown_
_Type: 1 bedroom apartment_
```Date   Price  BUA Type P/sf```
```------------2026-----------```
```13Jan 2.375M 1092 XXXX 2175```
```------------2025-----------```
```25Nov 2.275M 1092 XXXX 2083```
```09Oct 2.225M 1092 XXXX 2038```
```09Oct  2.18M  906 XXXX 2406```
```17Sep     2M  906 XXXX 2208```
```10Sep   2.3M  906 XXXX 2539```
```07Aug 2.275M 1092 XXXX 2083```
```17Apr  1.73M 1092 XXXX 1584```
```20Mar  2.95M 1092 XXXX 2701```
```27Jan 1.636M 1092 XXXX 1498```
```------------2024-----------```
```31Oct  2.75M 1092 XXXX 2518```
```08Jul  1.75M  906 XXXX 1932```
```31May  2.35M 1092 XX03 2152```
```05Apr  1.65M  906 XX04 1821```
```08Mar  1.85M  906 XX04 2042```
```08Mar 1.855M  906 XX04 2047```
```------------2023-----------```
```24Nov   2.2M 1092 XX03 2015```
```28Jul 1.725M  906 XX04 1904```
```03Jul 1.975M 1092 XX03 1809```
```------------2022-----------```
```06Apr  1.74M 1092 XX03 1593```
```------------2021-----------```
```03Nov 1.625M 1092 XX03 1488```
```29Aug 1.263M  906 XX04 1394```
```26Apr 1.235M  906 XX04 1363```
```01Apr  1.19M  906 XX04 1313```
```------------2020-----------```
```05Feb   1.5M 1092 XX03 1374```
```------------2019-----------```
```16Oct  1.45M 1092 XX03 1328```
```11Jul   850K  906 XX04  938```
```25Apr   1.5M 1092 XX03 1374```
```07Mar   1.4M  906 XX04 1545```
```------------2018-----------```
```07May 1.775M 1092 XX03 1625```
_Source: DLD, Databot_
_BUA - built-up area, sq.ft._
_P/sf - price per sq.ft._
_B - bedrooms; O - office_
_M - million, K- thousand_
_S - studio, R - shop_
_*Max 30 latest transactions_
www.trydatabot.com</t>
  </si>
  <si>
    <t>The Residences 5</t>
  </si>
  <si>
    <t>1015145, *MARKET</t>
  </si>
  <si>
    <t>*MARKET*
*SNAPSHOT*
*THE RESIDENCES 5*
_Area: Downtown_
_Type: 1 bedroom apartment_
*Price dynamics, Dirham/sq.ft.*
_(M - median value)_
```2701|             *        ```
```    |           *    *     ```
```    |                  *   ```
```    |                      ```
```    |         *       *   *```
```2040|---------------------M```
```    |     ***       *   ** ```
```    |    *     *           ```
```    |   *    *             ```
```    |  *           *       ```
```1394|**          *         ```
```____|______________________```
```    |Aug2021        Jan2026```
_Source: see table below_
*Latest sales transactions*
```Date   Price  BUA Type P/sf```
```------------2026-----------```
```13Jan 2.375M 1092 XXXX 2175```
```------------2025-----------```
```25Nov 2.275M 1092 XXXX 2083```
```09Oct 2.225M 1092 XXXX 2038```
```09Oct  2.18M  906 XXXX 2406```
```17Sep     2M  906 XXXX 2208```
```10Sep   2.3M  906 XXXX 2539```
```07Aug 2.275M 1092 XXXX 2083```
```17Apr  1.73M 1092 XXXX 1584```
```20Mar  2.95M 1092 XXXX 2701```
```27Jan 1.636M 1092 XXXX 1498```
```------------2024-----------```
```31Oct  2.75M 1092 XXXX 2518```
```08Jul  1.75M  906 XXXX 1932```
```31May  2.35M 1092 XX03 2152```
```05Apr  1.65M  906 XX04 1821```
```08Mar  1.85M  906 XX04 2042```
```08Mar 1.855M  906 XX04 2047```
```------------2023-----------```
```24Nov   2.2M 1092 XX03 2015```
```28Jul 1.725M  906 XX04 1904```
```03Jul 1.975M 1092 XX03 1809```
```------------2022-----------```
```06Apr  1.74M 1092 XX03 1593```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</si>
  <si>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1015148, *SALES*</t>
  </si>
  <si>
    <t>*SALES*
*TRANSACTIONS**
*THE RESIDENCES 5*
_Area: Downtown_
_Type: 2 bedroom apartment_
```Date   Price  BUA Type P/sf```
```------------2025-----------```
```07May   4.7M 1755 XX12 2678```
```06Feb     4M 1431 XXXX 2795```
```------------2024-----------```
```30Oct  4.55M 1431 XXXX 3180```
```01Oct  3.76M 1755 XX12 2143```
```17Jul   5.2M 1431 XXXX 3634```
```20Jun 3.785M 1365 XXXX 2773```
```28May  3.85M 1431 XX02 2690```
```14Feb   2.5M 1431 XX02 1747```
```22Jan   3.5M 1431 XX02 2446```
```------------2023-----------```
```21Dec  3.01M 1365 XX05 2205```
```23Oct   2.9M 1365 XX05 2125```
```19Oct   2.3M 1365 XX05 1685```
```17Oct  2.85M 1365 XX05 2088```
```------------2022-----------```
```23May   2.8M 1365 XX05 2051```
```------------2021-----------```
```15Aug  3.45M 1431 XX02 2411```
```18Mar   2.5M 1431 XX02 1747```
```09Feb     3M 1431 XX02 2096```
```11Jan   2.8M 1431 XX02 1957```
```------------2020-----------```
```09Dec   1.9M 1365 XX05 1392```
```06Oct   3.2M 1431 XX02 2236```
```22Sep   2.5M 1431 XX02 1747```
```26Aug   2.5M 1431 XX02 1747```
```------------2019-----------```
```07Mar   2.5M 1365 XX05 1832```
```------------2018-----------```
```21May  2.45M 1365 XX05 1795```
_Source: DLD, Databot_
_BUA - built-up area, sq.ft._
_P/sf - price per sq.ft._
_B - bedrooms; O - office_
_M - million, K- thousand_
_S - studio, R - shop_
_*Max 30 latest transactions_
www.trydatabot.com</t>
  </si>
  <si>
    <t>1015149, *MARKET</t>
  </si>
  <si>
    <t>*MARKET*
*SNAPSHOT*
*THE RESIDENCES 5*
_Area: Downtown_
_Type: 2 bedroom apartment_
*Price dynamics, Dirham/sq.ft.*
_(M - median value)_
```3634|                 *    ```
```    |                      ```
```    |                   *  ```
```    |                      ```
```    |               **   **```
```    |       *     *        ```
```    |  *         *         ```
```2134|---------------------M```
```    |    **  ** *      *   ```
```    |**    *   *   *       ```
```1392|   *                  ```
```____|______________________```
```    |Aug2020        May2025```
_Source: see table below_
*Latest sales transactions*
```Date   Price  BUA Type P/sf```
```------------2025-----------```
```07May   4.7M 1755 XX12 2678```
```06Feb     4M 1431 XXXX 2795```
```------------2024-----------```
```30Oct  4.55M 1431 XXXX 3180```
```01Oct  3.76M 1755 XX12 2143```
```17Jul   5.2M 1431 XXXX 3634```
```20Jun 3.785M 1365 XXXX 2773```
```28May  3.85M 1431 XX02 2690```
```14Feb   2.5M 1431 XX02 1747```
```22Jan   3.5M 1431 XX02 2446```
```------------2023-----------```
```21Dec  3.01M 1365 XX05 2205```
```23Oct   2.9M 1365 XX05 2125```
```19Oct   2.3M 1365 XX05 1685```
```17Oct  2.85M 1365 XX05 2088```
```------------2022-----------```
```23May   2.8M 1365 XX05 2051```
```------------2021-----------```
```15Aug  3.45M 1431 XX02 2411```
```18Mar   2.5M 1431 XX02 1747```
```09Feb     3M 1431 XX02 2096```
```11Jan   2.8M 1431 XX02 1957```
```------------2020-----------```
```09Dec   1.9M 1365 XX05 1392```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</si>
  <si>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1015152, *SALES*</t>
  </si>
  <si>
    <t>*SALES*
*TRANSACTIONS**
*THE RESIDENCES 5*
_Area: Downtown_
_Type: 3 bedroom apartment_
```Date   Price  BUA Type P/sf```
```------------2024-----------```
```11Jul   4.4M 1838 XXXX 2394```
```------------2023-----------```
```04Sep     7M 1838 XX01 3808```
```------------2022-----------```
```28Feb     5M 1838 XX01 2720```
```------------2021-----------```
```08Mar   4.5M 1838 XX01 2448```
```20Jan  3.95M 1838 XX01 2149```
```18Jan 4.405M 1838 XX01 2397```
```------------2020-----------```
```09Dec     4M 1838 XX01 2176```
_Source: DLD, Databot_
_BUA - built-up area, sq.ft._
_P/sf - price per sq.ft._
_B - bedrooms; O - office_
_M - million, K- thousand_
_S - studio, R - shop_
_*Max 30 latest transactions_
www.trydatabot.com</t>
  </si>
  <si>
    <t>1015153, *MARKET</t>
  </si>
  <si>
    <t>*MARKET*
*SNAPSHOT*
*THE RESIDENCES 5*
_Area: Downtown_
_Type: 3 bedroom apartment_
*Price dynamics, Dirham/sq.ft.*
_(M - median value)_
```3808|                    * ```
```    |                      ```
```    |                      ```
```    |                      ```
```    |                      ```
```    |                      ```
```    |                      ```
```    |                   *  ```
```2397|---------------------M```
```    |                * *  *```
```2149|               * *    ```
```____|______________________```
```    |Dec2020        Jul2024```
_Source: see table below_
*Latest sales transactions*
```Date   Price  BUA Type P/sf```
```------------2024-----------```
```11Jul   4.4M 1838 XXXX 2394```
```------------2023-----------```
```04Sep     7M 1838 XX01 3808```
```------------2022-----------```
```28Feb     5M 1838 XX01 2720```
```------------2021-----------```
```08Mar   4.5M 1838 XX01 2448```
```20Jan  3.95M 1838 XX01 2149```
```18Jan 4.405M 1838 XX01 2397```
```------------2020-----------```
```09Dec     4M 1838 XX01 2176```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</si>
  <si>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1015189, *SALES*</t>
  </si>
  <si>
    <t>*SALES*
*TRANSACTIONS**
*THE RESIDENCES 5*
_Area: Downtown_
_All types/bedrooms_
```Date    Price   BUA  Type B```
```------------2026-----------```
```13Jan  2.375M  1092  XXXX 1```
```------------2025-----------```
```25Nov  2.275M  1092  XXXX 1```
```09Oct  2.225M  1092  XXXX 1```
```09Oct   2.18M   906  XXXX 1```
```17Sep      2M   906  XXXX 1```
```10Sep    2.3M   906  XXXX 1```
```07Aug  2.275M  1092  XXXX 1```
```07May    4.7M  1755  XX12 2```
```17Apr   1.73M  1092  XXXX 1```
```20Mar   2.95M  1092  XXXX 1```
```06Feb      4M  1431  XXXX 2```
```27Jan  1.636M  1092  XXXX 1```
```------------2024-----------```
```31Oct   2.75M  1092  XXXX 1```
```30Oct   4.55M  1431  XXXX 2```
```01Oct   3.76M  1755  XX12 2```
```17Jul    5.2M  1431  XXXX 2```
```11Jul    4.4M  1838  XXXX 3```
```08Jul   1.75M   906  XXXX 1```
```20Jun  3.785M  1365  XXXX 2```
```31May   2.35M  1092  XX03 1```
```28May   3.85M  1431  XX02 2```
```05Apr   1.65M   906  XX04 1```
```08Mar   1.85M   906  XX04 1```
```08Mar  1.855M   906  XX04 1```
```14Feb    2.5M  1431  XX02 2```
```22Jan    3.5M  1431  XX02 2```
```------------2023-----------```
```21Dec   3.01M  1365  XX05 2```
```24Nov    2.2M  1092  XX03 1```
```23Oct    2.9M  1365  XX05 2```
```19Oct    2.3M  1365  XX05 2```
_Source: DLD, Databot_
_BUA - built-up area, sq.ft._
_P/sf - price per sq.ft._
_B - bedrooms; O - office_
_M - million, K- thousand_
_S - studio, R - shop_
_*Max 30 latest transactions_
www.trydatabot.com</t>
  </si>
  <si>
    <t>1015190, by code, *BUILDI</t>
  </si>
  <si>
    <t xml:space="preserve">*BUILDING*
*PROFILE*
*THE RESIDENCES 5*
_Area: Downtown_
_Tap&amp;hold to copy a reply_
```-------------------------```
```Report              Reply```
```-------------------------```
*1 B/R*
```Sales, ROI        1015144```
```Price chart       1015145```
```Rentals               n/a```
*2 B/R*
```Sales, ROI        1015148```
```Price chart       1015149```
```Rentals               n/a```
*3 B/R*
```Sales, ROI        1015152```
```Price chart       1015153```
```Rentals               n/a```
*All types/bedrooms*
```Sales, ROI        1015189```
```Rentals               n/a```
</t>
  </si>
  <si>
    <t>1015212, *SALES*</t>
  </si>
  <si>
    <t>*SALES*
*TRANSACTIONS**
*THE RESIDENCES 6*
_Area: Downtown_
_Type: 2 bedroom apartment_
```Date   Price  BUA Type P/sf```
```------------2026-----------```
```12Jan   3.5M 1312 XXXX 2668```
```------------2025-----------```
```19Nov   3.6M 1403 XXXX 2566```
```10Nov   3.5M 1312 XXXX 2668```
```08Oct   3.5M 1312 XXXX 2668```
```18Sep  3.15M 1312 XXXX 2401```
```16Jul   5.9M 1483 XXXX 3978```
```27Mar 3.575M 1312 XXXX 2725```
```------------2024-----------```
```28Oct 3.725M 2117 XXXX 1760```
```03Oct   3.5M 1483 XXXX 2360```
```16Jan  2.76M 1403 XX01 1967```
```12Jan   3.6M 1312 XX04 2744```
```------------2023-----------```
```15Jun   2.7M 1312 XX04 2058```
```------------2022-----------```
```28Dec   2.6M 1312 XX04 1982```
```09Mar  2.55M 1403 XX01 1818```
```------------2021-----------```
```22Nov   5.9M 1890 XX02 3122```
```18Aug   2.8M 1312 XX04 2134```
```11Mar  2.95M 1832 XX03 1610```
```03Mar  2.05M 1312 XX04 1563```
```25Jan     2M 1312 XX04 1524```
```------------2019-----------```
```13Mar   2.9M 1483 XX03 1955```
```------------2018-----------```
```21Jan  2.35M 1403 XX01 1675```
```18Jan   2.5M 1312 XX04 1905```
_Source: DLD, Databot_
_BUA - built-up area, sq.ft._
_P/sf - price per sq.ft._
_B - bedrooms; O - office_
_M - million, K- thousand_
_S - studio, R - shop_
_*Max 30 latest transactions_
www.trydatabot.com</t>
  </si>
  <si>
    <t>The Residences 6</t>
  </si>
  <si>
    <t>1015213, *MARKET</t>
  </si>
  <si>
    <t>*MARKET*
*SNAPSHOT*
*THE RESIDENCES 6*
_Area: Downtown_
_Type: 2 bedroom apartment_
*Price dynamics, Dirham/sq.ft.*
_(M - median value)_
```3978|                *     ```
```    |                      ```
```    |                      ```
```    |       *              ```
```    |                      ```
```    |           *   *  ** *```
```    |                 *  * ```
```    |             *        ```
```2096|---------------------M```
```    |* *   * *** *         ```
```1524| * ***        *       ```
```____|______________________```
```    |Jan2018        Jan2026```
_Source: see table below_
*Latest sales transactions*
```Date   Price  BUA Type P/sf```
```------------2026-----------```
```12Jan   3.5M 1312 XXXX 2668```
```------------2025-----------```
```19Nov   3.6M 1403 XXXX 2566```
```10Nov   3.5M 1312 XXXX 2668```
```08Oct   3.5M 1312 XXXX 2668```
```18Sep  3.15M 1312 XXXX 2401```
```16Jul   5.9M 1483 XXXX 3978```
```27Mar 3.575M 1312 XXXX 2725```
```------------2024-----------```
```28Oct 3.725M 2117 XXXX 1760```
```03Oct   3.5M 1483 XXXX 2360```
```16Jan  2.76M 1403 XX01 1967```
```12Jan   3.6M 1312 XX04 2744```
```------------2023-----------```
```15Jun   2.7M 1312 XX04 2058```
```------------2022-----------```
```28Dec   2.6M 1312 XX04 1982```
```09Mar  2.55M 1403 XX01 1818```
```------------2021-----------```
```22Nov   5.9M 1890 XX02 3122```
```18Aug   2.8M 1312 XX04 2134```
```11Mar  2.95M 1832 XX03 1610```
```03Mar  2.05M 1312 XX04 1563```
```25Jan     2M 1312 XX04 1524```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</si>
  <si>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1015216, *SALES*</t>
  </si>
  <si>
    <t>*SALES*
*TRANSACTIONS**
*THE RESIDENCES 6*
_Area: Downtown_
_Type: 3 bedroom apartment_
```Date   Price  BUA Type P/sf```
```------------2024-----------```
```03Oct     5M 1977 XXXX 2529```
```18Jul 10.15M 3118 XXXX 3255```
```------------2022-----------```
```10Oct   7.1M 1977 XX02 3591```
```30May 3.062M 2875 XX02 1065```
```24May   6.2M 1977 XX02 3136```
```------------2018-----------```
```24Jun   6.7M 1977 XX02 3389```
_Source: DLD, Databot_
_BUA - built-up area, sq.ft._
_P/sf - price per sq.ft._
_B - bedrooms; O - office_
_M - million, K- thousand_
_S - studio, R - shop_
_*Max 30 latest transactions_
www.trydatabot.com</t>
  </si>
  <si>
    <t>1015217, *MARKET</t>
  </si>
  <si>
    <t>*MARKET*
*SNAPSHOT*
*THE RESIDENCES 6*
_Area: Downtown_
_Type: 3 bedroom apartment_
*Price dynamics, Dirham/sq.ft.*
_(M - median value)_
```3591|                   *  ```
```    |                *   * ```
```3196|---------------------M```
```    |                 *    ```
```    |                      ```
```    |                     *```
```    |                      ```
```    |                      ```
```    |                      ```
```    |                      ```
```1065|                  *   ```
```____|______________________```
```    |Jun2018        Oct2024```
_Source: see table below_
*Latest sales transactions*
```Date   Price  BUA Type P/sf```
```------------2024-----------```
```03Oct     5M 1977 XXXX 2529```
```18Jul 10.15M 3118 XXXX 3255```
```------------2022-----------```
```10Oct   7.1M 1977 XX02 3591```
```30May 3.062M 2875 XX02 1065```
```24May   6.2M 1977 XX02 3136```
```------------2018-----------```
```24Jun   6.7M 1977 XX02 3389```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</si>
  <si>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1015253, *SALES*</t>
  </si>
  <si>
    <t>*SALES*
*TRANSACTIONS**
*THE RESIDENCES 6*
_Area: Downtown_
_All types/bedrooms_
```Date    Price   BUA  Type B```
```------------2026-----------```
```12Jan    3.5M  1312  XXXX 2```
```------------2025-----------```
```19Nov    3.6M  1403  XXXX 2```
```10Nov    3.5M  1312  XXXX 2```
```08Oct    3.5M  1312  XXXX 2```
```18Sep   3.15M  1312  XXXX 2```
```16Jul    5.9M  1483  XXXX 2```
```27Mar  3.575M  1312  XXXX 2```
```------------2024-----------```
```28Oct  3.725M  2117  XXXX 2```
```03Oct    3.5M  1483  XXXX 2```
```03Oct      5M  1977  XXXX 3```
```18Jul  10.15M  3118  XXXX 3```
```16Jan   2.76M  1403  XX01 2```
```12Jan    3.6M  1312  XX04 2```
```------------2023-----------```
```15Jun    2.7M  1312  XX04 2```
```------------2022-----------```
```28Dec    2.6M  1312  XX04 2```
```10Oct    7.1M  1977  XX02 3```
```30May  3.062M  2875  XX02 3```
```24May    6.2M  1977  XX02 3```
```09Mar   2.55M  1403  XX01 2```
```------------2021-----------```
```22Nov    5.9M  1890  XX02 2```
```18Aug    2.8M  1312  XX04 2```
```11Mar   2.95M  1832  XX03 2```
```03Mar   2.05M  1312  XX04 2```
```25Jan      2M  1312  XX04 2```
```------------2019-----------```
```13Mar    2.9M  1483  XX03 2```
```------------2018-----------```
```24Jun    6.7M  1977  XX02 3```
```21Jan   2.35M  1403  XX01 2```
```18Jan    2.5M  1312  XX04 2```
_Source: DLD, Databot_
_BUA - built-up area, sq.ft._
_P/sf - price per sq.ft._
_B - bedrooms; O - office_
_M - million, K- thousand_
_S - studio, R - shop_
_*Max 30 latest transactions_
www.trydatabot.com</t>
  </si>
  <si>
    <t>1015254, by code, *BUILDI</t>
  </si>
  <si>
    <t xml:space="preserve">*BUILDING*
*PROFILE*
*THE RESIDENCES 6*
_Area: Downtown_
_Tap&amp;hold to copy a reply_
```-------------------------```
```Report              Reply```
```-------------------------```
*2 B/R*
```Sales, ROI        1015212```
```Price chart       1015213```
```Rentals               n/a```
*3 B/R*
```Sales, ROI        1015216```
```Price chart       1015217```
```Rentals               n/a```
*All types/bedrooms*
```Sales, ROI        1015253```
```Rentals               n/a```
</t>
  </si>
  <si>
    <t>1015272, *SALES*</t>
  </si>
  <si>
    <t>*SALES*
*TRANSACTIONS**
*THE RESIDENCES II T3*
_Area: Downtown_
_Type: 1 bedroom apartment_
```Date   Price  BUA Type P/sf```
```------------2025-----------```
```12Sep   2.5M  915 XXXX 2732```
```20Aug 2.305M 1046 XXXX 2204```
```28Jul  2.18M  915 XXXX 2383```
```29May  2.25M 1046 XXXX 2151```
```15Jan  2.03M  915 XXXX 2219```
```14Jan   1.8M 1046 XXXX 1721```
```08Jan 2.275M  915 XXXX 2486```
```------------2024-----------```
```04Jul   1.9M 1046 XXXX 1816```
```07Mar  1.96M  915 XX04 2142```
```23Feb  1.61M  915 XX04 1760```
```------------2023-----------```
```27Dec  2.17M 1263 XXXX 1718```
```13Nov  1.75M  915 XX04 1913```
```13Oct  1.85M 1046 XX05 1769```
```02Oct   1.8M 1263 XXXX 1425```
```07Jun  1.75M  915 XX04 1913```
```04Apr  1.53M  915 XX04 1672```
```27Feb  1.55M  915 XX04 1694```
_Source: DLD, Databot_
_BUA - built-up area, sq.ft._
_P/sf - price per sq.ft._
_B - bedrooms; O - office_
_M - million, K- thousand_
_S - studio, R - shop_
_*Max 30 latest transactions_
www.trydatabot.com</t>
  </si>
  <si>
    <t>The Residences II T3</t>
  </si>
  <si>
    <t>1015273, *MARKET</t>
  </si>
  <si>
    <t>*MARKET*
*SNAPSHOT*
*THE RESIDENCES II T3*
_Area: Downtown_
_Type: 1 bedroom apartment_
*Price dynamics, Dirham/sq.ft.*
_(M - median value)_
```2732|                     *```
```    |                      ```
```    |               *      ```
```    |                   *  ```
```    |                 ** * ```
```    |             *        ```
```1913|---------------------M```
```    |       *  *           ```
```    |         *  * *       ```
```    |     **    *    *     ```
```1425|        *             ```
```____|______________________```
```    |Feb2023        Sep2025```
_Source: see table below_
*Latest sales transactions*
```Date   Price  BUA Type P/sf```
```------------2025-----------```
```12Sep   2.5M  915 XXXX 2732```
```20Aug 2.305M 1046 XXXX 2204```
```28Jul  2.18M  915 XXXX 2383```
```29May  2.25M 1046 XXXX 2151```
```15Jan  2.03M  915 XXXX 2219```
```14Jan   1.8M 1046 XXXX 1721```
```08Jan 2.275M  915 XXXX 2486```
```------------2024-----------```
```04Jul   1.9M 1046 XXXX 1816```
```07Mar  1.96M  915 XX04 2142```
```23Feb  1.61M  915 XX04 1760```
```------------2023-----------```
```27Dec  2.17M 1263 XXXX 1718```
```13Nov  1.75M  915 XX04 1913```
```13Oct  1.85M 1046 XX05 1769```
```02Oct   1.8M 1263 XXXX 1425```
```07Jun  1.75M  915 XX04 1913```
```04Apr  1.53M  915 XX04 1672```
```27Feb  1.55M  915 XX04 1694```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</si>
  <si>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1015276, *SALES*</t>
  </si>
  <si>
    <t>*SALES*
*TRANSACTIONS**
*THE RESIDENCES II T3*
_Area: Downtown_
_Type: 2 bedroom apartment_
```Date   Price  BUA Type P/sf```
```------------2025-----------```
```25Dec 2.563M 1650 XXXX 1553```
```25Dec 2.563M 1650 XXXX 1553```
```10Dec 5.125M 1650 XXXX 3106```
```22Aug     5M 1650 XXXX 3030```
```31Jul  4.05M 1452 XXXX 2789```
```30Jul   5.2M 1452 XXXX 3581```
```28Jul 5.125M 1650 XXXX 3106```
```09Jul  3.95M 1452 XXXX 2720```
```05May  4.05M 2424 XXXX 1671```
```13Mar   4.2M 1650 XXXX 2545```
```03Feb  2.01M  825 XXXX 2436```
```20Jan 3.253M 1629 XXXX 1997```
```------------2024-----------```
```10Dec  3.65M 1452 XXXX 2514```
```18Sep  4.05M 1452 XXXX 2789```
```05Sep 4.011M 1650 XXXX 2431```
```01Aug  2.65M 1452 XXXX 1825```
```30Jul   3.3M 1452 XXXX 2273```
```18Mar 3.815M 1650 XX03 2312```
```------------2023-----------```
```12Jul  3.65M 1452 XX01 2514```
```07Apr  2.85M 1452 XX01 1963```
_Source: DLD, Databot_
_BUA - built-up area, sq.ft._
_P/sf - price per sq.ft._
_B - bedrooms; O - office_
_M - million, K- thousand_
_S - studio, R - shop_
_*Max 30 latest transactions_
www.trydatabot.com</t>
  </si>
  <si>
    <t>1015277, *MARKET</t>
  </si>
  <si>
    <t>*MARKET*
*SNAPSHOT*
*THE RESIDENCES II T3*
_Area: Downtown_
_Type: 2 bedroom apartment_
*Price dynamics, Dirham/sq.ft.*
_(M - median value)_
```3581|                *     ```
```    |                      ```
```    |               *   *  ```
```    |                  *   ```
```    |        *     *  *    ```
```2475|---------------------M```
```    |   *     *  *         ```
```    |    ** *   *          ```
```    |                      ```
```    |  *   *   *           ```
```1553|             *      **```
```____|______________________```
```    |Apr2023        Dec2025```
_Source: see table below_
*Latest sales transactions*
```Date   Price  BUA Type P/sf```
```------------2025-----------```
```25Dec 2.563M 1650 XXXX 1553```
```25Dec 2.563M 1650 XXXX 1553```
```10Dec 5.125M 1650 XXXX 3106```
```22Aug     5M 1650 XXXX 3030```
```31Jul  4.05M 1452 XXXX 2789```
```30Jul   5.2M 1452 XXXX 3581```
```28Jul 5.125M 1650 XXXX 3106```
```09Jul  3.95M 1452 XXXX 2720```
```05May  4.05M 2424 XXXX 1671```
```13Mar   4.2M 1650 XXXX 2545```
```03Feb  2.01M  825 XXXX 2436```
```20Jan 3.253M 1629 XXXX 1997```
```------------2024-----------```
```10Dec  3.65M 1452 XXXX 2514```
```18Sep  4.05M 1452 XXXX 2789```
```05Sep 4.011M 1650 XXXX 2431```
```01Aug  2.65M 1452 XXXX 1825```
```30Jul   3.3M 1452 XXXX 2273```
```18Mar 3.815M 1650 XX03 2312```
```------------2023-----------```
```12Jul  3.65M 1452 XX01 2514```
```07Apr  2.85M 1452 XX01 1963```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</si>
  <si>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1015280, *SALES*</t>
  </si>
  <si>
    <t>*SALES*
*TRANSACTIONS**
*THE RESIDENCES II T3*
_Area: Downtown_
_Type: 3 bedroom apartment_
```Date   Price  BUA Type P/sf```
```------------2025-----------```
```04Jun   6.2M 2082 XXXX 2978```
```28May  6.95M 2082 XXXX 3338```
```19Feb  6.75M 2082 XXXX 3242```
```29Jan   6.7M 2082 XXXX 3218```
```------------2024-----------```
```21Nov     4M 2082 XXXX 1921```
```23Apr   7.2M 2082 XX02 3458```
```21Mar   6.2M 2082 XX02 2978```
```19Mar 4.549M 2082 XX02 2185```
```------------2023-----------```
```06Dec     4M 2082 XX02 1921```
```22Sep   6.3M 2082 XX02 3026```
_Source: DLD, Databot_
_BUA - built-up area, sq.ft._
_P/sf - price per sq.ft._
_B - bedrooms; O - office_
_M - million, K- thousand_
_S - studio, R - shop_
_*Max 30 latest transactions_
www.trydatabot.com</t>
  </si>
  <si>
    <t>1015281, *MARKET</t>
  </si>
  <si>
    <t>*MARKET*
*SNAPSHOT*
*THE RESIDENCES II T3*
_Area: Downtown_
_Type: 3 bedroom apartment_
*Price dynamics, Dirham/sq.ft.*
_(M - median value)_
```3458|                *     ```
```    |                   ** ```
```    |                  *   ```
```3002|---------------------M```
```    |            *  *     *```
```    |                      ```
```    |                      ```
```    |                      ```
```    |                      ```
```    |              *       ```
```1921|             *   *    ```
```____|______________________```
```    |Sep2023        Jun2025```
_Source: see table below_
*Latest sales transactions*
```Date   Price  BUA Type P/sf```
```------------2025-----------```
```04Jun   6.2M 2082 XXXX 2978```
```28May  6.95M 2082 XXXX 3338```
```19Feb  6.75M 2082 XXXX 3242```
```29Jan   6.7M 2082 XXXX 3218```
```------------2024-----------```
```21Nov     4M 2082 XXXX 1921```
```23Apr   7.2M 2082 XX02 3458```
```21Mar   6.2M 2082 XX02 2978```
```19Mar 4.549M 2082 XX02 2185```
```------------2023-----------```
```06Dec     4M 2082 XX02 1921```
```22Sep   6.3M 2082 XX02 3026```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</si>
  <si>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1015317, *SALES*</t>
  </si>
  <si>
    <t>*SALES*
*TRANSACTIONS**
*THE RESIDENCES II T3*
_Area: Downtown_
_All types/bedrooms_
```Date    Price   BUA  Type B```
```------------2025-----------```
```25Dec  2.563M  1650  XXXX 2```
```25Dec  2.563M  1650  XXXX 2```
```10Dec  5.125M  1650  XXXX 2```
```12Sep    2.5M   915  XXXX 1```
```22Aug      5M  1650  XXXX 2```
```20Aug  2.305M  1046  XXXX 1```
```31Jul   4.05M  1452  XXXX 2```
```30Jul    5.2M  1452  XXXX 2```
```28Jul  5.125M  1650  XXXX 2```
```28Jul   2.18M   915  XXXX 1```
```09Jul   3.95M  1452  XXXX 2```
```04Jun    6.2M  2082  XXXX 3```
```29May   2.25M  1046  XXXX 1```
```28May   6.95M  2082  XXXX 3```
```05May   4.05M  2424  XXXX 2```
```13Mar    4.2M  1650  XXXX 2```
```19Feb   6.75M  2082  XXXX 3```
```03Feb   2.01M   825  XXXX 2```
```29Jan    6.7M  2082  XXXX 3```
```20Jan  3.253M  1629  XXXX 2```
```15Jan   2.03M   915  XXXX 1```
```14Jan    1.8M  1046  XXXX 1```
```08Jan  2.275M   915  XXXX 1```
```------------2024-----------```
```10Dec   3.65M  1452  XXXX 2```
```21Nov      4M  2082  XXXX 3```
```18Sep   4.05M  1452  XXXX 2```
```05Sep  4.011M  1650  XXXX 2```
```01Aug   2.65M  1452  XXXX 2```
```30Jul    3.3M  1452  XXXX 2```
```04Jul    1.9M  1046  XXXX 1```
_Source: DLD, Databot_
_BUA - built-up area, sq.ft._
_P/sf - price per sq.ft._
_B - bedrooms; O - office_
_M - million, K- thousand_
_S - studio, R - shop_
_*Max 30 latest transactions_
www.trydatabot.com</t>
  </si>
  <si>
    <t>1015318, by code, *BUILDI</t>
  </si>
  <si>
    <t xml:space="preserve">*BUILDING*
*PROFILE*
*THE RESIDENCES II T3*
_Area: Downtown_
_Tap&amp;hold to copy a reply_
```-------------------------```
```Report              Reply```
```-------------------------```
*1 B/R*
```Sales, ROI        1015272```
```Price chart       1015273```
```Rentals               n/a```
*2 B/R*
```Sales, ROI        1015276```
```Price chart       1015277```
```Rentals               n/a```
*3 B/R*
```Sales, ROI        1015280```
```Price chart       1015281```
```Rentals               n/a```
*All types/bedrooms*
```Sales, ROI        1015317```
```Rentals               n/a```
</t>
  </si>
  <si>
    <t>1015336, *SALES*</t>
  </si>
  <si>
    <t>*SALES*
*TRANSACTIONS**
*THE RESIDENCES II T2*
_Area: Downtown_
_Type: 1 bedroom apartment_
```Date   Price  BUA Type P/sf```
```------------2024-----------```
```23Dec 1.332M  898 XXXX 1483```
_Source: DLD, Databot_
_BUA - built-up area, sq.ft._
_P/sf - price per sq.ft._
_B - bedrooms; O - office_
_M - million, K- thousand_
_S - studio, R - shop_
_*Max 30 latest transactions_
www.trydatabot.com</t>
  </si>
  <si>
    <t>The Residences II T2</t>
  </si>
  <si>
    <t>1015337, *MARKET</t>
  </si>
  <si>
    <t>*MARKET*
*SNAPSHOT*
*THE RESIDENCES II T2*
_Area: Downtown_
_Type: 1 bedroom apartment_
*Price dynamics, Dirham/sq.ft.*
_(M - median value)_
```1483|                     *```
```1483|----------------------```
```    |                     *```
```1483|---------------------M```
```    |                     *```
```1483|---------------------M```
```    |                     *```
```1483|---------------------M```
```    |                     *```
```1483|---------------------M```
```    |                     *```
```____|______________________```
```    |Dec2024        Dec2024```
_Source: see table below_
*Latest sales transactions*
```Date   Price  BUA Type P/sf```
```------------2024-----------```
```23Dec 1.332M  898 XXXX 1483```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</si>
  <si>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1015340, *SALES*</t>
  </si>
  <si>
    <t>*SALES*
*TRANSACTIONS**
*THE RESIDENCES II T2*
_Area: Downtown_
_Type: 2 bedroom apartment_
```Date   Price  BUA Type P/sf```
```------------2023-----------```
```31Oct  2.81M 1598 XXXX 1758```
_Source: DLD, Databot_
_BUA - built-up area, sq.ft._
_P/sf - price per sq.ft._
_B - bedrooms; O - office_
_M - million, K- thousand_
_S - studio, R - shop_
_*Max 30 latest transactions_
www.trydatabot.com</t>
  </si>
  <si>
    <t>1015341, *MARKET</t>
  </si>
  <si>
    <t>*MARKET*
*SNAPSHOT*
*THE RESIDENCES II T2*
_Area: Downtown_
_Type: 2 bedroom apartment_
*Price dynamics, Dirham/sq.ft.*
_(M - median value)_
```1758|                     *```
```1758|----------------------```
```    |                     *```
```1758|---------------------M```
```    |                     *```
```1758|---------------------M```
```    |                     *```
```1758|---------------------M```
```    |                     *```
```1758|---------------------M```
```    |                     *```
```____|______________________```
```    |Oct2023        Oct2023```
_Source: see table below_
*Latest sales transactions*
```Date   Price  BUA Type P/sf```
```------------2023-----------```
```31Oct  2.81M 1598 XXXX 1758```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</si>
  <si>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1015344, *SALES*</t>
  </si>
  <si>
    <t>*SALES*
*TRANSACTIONS**
*THE RESIDENCES II T2*
_Area: Downtown_
_Type: 3 bedroom apartment_
```Date   Price  BUA Type P/sf```
```------------2025-----------```
```05Nov   7.3M 2599 XXXX 2809```
```27Aug     5M 2379 XXXX 2102```
```04Apr 5.555M 2379 XXXX 2335```
```02Jan 4.898M 2379 XXXX 2059```
```------------2024-----------```
```19Nov 4.034M 2379 XXXX 1696```
```11Sep   5.5M 2343 XXXX 2347```
```10Jun   5.3M 2379 XX02 2228```
```15May  3.25M 2599 XX01 1250```
```16Apr   6.9M 2599 XXXX 2655```
```18Mar 4.791M 2599 XX01 1843```
```12Feb   4.6M 2379 XX02 1934```
```02Jan     6M 2379 XX02 2522```
```------------2023-----------```
```11Dec   4.7M 2379 XX02 1976```
```17Apr   4.4M 2379 XX02 1850```
_Source: DLD, Databot_
_BUA - built-up area, sq.ft._
_P/sf - price per sq.ft._
_B - bedrooms; O - office_
_M - million, K- thousand_
_S - studio, R - shop_
_*Max 30 latest transactions_
www.trydatabot.com</t>
  </si>
  <si>
    <t>1015345, *MARKET</t>
  </si>
  <si>
    <t>*MARKET*
*SNAPSHOT*
*THE RESIDENCES II T2*
_Area: Downtown_
_Type: 3 bedroom apartment_
*Price dynamics, Dirham/sq.ft.*
_(M - median value)_
```2809|                     *```
```    |             *        ```
```    |          *           ```
```    |                *  *  ```
```    |               *      ```
```2081|---------------------M```
```    |         *        * * ```
```    |        *  **         ```
```    |                 *    ```
```    |                      ```
```1250|              *       ```
```____|______________________```
```    |Apr2023        Nov2025```
_Source: see table below_
*Latest sales transactions*
```Date   Price  BUA Type P/sf```
```------------2025-----------```
```05Nov   7.3M 2599 XXXX 2809```
```27Aug     5M 2379 XXXX 2102```
```04Apr 5.555M 2379 XXXX 2335```
```02Jan 4.898M 2379 XXXX 2059```
```------------2024-----------```
```19Nov 4.034M 2379 XXXX 1696```
```11Sep   5.5M 2343 XXXX 2347```
```10Jun   5.3M 2379 XX02 2228```
```15May  3.25M 2599 XX01 1250```
```16Apr   6.9M 2599 XXXX 2655```
```18Mar 4.791M 2599 XX01 1843```
```12Feb   4.6M 2379 XX02 1934```
```02Jan     6M 2379 XX02 2522```
```------------2023-----------```
```11Dec   4.7M 2379 XX02 1976```
```17Apr   4.4M 2379 XX02 1850```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</si>
  <si>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1015381, *SALES*</t>
  </si>
  <si>
    <t>*SALES*
*TRANSACTIONS**
*THE RESIDENCES II T2*
_Area: Downtown_
_All types/bedrooms_
```Date    Price   BUA  Type B```
```------------2025-----------```
```05Nov    7.3M  2599  XXXX 3```
```27Aug      5M  2379  XXXX 3```
```04Apr  5.555M  2379  XXXX 3```
```02Jan  4.898M  2379  XXXX 3```
```------------2024-----------```
```23Dec  1.332M   898  XXXX 1```
```19Nov  4.034M  2379  XXXX 3```
```11Sep    5.5M  2343  XXXX 3```
```10Jun    5.3M  2379  XX02 3```
```15May   3.25M  2599  XX01 3```
```16Apr    6.9M  2599  XXXX 3```
```18Mar  4.791M  2599  XX01 3```
```12Feb    4.6M  2379  XX02 3```
```02Jan      6M  2379  XX02 3```
```------------2023-----------```
```11Dec    4.7M  2379  XX02 3```
```31Oct   2.81M  1598  XXXX 2```
```17Apr    4.4M  2379  XX02 3```
_Source: DLD, Databot_
_BUA - built-up area, sq.ft._
_P/sf - price per sq.ft._
_B - bedrooms; O - office_
_M - million, K- thousand_
_S - studio, R - shop_
_*Max 30 latest transactions_
www.trydatabot.com</t>
  </si>
  <si>
    <t>1015382, by code, *BUILDI</t>
  </si>
  <si>
    <t xml:space="preserve">*BUILDING*
*PROFILE*
*THE RESIDENCES II T2*
_Area: Downtown_
_Tap&amp;hold to copy a reply_
```-------------------------```
```Report              Reply```
```-------------------------```
*1 B/R*
```Sales, ROI        1015336```
```Price chart       1015337```
```Rentals               n/a```
*2 B/R*
```Sales, ROI        1015340```
```Price chart       1015341```
```Rentals               n/a```
*3 B/R*
```Sales, ROI        1015344```
```Price chart       1015345```
```Rentals               n/a```
*All types/bedrooms*
```Sales, ROI        1015381```
```Rentals               n/a```
</t>
  </si>
  <si>
    <t>1015396, *SALES*</t>
  </si>
  <si>
    <t>*SALES*
*TRANSACTIONS**
*THE RESIDENCES II T1*
_Area: Downtown_
_Type: studio apartment_
```Date   Price  BUA Type P/sf```
```------------2025-----------```
```06Mar 1.485M  489 XXXX 3037```
```------------2024-----------```
```16Feb 1.215M  489 XXXX 2485```
_Source: DLD, Databot_
_BUA - built-up area, sq.ft._
_P/sf - price per sq.ft._
_B - bedrooms; O - office_
_M - million, K- thousand_
_S - studio, R - shop_
_*Max 30 latest transactions_
www.trydatabot.com</t>
  </si>
  <si>
    <t>The Residences II T1</t>
  </si>
  <si>
    <t>1015397, *MARKET</t>
  </si>
  <si>
    <t>*MARKET*
*SNAPSHOT*
*THE RESIDENCES II T1*
_Area: Downtown_
_Type: studio apartment_
*Price dynamics, Dirham/sq.ft.*
_(M - median value)_
```3037|                     *```
```    |                      ```
```    |                      ```
```    |                      ```
```    |                      ```
```2761|---------------------M```
```    |                      ```
```    |                      ```
```    |                      ```
```    |                      ```
```2485|                    * ```
```____|______________________```
```    |Feb2024        Mar2025```
_Source: see table below_
*Latest sales transactions*
```Date   Price  BUA Type P/sf```
```------------2025-----------```
```06Mar 1.485M  489 XXXX 3037```
```------------2024-----------```
```16Feb 1.215M  489 XXXX 2485```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</si>
  <si>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1015400, *SALES*</t>
  </si>
  <si>
    <t>*SALES*
*TRANSACTIONS**
*THE RESIDENCES II T1*
_Area: Downtown_
_Type: 1 bedroom apartment_
```Date   Price  BUA Type P/sf```
```------------2025-----------```
```24Dec  2.25M 1092 XXXX 2060```
```16Dec  2.35M  906 XXXX 2594```
```29Oct   2.3M  906 XXXX 2539```
```10Oct  2.35M  906 XXXX 2594```
```22Jul  2.35M 1092 XXXX 2152```
```30Jun  2.35M 1092 XXXX 2152```
```19Jun  1.94M  889 XXXX 2182```
```26Feb  2.05M  906 XXXX 2263```
```29Jan 2.056M 1130 XXXX 1819```
```------------2024-----------```
```15Nov   2.3M 1092 XXXX 2106```
```14Nov  2.55M 1092 XXXX 2335```
```11Nov  1.92M  957 XXXX 2006```
```18Jul  2.27M 1092 XXXX 2079```
```10Jul   2.3M  906 XXXX 2539```
```09May 2.031M 1139 XX03 1783```
```04Mar  2.15M  906 XX04 2373```
```12Feb   2.4M  906 XX04 2649```
```07Feb   1.8M  906 XX04 1987```
```06Feb   1.8M 1092 XX03 1648```
```------------2023-----------```
```20Dec  1.95M 1092 XX03 1786```
```21Nov   2.2M  906 XX04 2428```
```10Nov  1.75M  906 XX04 1932```
```23Oct   2.2M  906 XX04 2428```
```14Sep  1.75M  933 XX04 1876```
```09Jun 1.825M 1092 XX03 1671```
```31May  1.56M 1149 XX03 1358```
```05Apr 1.825M  906 XX04 2014```
```27Feb   1.6M 1092 XX03 1465```
_Source: DLD, Databot_
_BUA - built-up area, sq.ft._
_P/sf - price per sq.ft._
_B - bedrooms; O - office_
_M - million, K- thousand_
_S - studio, R - shop_
_*Max 30 latest transactions_
www.trydatabot.com</t>
  </si>
  <si>
    <t>1015401, *MARKET</t>
  </si>
  <si>
    <t>*MARKET*
*SNAPSHOT*
*THE RESIDENCES II T1*
_Area: Downtown_
_Type: 1 bedroom apartment_
*Price dynamics, Dirham/sq.ft.*
_(M - median value)_
```2649|     *                ```
```    |        *         *** ```
```    | *                    ```
```    |      *    *          ```
```    |              *       ```
```2152|---------------------M```
```    |            *  ***    ```
```    |         **          *```
```    |*   *                 ```
```    |  *    *     *        ```
```1648|   *                  ```
```____|______________________```
```    |Nov2023        Dec2025```
_Source: see table below_
*Latest sales transactions*
```Date   Price  BUA Type P/sf```
```------------2025-----------```
```24Dec  2.25M 1092 XXXX 2060```
```16Dec  2.35M  906 XXXX 2594```
```29Oct   2.3M  906 XXXX 2539```
```10Oct  2.35M  906 XXXX 2594```
```22Jul  2.35M 1092 XXXX 2152```
```30Jun  2.35M 1092 XXXX 2152```
```19Jun  1.94M  889 XXXX 2182```
```26Feb  2.05M  906 XXXX 2263```
```29Jan 2.056M 1130 XXXX 1819```
```------------2024-----------```
```15Nov   2.3M 1092 XXXX 2106```
```14Nov  2.55M 1092 XXXX 2335```
```11Nov  1.92M  957 XXXX 2006```
```18Jul  2.27M 1092 XXXX 2079```
```10Jul   2.3M  906 XXXX 2539```
```09May 2.031M 1139 XX03 1783```
```04Mar  2.15M  906 XX04 2373```
```12Feb   2.4M  906 XX04 2649```
```07Feb   1.8M  906 XX04 1987```
```06Feb   1.8M 1092 XX03 1648```
```------------2023-----------```
```20Dec  1.95M 1092 XX03 1786```
```21Nov   2.2M  906 XX04 2428```
```10Nov  1.75M  906 XX04 1932```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</si>
  <si>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1015404, *SALES*</t>
  </si>
  <si>
    <t>*SALES*
*TRANSACTIONS**
*THE RESIDENCES II T1*
_Area: Downtown_
_Type: 2 bedroom apartment_
```Date   Price  BUA Type P/sf```
```------------2025-----------```
```06Nov  3.68M 1431 XXXX 2572```
```20Oct   3.4M 1431 XXXX 2376```
```12Sep  4.35M 1365 XXXX 3187```
```02Sep  3.45M 1431 XXXX 2411```
```25Mar 4.125M 1365 XXXX 3022```
```19Mar   3.8M 1365 XXXX 2784```
```------------2024-----------```
```19Nov  4.05M 1365 XXXX 2967```
```09Oct 3.475M 1365 XXXX 2546```
```21Aug 3.025M 1431 XXXX 2114```
```02Aug  3.65M 1365 XXXX 2674```
```23Jul   4.3M 1365 XXXX 3150```
```08May 3.675M 1431 XX02 2568```
```------------2023-----------```
```27Dec  2.75M 1431 XX02 1922```
```24Oct   3.8M 1365 XX05 2784```
```18Oct   3.8M 1365 XX05 2784```
```09Oct  3.55M 1365 XX05 2601```
```22Aug  2.55M 1431 XX02 1782```
```09Jun 2.075M 1350 XX01 1537```
```17May  2.35M 1431 XX02 1642```
```07Apr  2.75M 1431 XX02 1922```
_Source: DLD, Databot_
_BUA - built-up area, sq.ft._
_P/sf - price per sq.ft._
_B - bedrooms; O - office_
_M - million, K- thousand_
_S - studio, R - shop_
_*Max 30 latest transactions_
www.trydatabot.com</t>
  </si>
  <si>
    <t>1015405, *MARKET</t>
  </si>
  <si>
    <t>*MARKET*
*SNAPSHOT*
*THE RESIDENCES II T1*
_Area: Downtown_
_Type: 2 bedroom apartment_
*Price dynamics, Dirham/sq.ft.*
_(M - median value)_
```3187|           *       *  ```
```    |               * *    ```
```    |       **       *     ```
```    |            *         ```
```2570|---------------------M```
```    |      *   *   *      *```
```    |                  * * ```
```    |                      ```
```    |             *        ```
```    |  *  *   *            ```
```1537|   **                 ```
```____|______________________```
```    |Apr2023        Nov2025```
_Source: see table below_
*Latest sales transactions*
```Date   Price  BUA Type P/sf```
```------------2025-----------```
```06Nov  3.68M 1431 XXXX 2572```
```20Oct   3.4M 1431 XXXX 2376```
```12Sep  4.35M 1365 XXXX 3187```
```02Sep  3.45M 1431 XXXX 2411```
```25Mar 4.125M 1365 XXXX 3022```
```19Mar   3.8M 1365 XXXX 2784```
```------------2024-----------```
```19Nov  4.05M 1365 XXXX 2967```
```09Oct 3.475M 1365 XXXX 2546```
```21Aug 3.025M 1431 XXXX 2114```
```02Aug  3.65M 1365 XXXX 2674```
```23Jul   4.3M 1365 XXXX 3150```
```08May 3.675M 1431 XX02 2568```
```------------2023-----------```
```27Dec  2.75M 1431 XX02 1922```
```24Oct   3.8M 1365 XX05 2784```
```18Oct   3.8M 1365 XX05 2784```
```09Oct  3.55M 1365 XX05 2601```
```22Aug  2.55M 1431 XX02 1782```
```09Jun 2.075M 1350 XX01 1537```
```17May  2.35M 1431 XX02 1642```
```07Apr  2.75M 1431 XX02 1922```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</si>
  <si>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1015408, *SALES*</t>
  </si>
  <si>
    <t>*SALES*
*TRANSACTIONS**
*THE RESIDENCES II T1*
_Area: Downtown_
_Type: 3 bedroom apartment_
```Date   Price  BUA Type P/sf```
```------------2025-----------```
```10Sep   4.4M 1838 XXXX 2394```
```09Jul  4.35M 1838 XXXX 2367```
```24Mar   4.6M 1838 XXXX 2503```
```------------2024-----------```
```10Dec  4.65M 1838 XXXX 2530```
```25Nov  4.35M 1838 XXXX 2367```
```13Nov   3.8M 1838 XXXX 2067```
```21Oct   4.4M 1838 XXXX 2394```
```01Apr   4.6M 1838 XX01 2503```
```16Feb  5.85M 1838 XX01 3183```
```------------2023-----------```
```24Nov  4.55M 1838 XX01 2476```
```19Sep 4.482M 1838 XX01 2439```
```07Jun 3.058M 1838 XX01 1664```
```01Jun 3.058M 1838 XX01 1664```
_Source: DLD, Databot_
_BUA - built-up area, sq.ft._
_P/sf - price per sq.ft._
_B - bedrooms; O - office_
_M - million, K- thousand_
_S - studio, R - shop_
_*Max 30 latest transactions_
www.trydatabot.com</t>
  </si>
  <si>
    <t>1015409, *MARKET</t>
  </si>
  <si>
    <t>*MARKET*
*SNAPSHOT*
*THE RESIDENCES II T1*
_Area: Downtown_
_Type: 3 bedroom apartment_
*Price dynamics, Dirham/sq.ft.*
_(M - median value)_
```3183|             *        ```
```    |                      ```
```    |                      ```
```    |                      ```
```    |              *   **  ```
```2394|---------------------M```
```    |           **  * *  **```
```    |                      ```
```    |                *     ```
```    |                      ```
```1664|         **           ```
```____|______________________```
```    |Jun2023        Sep2025```
_Source: see table below_
*Latest sales transactions*
```Date   Price  BUA Type P/sf```
```------------2025-----------```
```10Sep   4.4M 1838 XXXX 2394```
```09Jul  4.35M 1838 XXXX 2367```
```24Mar   4.6M 1838 XXXX 2503```
```------------2024-----------```
```10Dec  4.65M 1838 XXXX 2530```
```25Nov  4.35M 1838 XXXX 2367```
```13Nov   3.8M 1838 XXXX 2067```
```21Oct   4.4M 1838 XXXX 2394```
```01Apr   4.6M 1838 XX01 2503```
```16Feb  5.85M 1838 XX01 3183```
```------------2023-----------```
```24Nov  4.55M 1838 XX01 2476```
```19Sep 4.482M 1838 XX01 2439```
```07Jun 3.058M 1838 XX01 1664```
```01Jun 3.058M 1838 XX01 1664```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</si>
  <si>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1015445, *SALES*</t>
  </si>
  <si>
    <t>*SALES*
*TRANSACTIONS**
*THE RESIDENCES II T1*
_Area: Downtown_
_All types/bedrooms_
```Date    Price   BUA  Type B```
```------------2025-----------```
```24Dec   2.25M  1092  XXXX 1```
```16Dec   2.35M   906  XXXX 1```
```06Nov   3.68M  1431  XXXX 2```
```29Oct    2.3M   906  XXXX 1```
```20Oct    3.4M  1431  XXXX 2```
```10Oct   2.35M   906  XXXX 1```
```12Sep   4.35M  1365  XXXX 2```
```10Sep    4.4M  1838  XXXX 3```
```02Sep   3.45M  1431  XXXX 2```
```22Jul   2.35M  1092  XXXX 1```
```09Jul   4.35M  1838  XXXX 3```
```30Jun   2.35M  1092  XXXX 1```
```19Jun   1.94M   889  XXXX 1```
```25Mar  4.125M  1365  XXXX 2```
```24Mar    4.6M  1838  XXXX 3```
```19Mar    3.8M  1365  XXXX 2```
```06Mar  1.485M   489  XXXX S```
```26Feb   2.05M   906  XXXX 1```
```29Jan  2.056M  1130  XXXX 1```
```------------2024-----------```
```10Dec   4.65M  1838  XXXX 3```
```25Nov   4.35M  1838  XXXX 3```
```19Nov   4.05M  1365  XXXX 2```
```15Nov    2.3M  1092  XXXX 1```
```14Nov   2.55M  1092  XXXX 1```
```13Nov    3.8M  1838  XXXX 3```
```11Nov   1.92M   957  XXXX 1```
```21Oct    4.4M  1838  XXXX 3```
```09Oct  3.475M  1365  XXXX 2```
```21Aug  3.025M  1431  XXXX 2```
```02Aug   3.65M  1365  XXXX 2```
_Source: DLD, Databot_
_BUA - built-up area, sq.ft._
_P/sf - price per sq.ft._
_B - bedrooms; O - office_
_M - million, K- thousand_
_S - studio, R - shop_
_*Max 30 latest transactions_
www.trydatabot.com</t>
  </si>
  <si>
    <t>1015446, by code, *BUILDI</t>
  </si>
  <si>
    <t xml:space="preserve">*BUILDING*
*PROFILE*
*THE RESIDENCES II T1*
_Area: Downtown_
_Tap&amp;hold to copy a reply_
```-------------------------```
```Report              Reply```
```-------------------------```
*Studio*
```Sales, ROI        1015396```
```Price chart       1015397```
```Rentals               n/a```
*1 B/R*
```Sales, ROI        1015400```
```Price chart       1015401```
```Rentals               n/a```
*2 B/R*
```Sales, ROI        1015404```
```Price chart       1015405```
```Rentals               n/a```
*3 B/R*
```Sales, ROI        1015408```
```Price chart       1015409```
```Rentals               n/a```
*All types/bedrooms*
```Sales, ROI        1015445```
```Rentals               n/a```
</t>
  </si>
  <si>
    <t>1015464, *SALES*</t>
  </si>
  <si>
    <t>*SALES*
*TRANSACTIONS**
*THE RESIDENCES EAST PODIUM*
_Area: Downtown_
_Type: 1 bedroom apartment_
```Date   Price  BUA Type P/sf```
```------------2025-----------```
```07Aug   2.3M 1316 XXXX 1748```
```23Jan  2.15M 1187 XXXX 1811```
```------------2024-----------```
```17Oct     2M 1316 XXXX 1520```
```------------2022-----------```
```11May 1.854M 1267 XXXX 1463```
_Source: DLD, Databot_
_BUA - built-up area, sq.ft._
_P/sf - price per sq.ft._
_B - bedrooms; O - office_
_M - million, K- thousand_
_S - studio, R - shop_
_*Max 30 latest transactions_
www.trydatabot.com</t>
  </si>
  <si>
    <t>The Residences East Podium</t>
  </si>
  <si>
    <t>1015465, *MARKET</t>
  </si>
  <si>
    <t>*MARKET*
*SNAPSHOT*
*THE RESIDENCES EAST PODIUM*
_Area: Downtown_
_Type: 1 bedroom apartment_
*Price dynamics, Dirham/sq.ft.*
_(M - median value)_
```1811|                    * ```
```    |                      ```
```    |                     *```
```    |                      ```
```    |                      ```
```1634|---------------------M```
```    |                      ```
```    |                      ```
```    |                      ```
```    |                   *  ```
```1463|                  *   ```
```____|______________________```
```    |May2022        Aug2025```
_Source: see table below_
*Latest sales transactions*
```Date   Price  BUA Type P/sf```
```------------2025-----------```
```07Aug   2.3M 1316 XXXX 1748```
```23Jan  2.15M 1187 XXXX 1811```
```------------2024-----------```
```17Oct     2M 1316 XXXX 1520```
```------------2022-----------```
```11May 1.854M 1267 XXXX 1463```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</si>
  <si>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1015468, *SALES*</t>
  </si>
  <si>
    <t>*SALES*
*TRANSACTIONS**
*THE RESIDENCES EAST PODIUM*
_Area: Downtown_
_Type: 2 bedroom apartment_
```Date   Price  BUA Type P/sf```
```------------2022-----------```
```15Jul  2.85M 1495 XXXX 1906```
```------------2021-----------```
```03May  2.75M 2049 XXXX 1342```
```------------2019-----------```
```18Jul   5.1M 2766 XXXX 1844```
_Source: DLD, Databot_
_BUA - built-up area, sq.ft._
_P/sf - price per sq.ft._
_B - bedrooms; O - office_
_M - million, K- thousand_
_S - studio, R - shop_
_*Max 30 latest transactions_
www.trydatabot.com</t>
  </si>
  <si>
    <t>1015469, *MARKET</t>
  </si>
  <si>
    <t>*MARKET*
*SNAPSHOT*
*THE RESIDENCES EAST PODIUM*
_Area: Downtown_
_Type: 2 bedroom apartment_
*Price dynamics, Dirham/sq.ft.*
_(M - median value)_
```1906|                     *```
```1844|----------------------```
```    |                   *  ```
```    |                      ```
```    |                      ```
```    |                      ```
```    |                      ```
```    |                      ```
```    |                      ```
```    |                      ```
```1342|                    * ```
```____|______________________```
```    |Jul2019        Jul2022```
_Source: see table below_
*Latest sales transactions*
```Date   Price  BUA Type P/sf```
```------------2022-----------```
```15Jul  2.85M 1495 XXXX 1906```
```------------2021-----------```
```03May  2.75M 2049 XXXX 1342```
```------------2019-----------```
```18Jul   5.1M 2766 XXXX 1844```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</si>
  <si>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1015509, *SALES*</t>
  </si>
  <si>
    <t>*SALES*
*TRANSACTIONS**
*THE RESIDENCES EAST PODIUM*
_Area: Downtown_
_All types/bedrooms_
```Date    Price   BUA  Type B```
```------------2025-----------```
```07Aug    2.3M  1316  XXXX 1```
```23Jan   2.15M  1187  XXXX 1```
```------------2024-----------```
```17Oct      2M  1316  XXXX 1```
```------------2022-----------```
```15Jul   2.85M  1495  XXXX 2```
```11May  1.854M  1267  XXXX 1```
```------------2021-----------```
```03May   2.75M  2049  XXXX 2```
```------------2019-----------```
```18Jul    5.1M  2766  XXXX 2```
_Source: DLD, Databot_
_BUA - built-up area, sq.ft._
_P/sf - price per sq.ft._
_B - bedrooms; O - office_
_M - million, K- thousand_
_S - studio, R - shop_
_*Max 30 latest transactions_
www.trydatabot.com</t>
  </si>
  <si>
    <t>1015510, by code, *BUILDI</t>
  </si>
  <si>
    <t xml:space="preserve">*BUILDING*
*PROFILE*
*THE RESIDENCES EAST PODIUM*
_Area: Downtown_
_Tap&amp;hold to copy a reply_
```-------------------------```
```Report              Reply```
```-------------------------```
*1 B/R*
```Sales, ROI        1015464```
```Price chart       1015465```
```Rentals               n/a```
*2 B/R*
```Sales, ROI        1015468```
```Price chart       1015469```
```Rentals               n/a```
*All types/bedrooms*
```Sales, ROI        1015509```
```Rentals               n/a```
</t>
  </si>
  <si>
    <t>1015528, *SALES*</t>
  </si>
  <si>
    <t>*SALES*
*TRANSACTIONS**
*THE RESIDENCES WEST PODUIM*
_Area: Downtown_
_Type: 1 bedroom apartment_
```Date   Price  BUA Type P/sf```
```------------2025-----------```
```07Aug   2.3M 1316 XXXX 1748```
```23Jan  2.15M 1187 XXXX 1811```
```------------2024-----------```
```17Oct     2M 1316 XXXX 1520```
```------------2022-----------```
```11May 1.854M 1267 XXXX 1463```
_Source: DLD, Databot_
_BUA - built-up area, sq.ft._
_P/sf - price per sq.ft._
_B - bedrooms; O - office_
_M - million, K- thousand_
_S - studio, R - shop_
_*Max 30 latest transactions_
www.trydatabot.com</t>
  </si>
  <si>
    <t>The Residences West Poduim</t>
  </si>
  <si>
    <t>1015529, *MARKET</t>
  </si>
  <si>
    <t>*MARKET*
*SNAPSHOT*
*THE RESIDENCES WEST PODUIM*
_Area: Downtown_
_Type: 1 bedroom apartment_
*Price dynamics, Dirham/sq.ft.*
_(M - median value)_
```1811|                    * ```
```    |                      ```
```    |                     *```
```    |                      ```
```    |                      ```
```1634|---------------------M```
```    |                      ```
```    |                      ```
```    |                      ```
```    |                   *  ```
```1463|                  *   ```
```____|______________________```
```    |May2022        Aug2025```
_Source: see table below_
*Latest sales transactions*
```Date   Price  BUA Type P/sf```
```------------2025-----------```
```07Aug   2.3M 1316 XXXX 1748```
```23Jan  2.15M 1187 XXXX 1811```
```------------2024-----------```
```17Oct     2M 1316 XXXX 1520```
```------------2022-----------```
```11May 1.854M 1267 XXXX 1463```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</si>
  <si>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1015532, *SALES*</t>
  </si>
  <si>
    <t>*SALES*
*TRANSACTIONS**
*THE RESIDENCES WEST PODUIM*
_Area: Downtown_
_Type: 2 bedroom apartment_
```Date   Price  BUA Type P/sf```
```------------2025-----------```
```21Oct     9M 2736 XXXX 3289```
```------------2023-----------```
```12Sep   8.1M 2055 XXXX 3942```
```------------2022-----------```
```01Nov   3.7M 1494 XXXX 2477```
```15Jul  2.85M 1495 XXXX 1906```
```27Jun  5.85M 2736 XXXX 2138```
```------------2021-----------```
```30Sep     4M 2055 XXXX 1946```
```03May  2.75M 2049 XXXX 1342```
```01Mar 2.619M 2055 XXXX 1274```
```------------2019-----------```
```18Jul   5.1M 2766 XXXX 1844```
_Source: DLD, Databot_
_BUA - built-up area, sq.ft._
_P/sf - price per sq.ft._
_B - bedrooms; O - office_
_M - million, K- thousand_
_S - studio, R - shop_
_*Max 30 latest transactions_
www.trydatabot.com</t>
  </si>
  <si>
    <t>1015533, *MARKET</t>
  </si>
  <si>
    <t>*MARKET*
*SNAPSHOT*
*THE RESIDENCES WEST PODUIM*
_Area: Downtown_
_Type: 2 bedroom apartment_
*Price dynamics, Dirham/sq.ft.*
_(M - median value)_
```3942|                    * ```
```    |                      ```
```    |                     *```
```    |                      ```
```    |                      ```
```    |                   *  ```
```    |                      ```
```1946|---------------------M```
```    |                **    ```
```    |             *    *   ```
```1274|              **      ```
```____|______________________```
```    |Jul2019        Oct2025```
_Source: see table below_
*Latest sales transactions*
```Date   Price  BUA Type P/sf```
```------------2025-----------```
```21Oct     9M 2736 XXXX 3289```
```------------2023-----------```
```12Sep   8.1M 2055 XXXX 3942```
```------------2022-----------```
```01Nov   3.7M 1494 XXXX 2477```
```15Jul  2.85M 1495 XXXX 1906```
```27Jun  5.85M 2736 XXXX 2138```
```------------2021-----------```
```30Sep     4M 2055 XXXX 1946```
```03May  2.75M 2049 XXXX 1342```
```01Mar 2.619M 2055 XXXX 1274```
```------------2019-----------```
```18Jul   5.1M 2766 XXXX 1844```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</si>
  <si>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1015536, *SALES*</t>
  </si>
  <si>
    <t>*SALES*
*TRANSACTIONS**
*THE RESIDENCES WEST PODUIM*
_Area: Downtown_
_Type: 3 bedroom apartment_
```Date   Price  BUA Type P/sf```
```------------2025-----------```
```19Jun   8.2M 2906 XXXX 2822```
```------------2024-----------```
```19Dec     8M 2798 XXXX 2859```
_Source: DLD, Databot_
_BUA - built-up area, sq.ft._
_P/sf - price per sq.ft._
_B - bedrooms; O - office_
_M - million, K- thousand_
_S - studio, R - shop_
_*Max 30 latest transactions_
www.trydatabot.com</t>
  </si>
  <si>
    <t>1015537, *MARKET</t>
  </si>
  <si>
    <t>*MARKET*
*SNAPSHOT*
*THE RESIDENCES WEST PODUIM*
_Area: Downtown_
_Type: 3 bedroom apartment_
*Price dynamics, Dirham/sq.ft.*
_(M - median value)_
```2859|                    * ```
```    |                      ```
```    |                      ```
```    |                      ```
```    |                      ```
```    |                      ```
```    |                      ```
```    |                      ```
```    |                      ```
```2822|                     *```
```2822|                     *```
```____|______________________```
```    |Dec2024        Jun2025```
_Source: see table below_
*Latest sales transactions*
```Date   Price  BUA Type P/sf```
```------------2025-----------```
```19Jun   8.2M 2906 XXXX 2822```
```------------2024-----------```
```19Dec     8M 2798 XXXX 2859```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</si>
  <si>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1015568, *SALES*</t>
  </si>
  <si>
    <t>*SALES*
*TRANSACTIONS**
*THE RESIDENCES WEST PODUIM*
_Area: Downtown_ 
_Type: villa_
```Date   Price  BUA Type P/sf```
```------------2023-----------```
```06Mar   6.2M 2813 XXXX 2204```
_Source: DLD, Databot_
_BUA - built-up area, sq.ft._
_P/sf - price per sq.ft._
_B - bedrooms; O - office_
_M - million, K- thousand_
_S - studio, R - shop_
_*Max 30 latest transactions_
www.trydatabot.com</t>
  </si>
  <si>
    <t>1015569, *MARKET</t>
  </si>
  <si>
    <t>*MARKET*
*SNAPSHOT*
*THE RESIDENCES WEST PODUIM*
_Area: Downtown_
_Type: villa_
*Price dynamics, Dirham/sq.ft.*
_(M - median value)_
```2204|                     *```
```2204|----------------------```
```    |                     *```
```2204|---------------------M```
```    |                     *```
```2204|---------------------M```
```    |                     *```
```2204|---------------------M```
```    |                     *```
```2204|---------------------M```
```    |                     *```
```____|______________________```
```    |Mar2023        Mar2023```
_Source: see table below_
*Latest sales transactions*
```Date   Price  BUA Type P/sf```
```------------2023-----------```
```06Mar   6.2M 2813 XXXX 2204```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</si>
  <si>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1015573, *SALES*</t>
  </si>
  <si>
    <t>*SALES*
*TRANSACTIONS**
*THE RESIDENCES WEST PODUIM*
_Area: Downtown_
_All types/bedrooms_
```Date    Price   BUA  Type B```
```------------2025-----------```
```21Oct      9M  2736  XXXX 2```
```07Aug    2.3M  1316  XXXX 1```
```19Jun    8.2M  2906  XXXX 3```
```23Jan   2.15M  1187  XXXX 1```
```------------2024-----------```
```19Dec      8M  2798  XXXX 3```
```17Oct      2M  1316  XXXX 1```
```------------2023-----------```
```12Sep    8.1M  2055  XXXX 2```
```06Mar    6.2M  2813  XXXX 3```
```------------2022-----------```
```01Nov    3.7M  1494  XXXX 2```
```15Jul   2.85M  1495  XXXX 2```
```27Jun   5.85M  2736  XXXX 2```
```11May  1.854M  1267  XXXX 1```
```------------2021-----------```
```30Sep      4M  2055  XXXX 2```
```03May   2.75M  2049  XXXX 2```
```01Mar  2.619M  2055  XXXX 2```
```------------2019-----------```
```18Jul    5.1M  2766  XXXX 2```
_Source: DLD, Databot_
_BUA - built-up area, sq.ft._
_P/sf - price per sq.ft._
_B - bedrooms; O - office_
_M - million, K- thousand_
_S - studio, R - shop_
_*Max 30 latest transactions_
www.trydatabot.com</t>
  </si>
  <si>
    <t>1015574, by code, *BUILDI</t>
  </si>
  <si>
    <t xml:space="preserve">*BUILDING*
*PROFILE*
*THE RESIDENCES WEST PODUIM*
_Area: Downtown_
_Tap&amp;hold to copy a reply_
```-------------------------```
```Report              Reply```
```-------------------------```
*1 B/R*
```Sales, ROI        1015528```
```Price chart       1015529```
```Rentals               n/a```
*2 B/R*
```Sales, ROI        1015532```
```Price chart       1015533```
```Rentals               n/a```
*3 B/R*
```Sales, ROI        1015536```
```Price chart       1015537```
```Rentals               n/a```
*Villa*
```Sales, ROI        1015568```
```Price chart       1015569```
```Rentals               n/a```
*All types/bedrooms*
```Sales, ROI        1015573```
```Rentals               n/a```
</t>
  </si>
  <si>
    <t>1015632, *SALES*</t>
  </si>
  <si>
    <t>*SALES*
*TRANSACTIONS**
*THE RESIDENCES II BLVD VILLAS*
_Area: Downtown_ 
_Type: villa_
```Date   Price  BUA Type P/sf```
```------------2025-----------```
```22Apr  6.35M 2661 XXXX 2386```
```------------2024-----------```
```07Oct     6M 2605 XXXX 2303```
_Source: DLD, Databot_
_BUA - built-up area, sq.ft._
_P/sf - price per sq.ft._
_B - bedrooms; O - office_
_M - million, K- thousand_
_S - studio, R - shop_
_*Max 30 latest transactions_
www.trydatabot.com</t>
  </si>
  <si>
    <t>The Residences II BLVD Villas</t>
  </si>
  <si>
    <t>1015633, *MARKET</t>
  </si>
  <si>
    <t>*MARKET*
*SNAPSHOT*
*THE RESIDENCES II BLVD VILLAS*
_Area: Downtown_
_Type: villa_
*Price dynamics, Dirham/sq.ft.*
_(M - median value)_
```2386|                     *```
```    |                      ```
```    |                      ```
```    |                      ```
```    |                      ```
```2345|---------------------M```
```    |                      ```
```    |                      ```
```    |                      ```
```    |                      ```
```2303|                    * ```
```____|______________________```
```    |Oct2024        Apr2025```
_Source: see table below_
*Latest sales transactions*
```Date   Price  BUA Type P/sf```
```------------2025-----------```
```22Apr  6.35M 2661 XXXX 2386```
```------------2024-----------```
```07Oct     6M 2605 XXXX 2303```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</si>
  <si>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1015638, by code, *BUILDI</t>
  </si>
  <si>
    <t xml:space="preserve">*BUILDING*
*PROFILE*
*THE RESIDENCES II BLVD VILLAS*
_Area: Downtown_
_Tap&amp;hold to copy a reply_
```-------------------------```
```Report              Reply```
```-------------------------```
*Villa*
```Sales, ROI        1015632```
```Price chart       1015633```
```Rentals               n/a```
*All types/bedrooms*
```Sales, ROI        1015637```
```Rentals               n/a```
</t>
  </si>
  <si>
    <t>1015696, *SALES*</t>
  </si>
  <si>
    <t>*SALES*
*TRANSACTIONS**
*THE RESIDENCES II LAKE VILLAS*
_Area: Downtown_ 
_Type: villa_
```Date   Price  BUA Type P/sf```
```------------2023-----------```
```23Mar 5.207M 3373 XXXX 1544```
```------------2015-----------```
```28Sep 5.363M 2282 XXXX 2350```
```20Aug 3.448M 3080 XXXX 1119```
_Source: DLD, Databot_
_BUA - built-up area, sq.ft._
_P/sf - price per sq.ft._
_B - bedrooms; O - office_
_M - million, K- thousand_
_S - studio, R - shop_
_*Max 30 latest transactions_
www.trydatabot.com</t>
  </si>
  <si>
    <t>The Residences II Lake Villas</t>
  </si>
  <si>
    <t>1015697, *MARKET</t>
  </si>
  <si>
    <t>*MARKET*
*SNAPSHOT*
*THE RESIDENCES II LAKE VILLAS*
_Area: Downtown_
_Type: villa_
*Price dynamics, Dirham/sq.ft.*
_(M - median value)_
```2350|                    * ```
```    |                      ```
```    |                      ```
```    |                      ```
```    |                      ```
```    |                      ```
```    |                      ```
```1544|---------------------M```
```    |                     *```
```    |                      ```
```1119|                   *  ```
```____|______________________```
```    |Aug2015        Mar2023```
_Source: see table below_
*Latest sales transactions*
```Date   Price  BUA Type P/sf```
```------------2023-----------```
```23Mar 5.207M 3373 XXXX 1544```
```------------2015-----------```
```28Sep 5.363M 2282 XXXX 2350```
```20Aug 3.448M 3080 XXXX 1119```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</si>
  <si>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1015702, by code, *BUILDI</t>
  </si>
  <si>
    <t xml:space="preserve">*BUILDING*
*PROFILE*
*THE RESIDENCES II LAKE VILLAS*
_Area: Downtown_
_Tap&amp;hold to copy a reply_
```-------------------------```
```Report              Reply```
```-------------------------```
*Villa*
```Sales, ROI        1015696```
```Price chart       1015697```
```Rentals               n/a```
*All types/bedrooms*
```Sales, ROI        1015701```
```Rentals               n/a```
</t>
  </si>
  <si>
    <t>1015720, *SALES*</t>
  </si>
  <si>
    <t>*SALES*
*TRANSACTIONS**
*THE SIGNATURE*
_Area: Downtown_
_Type: 1 bedroom apartment_
_Gross ROI=7.29%_
_Median annual rent=100K_
```Date   Price  BUA Type P/sf```
```------------2025-----------```
```25Dec   1.4M  873 XX05 1604```
```11Dec   1.4M  877 XX01 1596```
```28Nov 1.274M  888 XX02 1434```
```25Nov  1.36M  884 XX04 1538```
```25Nov  1.36M  833 XX08 1633```
```19Nov  1.37M  878 XX05 1560```
```17Nov  1.35M  884 XX04 1527```
```04Nov   1.3M  876 XXXX 1484```
```20Oct  1.25M  830 XXXX 1506```
```27Aug   1.2M  890 XX02 1348```
```19Aug   1.4M  845 XX07 1657```
```29Jul  1.38M  887 XXXX 1556```
```24Jun   1.4M  887 XXXX 1578```
```14May  1.36M  844 XXXX 1611```
```14Mar 1.428M  873 XXXX 1636```
```14Mar   1.3M  886 XX04 1467```
```26Feb   1.3M  886 XX04 1467```
```26Feb  1.82M  888 XX02 2050```
```24Feb   1.2M  833 XX08 1441```
```17Feb  1.55M  885 XX02 1751```
```04Feb  1.22M  831 XX08 1468```
```21Jan  1.35M  830 XXXX 1627```
```09Jan 1.214M  886 XX04 1370```
```07Jan  2.05M  881 XXXX 2327```
```------------2024-----------```
```16Dec   1.2M  890 XX04 1348```
```11Dec  1.45M  845 XX07 1716```
```07Nov   1.3M  845 XX07 1538```
```09Oct 1.148M  886 XX04 1295```
```30Sep 1.625M  885 XX02 1836```
```24Sep 1.225M  830 XXXX 1476```
_Source: DLD, Databot_
_BUA - built-up area, sq.ft._
_P/sf - price per sq.ft._
_B - bedrooms; O - office_
_M - million, K- thousand_
_S - studio, R - shop_
_*Max 30 latest transactions_
www.trydatabot.com</t>
  </si>
  <si>
    <t>The Signature</t>
  </si>
  <si>
    <t>1015721, *MARKET</t>
  </si>
  <si>
    <t>*MARKET*
*SNAPSHOT*
*THE SIGNATURE*
_Area: Downtown_
_Type: 1 bedroom apartment_
*Price dynamics, Dirham/sq.ft.*
_(M - median value)_
```2050|    *                 ```
```    |                      ```
```    |                      ```
```    |                      ```
```    |  *                   ```
```    |                      ```
```    |*      **  *     *  **```
```1558|---------------------M```
```    |         **    ** *   ```
```    | * * **      **    *  ```
```1348|            *         ```
```____|______________________```
```    |Jan2025        Dec2025```
_Source: see table below_
*Latest sales transactions*
```Date   Price  BUA Type P/sf```
```------------2025-----------```
```25Dec   1.4M  873 XX05 1604```
```11Dec   1.4M  877 XX01 1596```
```28Nov 1.274M  888 XX02 1434```
```25Nov  1.36M  884 XX04 1538```
```25Nov  1.36M  833 XX08 1633```
```19Nov  1.37M  878 XX05 1560```
```17Nov  1.35M  884 XX04 1527```
```04Nov   1.3M  876 XXXX 1484```
```20Oct  1.25M  830 XXXX 1506```
```27Aug   1.2M  890 XX02 1348```
```19Aug   1.4M  845 XX07 1657```
```29Jul  1.38M  887 XXXX 1556```
```24Jun   1.4M  887 XXXX 1578```
```14May  1.36M  844 XXXX 1611```
```14Mar 1.428M  873 XXXX 1636```
```14Mar   1.3M  886 XX04 1467```
```26Feb   1.3M  886 XX04 1467```
```26Feb  1.82M  888 XX02 2050```
```24Feb   1.2M  833 XX08 1441```
```17Feb  1.55M  885 XX02 1751```
```04Feb  1.22M  831 XX08 1468```
```21Jan  1.35M  830 XXXX 1627```
```09Jan 1.214M  886 XX04 1370```
```07Jan  2.05M  881 XXXX 2327```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</si>
  <si>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1015722, *NEW RE</t>
  </si>
  <si>
    <t>*NEW RENT*
*CONTRACTS**
_(renewals are not included)_
*THE SIGNATURE*
_Area: Downtown_
_Type: 1 bedroom apartment_
```Date  Price   BUA  Type D/s```
```------------2026-----------```
```01Jan  120K   883  XXXX 136```
```------------2025-----------```
```22Dec   90K   883  XXXX 102```
```20Dec   90K   840  XXXX 107```
```20Dec   85K   829  XXXX 103```
```04Dec 87.7K   883  XXXX  99```
```20Nov  105K   829  XXXX 127```
```16Nov   98K   872  XXXX 112```
```15Nov   95K   840  XXXX 113```
```13Nov  125K   883  XXXX 142```
```12Nov  100K   872  XXXX 115```
```06Nov  100K   829  XXXX 121```
```05Nov  100K   883  XXXX 113```
```01Nov  100K   893  XXXX 112```
```14Oct  100K   883  XXXX 113```
```07Oct   90K   883  XXXX 102```
```02Oct  100K   883  XXXX 113```
```01Oct  110K   883  XXXX 125```
```01Oct  115K   872  XXXX 132```
```01Oct   93K   829  XXXX 112```
```26Sep  110K   883  XXXX 125```
_Source: DLD, Databot_
_BUA - built-up area, sq.ft._
_P/sf - price per sq.ft._
_B - bedrooms; O - office_
_M - million, K- thousand_
_S - studio, R - shop_
_*20 latest contracts_
www.trydatabot.com</t>
  </si>
  <si>
    <t>1015724, *SALES*</t>
  </si>
  <si>
    <t>*SALES*
*TRANSACTIONS**
*THE SIGNATURE*
_Area: Downtown_
_Type: 2 bedroom apartment_
_Gross ROI=7.25%_
_Median annual rent=150K_
```Date   Price  BUA Type P/sf```
```------------2025-----------```
```05Dec  2.25M 1394 XX09 1614```
```28Nov     2M 1394 XX09 1435```
```23Oct  2.13M 1392 XX09 1530```
```04Jun  2.35M 1394 XX09 1686```
```02Apr     2M 1393 XX09 1436```
```31Mar  1.97M 1373 XXXX 1435```
```31Mar  2.04M 1373 XXXX 1486```
```------------2024-----------```
```21Nov     2M 1371 XX06 1459```
```11Nov  1.91M 1394 XX09 1370```
```20Sep 1.976M 1372 XX06 1440```
```11Sep   2.2M 1394 XX09 1578```
```09Aug     2M 1371 XX06 1459```
```09Jul  2.18M 1395 XXXX 1563```
```10Jun     2M 1392 XX09 1437```
```01Mar   2.2M 1394 XX09 1578```
```27Feb   1.6M 1393 XX09 1149```
```26Feb   1.8M 1373 XXXX 1311```
```------------2023-----------```
```23Nov   1.9M 1371 XX06 1386```
```20Sep  1.52M 1373 XX06 1107```
```12Sep   2.1M 1372 XX06 1531```
```17Aug  1.95M 1392 XX09 1401```
```14Jun   1.5M 1372 XX06 1093```
```31May   1.8M 1394 XX09 1291```
```26May  1.65M 1373 XXXX 1202```
```16May  1.65M 1395 XXXX 1183```
```05May  1.64M 1372 XX06 1195```
```12Apr  1.75M 1392 XX09 1257```
```21Mar  1.55M 1392 XX09 1114```
```16Mar   1.8M 1392 XX09 1293```
```09Feb   1.4M 1393 XX09 1005```
_Source: DLD, Databot_
_BUA - built-up area, sq.ft._
_P/sf - price per sq.ft._
_B - bedrooms; O - office_
_M - million, K- thousand_
_S - studio, R - shop_
_*Max 30 latest transactions_
www.trydatabot.com</t>
  </si>
  <si>
    <t>1015725, *MARKET</t>
  </si>
  <si>
    <t>*MARKET*
*SNAPSHOT*
*THE SIGNATURE*
_Area: Downtown_
_Type: 2 bedroom apartment_
*Price dynamics, Dirham/sq.ft.*
_(M - median value)_
```1686|                  *   ```
```    |                     *```
```    |       * * *          ```
```    |  *            *   *  ```
```1439|---------------------M```
```    |        * * * * **  * ```
```    | *  *        *        ```
```    |     *                ```
```    |                      ```
```    |                      ```
```1093|*  *  *               ```
```____|______________________```
```    |Jun2023        Dec2025```
_Source: see table below_
*Latest sales transactions*
```Date   Price  BUA Type P/sf```
```------------2025-----------```
```05Dec  2.25M 1394 XX09 1614```
```28Nov     2M 1394 XX09 1435```
```23Oct  2.13M 1392 XX09 1530```
```04Jun  2.35M 1394 XX09 1686```
```02Apr     2M 1393 XX09 1436```
```31Mar  1.97M 1373 XXXX 1435```
```31Mar  2.04M 1373 XXXX 1486```
```------------2024-----------```
```21Nov     2M 1371 XX06 1459```
```11Nov  1.91M 1394 XX09 1370```
```20Sep 1.976M 1372 XX06 1440```
```11Sep   2.2M 1394 XX09 1578```
```09Aug     2M 1371 XX06 1459```
```09Jul  2.18M 1395 XXXX 1563```
```10Jun     2M 1392 XX09 1437```
```01Mar   2.2M 1394 XX09 1578```
```27Feb   1.6M 1393 XX09 1149```
```26Feb   1.8M 1373 XXXX 1311```
```------------2023-----------```
```23Nov   1.9M 1371 XX06 1386```
```20Sep  1.52M 1373 XX06 1107```
```12Sep   2.1M 1372 XX06 1531```
```17Aug  1.95M 1392 XX09 1401```
```14Jun   1.5M 1372 XX06 1093```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</si>
  <si>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1015726, *NEW RE</t>
  </si>
  <si>
    <t>*NEW RENT*
*CONTRACTS**
_(renewals are not included)_
*THE SIGNATURE*
_Area: Downtown_
_Type: 2 bedroom apartment_
```Date  Price   BUA  Type D/s```
```------------2025-----------```
```15Dec  193K  1399  XXXX 138```
```01Dec  140K  1367  XXXX 102```
```20Oct  150K  1399  XXXX 107```
```09Oct  160K  1378  XXXX 116```
```06Oct  153K  1367  XXXX 112```
```26Sep  140K  1367  XXXX 102```
```26Sep  130K  1367  XXXX  95```
```24Sep  150K  1399  XXXX 107```
```19Sep  150K  1367  XXXX 110```
```10Jul  150K  1399  XXXX 107```
```01Jul  125K  1378  XXXX  91```
```18May  160K  1367  XXXX 117```
```10Mar  160K  1367  XXXX 117```
```05Mar  135K  1378  XXXX  98```
```01Mar  180K  1399  XXXX 129```
```16Feb  150K  1367  XXXX 110```
```01Jan  100K  1389  XXXX  72```
```------------2024-----------```
```10Dec  140K  1367  XXXX 102```
```27Oct  129K  1399  XXXX  92```
```20Sep  135K  1399  XXXX  96```
_Source: DLD, Databot_
_BUA - built-up area, sq.ft._
_P/sf - price per sq.ft._
_B - bedrooms; O - office_
_M - million, K- thousand_
_S - studio, R - shop_
_*20 latest contracts_
www.trydatabot.com</t>
  </si>
  <si>
    <t>1015728, *SALES*</t>
  </si>
  <si>
    <t>*SALES*
*TRANSACTIONS**
*THE SIGNATURE*
_Area: Downtown_
_Type: 3 bedroom apartment_
_Gross ROI=7.49%_
_Median annual rent=182.5K_
```Date   Price  BUA Type P/sf```
```------------2025-----------```
```03Dec   2.6M 1525 XX03 1705```
```21Nov   2.5M 1521 XX03 1644```
```13Oct  2.73M 1517 XXXX 1800```
```24Sep  2.35M 1517 XXXX 1549```
```23Jun  2.15M 1521 XX03 1414```
```12Jun  2.82M 1521 XX03 1854```
```03Jun     3M 2236 XXXX 1342```
```28May  2.37M 1521 XX03 1558```
```24Mar  7.76M 4643 XX02 1671```
```11Feb 2.166M 1517 XXXX 1428```
```10Feb   4.2M 2236 XXXX 1878```
```------------2024-----------```
```06Dec 2.675M 1517 XXXX 1763```
```07Nov  2.35M 1517 XXXX 1549```
```13Sep   2.7M 1521 XX03 1775```
```11Sep   2.6M 1525 XX03 1705```
```31May  2.65M 1525 XX03 1738```
```21May 2.425M 1517 XXXX 1599```
```08May 2.317M 1521 XX03 1523```
```25Apr   2.1M 1517 XXXX 1384```
```05Jan 2.725M 1525 XX03 1787```
```------------2023-----------```
```07Dec  2.25M 1521 XX03 1479```
```13Nov  2.25M 1514 XX03 1486```
```18Sep     2M 1514 XX03 1321```
```08Feb  2.55M 1525 XX03 1672```
```07Feb   2.5M 1517 XXXX 1648```
```------------2022-----------```
```17Jun   1.7M 1521 XX03 1118```
```17Jun   1.8M 1525 XX03 1180```
```02Jun     2M 1521 XX03 1315```
```23May   1.5M 1517 XXXX  989```
```------------2021-----------```
```18Nov   1.5M 1517 XX03  989```
_Source: DLD, Databot_
_BUA - built-up area, sq.ft._
_P/sf - price per sq.ft._
_B - bedrooms; O - office_
_M - million, K- thousand_
_S - studio, R - shop_
_*Max 30 latest transactions_
www.trydatabot.com</t>
  </si>
  <si>
    <t>1015729, *MARKET</t>
  </si>
  <si>
    <t>*MARKET*
*SNAPSHOT*
*THE SIGNATURE*
_Area: Downtown_
_Type: 3 bedroom apartment_
*Price dynamics, Dirham/sq.ft.*
_(M - median value)_
```1878|           *    *     ```
```    |                   *  ```
```    |  *     * *           ```
```    |      **             *```
```    |             *      * ```
```1622|---------------------M```
```    |     *                ```
```    |         *    *   *   ```
```    |**  *                 ```
```    |            *    *    ```
```1342|   *           *      ```
```____|______________________```
```    |Nov2023        Dec2025```
_Source: see table below_
*Latest sales transactions*
```Date   Price  BUA Type P/sf```
```------------2025-----------```
```03Dec   2.6M 1525 XX03 1705```
```21Nov   2.5M 1521 XX03 1644```
```13Oct  2.73M 1517 XXXX 1800```
```24Sep  2.35M 1517 XXXX 1549```
```23Jun  2.15M 1521 XX03 1414```
```12Jun  2.82M 1521 XX03 1854```
```03Jun     3M 2236 XXXX 1342```
```28May  2.37M 1521 XX03 1558```
```24Mar  7.76M 4643 XX02 1671```
```11Feb 2.166M 1517 XXXX 1428```
```10Feb   4.2M 2236 XXXX 1878```
```------------2024-----------```
```06Dec 2.675M 1517 XXXX 1763```
```07Nov  2.35M 1517 XXXX 1549```
```13Sep   2.7M 1521 XX03 1775```
```11Sep   2.6M 1525 XX03 1705```
```31May  2.65M 1525 XX03 1738```
```21May 2.425M 1517 XXXX 1599```
```08May 2.317M 1521 XX03 1523```
```25Apr   2.1M 1517 XXXX 1384```
```05Jan 2.725M 1525 XX03 1787```
```------------2023-----------```
```07Dec  2.25M 1521 XX03 1479```
```13Nov  2.25M 1514 XX03 1486```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</si>
  <si>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1015730, *NEW RE</t>
  </si>
  <si>
    <t>*NEW RENT*
*CONTRACTS**
_(renewals are not included)_
*THE SIGNATURE*
_Area: Downtown_
_Type: 3 bedroom apartment_
```Date  Price   BUA  Type D/s```
```------------2025-----------```
```25Dec  180K  1518  XXXX 119```
```24Nov  190K  1518  XXXX 125```
```27Oct  185K  1518  XXXX 122```
```10Aug  200K  1518  XXXX 132```
```01Aug  210K  1528  XXXX 137```
```02Jun  170K  1528  XXXX 111```
```28Apr   70K  1518  XXXX  46```
```15Jan  165K  1518  XXXX 109```
```------------2024-----------```
```26Dec  210K  1528  XXXX 137```
```01Nov  185K  1518  XXXX 122```
```01Oct  150K  1518  XXXX  99```
```01Oct  191K  1518  XXXX 126```
```01Sep  142K  1518  XXXX  94```
```01Sep  185K  1528  XXXX 121```
```22Jul  225K  1528  XXXX 147```
```12Jul  150K  1518  XXXX  99```
```05Jun  235K  1518  XXXX 155```
```06May  170K  1518  XXXX 112```
```24Apr  150K  1518  XXXX  99```
```19Apr  170K  1528  XXXX 111```
_Source: DLD, Databot_
_BUA - built-up area, sq.ft._
_P/sf - price per sq.ft._
_B - bedrooms; O - office_
_M - million, K- thousand_
_S - studio, R - shop_
_*20 latest contracts_
www.trydatabot.com</t>
  </si>
  <si>
    <t>1015746, *NEW RE</t>
  </si>
  <si>
    <t>*NEW RENT*
*CONTRACTS**
_(renewals are not included)_
*THE SIGNATURE*
_Area: Downtown_
_Type: _
```Date  Price   BUA  Type D/s```
```------------2014-----------```
```06Jan  489K  4887  XXXX 100```
_Source: DLD, Databot_
_BUA - built-up area, sq.ft._
_P/sf - price per sq.ft._
_B - bedrooms; O - office_
_M - million, K- thousand_
_S - studio, R - shop_
_*20 latest contracts_
www.trydatabot.com</t>
  </si>
  <si>
    <t>1015750, *NEW RE</t>
  </si>
  <si>
    <t>*NEW RENT*
*CONTRACTS**
_(renewals are not included)_
*THE SIGNATURE*
_Area: Downtown_
_Type: _
```Date  Price   BUA  Type D/s```
```------------2015-----------```
```01Jan  205K   409  XXXX 501```
_Source: DLD, Databot_
_BUA - built-up area, sq.ft._
_P/sf - price per sq.ft._
_B - bedrooms; O - office_
_M - million, K- thousand_
_S - studio, R - shop_
_*20 latest contracts_
www.trydatabot.com</t>
  </si>
  <si>
    <t>1015758, *NEW RE</t>
  </si>
  <si>
    <t>*NEW RENT*
*CONTRACTS**
_(renewals are not included)_
*THE SIGNATURE*
_Area: Downtown_
_Type: _
```Date  Price   BUA  Type D/s```
```------------2020-----------```
```01Aug  200K  4639  XXXX  43```
```------------2019-----------```
```20Jun  200K  4639  XXXX  43```
_Source: DLD, Databot_
_BUA - built-up area, sq.ft._
_P/sf - price per sq.ft._
_B - bedrooms; O - office_
_M - million, K- thousand_
_S - studio, R - shop_
_*20 latest contracts_
www.trydatabot.com</t>
  </si>
  <si>
    <t>1015764, *NEW RE</t>
  </si>
  <si>
    <t>*NEW RENT*
*CONTRACTS**
_(renewals are not included)_
*THE SIGNATURE*
_Area: Downtown_
_All types/bedrooms_
```Date    Price   BUA Type  B```
```------------2026-----------```
```01Jan    120K   883 XXXX  1```
```------------2025-----------```
```25Dec    180K  1518 XXXX  3```
```22Dec     90K   883 XXXX  1```
```20Dec     90K   840 XXXX  1```
```20Dec     85K   829 XXXX  1```
```15Dec    193K  1399 XXXX  2```
```04Dec   87.7K   883 XXXX  1```
```01Dec    140K  1367 XXXX  2```
```24Nov    190K  1518 XXXX  3```
```20Nov    105K   829 XXXX  1```
```16Nov     98K   872 XXXX  1```
```15Nov     95K   840 XXXX  1```
```13Nov    125K   883 XXXX  1```
```12Nov    100K   872 XXXX  1```
```06Nov    100K   829 XXXX  1```
```05Nov    100K   883 XXXX  1```
```01Nov    100K   893 XXXX  1```
```27Oct    185K  1518 XXXX  3```
```20Oct    150K  1399 XXXX  2```
```14Oct    100K   883 XXXX  1```
_Source: DLD, Databot_
_BUA - built-up area, sq.ft._
_P/sf - price per sq.ft._
_B - bedrooms; O - office_
_M - million, K- thousand_
_S - studio, R - shop_
_*20 latest contracts_
www.trydatabot.com</t>
  </si>
  <si>
    <t>1015765, *SALES*</t>
  </si>
  <si>
    <t>*SALES*
*TRANSACTIONS**
*THE SIGNATURE*
_Area: Downtown_
_All types/bedrooms_
```Date    Price   BUA  Type B```
```------------2025-----------```
```25Dec    1.4M   873  XX05 1```
```11Dec    1.4M   877  XX01 1```
```05Dec   2.25M  1394  XX09 2```
```03Dec    2.6M  1525  XX03 3```
```28Nov      2M  1394  XX09 2```
```28Nov  1.274M   888  XX02 1```
```25Nov   1.36M   884  XX04 1```
```25Nov   1.36M   833  XX08 1```
```21Nov    2.5M  1521  XX03 3```
```19Nov   1.37M   878  XX05 1```
```17Nov   1.35M   884  XX04 1```
```04Nov    1.3M   876  XXXX 1```
```23Oct   2.13M  1392  XX09 2```
```20Oct   1.25M   830  XXXX 1```
```13Oct   2.73M  1517  XXXX 3```
```24Sep   2.35M  1517  XXXX 3```
```27Aug    1.2M   890  XX02 1```
```19Aug    1.4M   845  XX07 1```
```29Jul   1.38M   887  XXXX 1```
```24Jun    1.4M   887  XXXX 1```
```23Jun   2.15M  1521  XX03 3```
```12Jun   2.82M  1521  XX03 3```
```04Jun   2.35M  1394  XX09 2```
```03Jun      3M  2236  XXXX 3```
```28May   2.37M  1521  XX03 3```
```14May   1.36M   844  XXXX 1```
```02Apr      2M  1393  XX09 2```
```31Mar   1.97M  1373  XXXX 2```
```31Mar   2.04M  1373  XXXX 2```
```24Mar   7.76M  4643  XX02 3```
_Source: DLD, Databot_
_BUA - built-up area, sq.ft._
_P/sf - price per sq.ft._
_B - bedrooms; O - office_
_M - million, K- thousand_
_S - studio, R - shop_
_*Max 30 latest transactions_
www.trydatabot.com</t>
  </si>
  <si>
    <t>1015766, by code - other areas, *BUILDI</t>
  </si>
  <si>
    <t xml:space="preserve">*BUILDING*
*PROFILE*
*THE SIGNATURE*
_Area: Downtown_
_Tap&amp;hold to copy a reply_
```-------------------------```
```Report              Reply```
```-------------------------```
*1 B/R*
```Sales, ROI        1015720```
```Price chart       1015721```
```Rentals           1015722```
*2 B/R*
```Sales, ROI        1015724```
```Price chart       1015725```
```Rentals           1015726```
*3 B/R*
```Sales, ROI        1015728```
```Price chart       1015729```
```Rentals           1015730```
*All types/bedrooms*
```Sales, ROI        1015765```
```Rentals           1015764```
</t>
  </si>
  <si>
    <t>1015784, *SALES*</t>
  </si>
  <si>
    <t>*SALES*
*TRANSACTIONS (RESALE)**
*THE ST. REGIS RESIDENCES T1*
_Area: Downtown_
_Type: 1 bedroom apartment_
```Date   Price  BUA Type P/sf```
```------------2026-----------```
```21Jan   2.6M  838 XXXX 3103```
```19Jan  2.55M  928 XXXX 2748```
```16Jan   2.5M  858 XXXX 2914```
```------------2025-----------```
```17Dec  2.67M  785 XXXX 3401```
```10Dec   2.8M  843 XXXX 3321```
```06Nov  2.95M  928 XX08 3179```
```04Nov  2.65M  787 XX05 3367```
```13Oct 2.725M  858 XX05 3176```
```29Sep   2.9M  785 XX08 3694```
```24Sep  2.93M  785 XX08 3732```
```24Sep 3.275M  821 XXXX 3989```
```11Sep  3.05M  821 XXXX 3715```
```29Aug 2.865M  785 XX08 3650```
```26Aug   4.2M  922 XX01 4555```
```04Aug     4M  922 XX01 4338```
```29Jul  2.55M  838 XX06 3043```
```24Jul  3.35M  821 XXXX 4080```
```22Jul 2.156M  928 XX08 2323```
```08Jul  2.45M  785 XX08 3121```
```26Jun  2.87M  842 XX07 3409```
```22May 2.665M  886 XX07 3008```
```20May  2.65M  843 XXXX 3144```
```12May   2.5M  858 XX05 2914```
```25Apr   2.5M  843 XXXX 2966```
```10Apr  2.63M  842 XX07 3124```
```07Apr   2.4M  838 XX06 2864```
```28Mar  2.63M  785 XX08 3350```
```26Mar 2.554M  787 XX05 3245```
```24Mar 1.947M  886 XX07 2197```
```24Mar  2.97M  821 XXXX 3617```
_Source: DLD, Databot_
_BUA - built-up area, sq.ft._
_P/sf - price per sq.ft._
_B - bedrooms; O - office_
_M - million, K- thousand_
_S - studio, R - shop_
_*Max 30 latest transactions_
www.trydatabot.com</t>
  </si>
  <si>
    <t>The St. Regis Residences T1</t>
  </si>
  <si>
    <t>1015785, *MARKET</t>
  </si>
  <si>
    <t>*MARKET*
*SNAPSHOT*
*THE ST. REGIS RESIDENCES T1*
_Area: Downtown_
_Type: 1 bedroom apartment_
*Price dynamics, Dirham/sq.ft.*
_(M - median value)_
```4555|        *             ```
```    |       *              ```
```    |     *                ```
```    |           *          ```
```    |         ** **        ```
```3344|---------------------M```
```    |  *            *  *   ```
```    |*  *          * **    ```
```    | *    *            * *```
```    |                    * ```
```2323|    *                 ```
```____|______________________```
```    |May2025        Jan2026```
_Source: see table below_
*Latest sales transactions*
```Date   Price  BUA Type P/sf```
```------------2026-----------```
```21Jan   2.6M  838 XXXX 3103```
```19Jan  2.55M  928 XXXX 2748```
```16Jan   2.5M  858 XXXX 2914```
```------------2025-----------```
```17Dec  2.67M  785 XXXX 3401```
```10Dec   2.8M  843 XXXX 3321```
```06Nov  2.95M  928 XX08 3179```
```04Nov  2.65M  787 XX05 3367```
```13Oct 2.725M  858 XX05 3176```
```29Sep   2.9M  785 XX08 3694```
```24Sep  2.93M  785 XX08 3732```
```24Sep 3.275M  821 XXXX 3989```
```11Sep  3.05M  821 XXXX 3715```
```29Aug 2.865M  785 XX08 3650```
```26Aug   4.2M  922 XX01 4555```
```04Aug     4M  922 XX01 4338```
```29Jul  2.55M  838 XX06 3043```
```24Jul  3.35M  821 XXXX 4080```
```22Jul 2.156M  928 XX08 2323```
```08Jul  2.45M  785 XX08 3121```
```26Jun  2.87M  842 XX07 3409```
```22May 2.665M  886 XX07 3008```
```20May  2.65M  843 XXXX 3144```
```12May   2.5M  858 XX05 2914```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</si>
  <si>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1015787, *RESELL</t>
  </si>
  <si>
    <t>*RESELL*
*VS PRIMARY*
*THE ST. REGIS RESIDENCES T1*
_Area: Downtown_
_Type: 1 bedroom apartment_
*Price dynamics, Dirham/sq.ft.*
_(x - primary; * - resell)_
```4023|         x *          ```
```    |                      ```
```    |       x    **        ```
```    |   x                  ```
```3411|               *  *   ```
```    |                 *    ```
```    |              * *    *```
```    |xxx   x            *  ```
```    |    x     x         * ```
```2492|     x  x             ```
```____|______________________```
```    |Nov2022        Jan2026```
_Source: see a table below_
*Latest resell transactions*
```Date   Price  BUA Type P/sf```
```------------2026-----------```
```21Jan   2.6M  838 XXXX 3103```
```19Jan  2.55M  928 XXXX 2748```
```16Jan   2.5M  858 XXXX 2914```
```------------2025-----------```
```17Dec  2.67M  785 XXXX 3401```
```10Dec   2.8M  843 XXXX 3321```
```06Nov  2.95M  928 XX08 3179```
```04Nov  2.65M  787 XX05 3367```
```13Oct 2.725M  858 XX05 3176```
```29Sep   2.9M  785 XX08 3694```
```24Sep  2.93M  785 XX08 3732```
```24Sep 3.275M  821 XXXX 3989```
```11Sep  3.05M  821 XXXX 3715```
```29Aug 2.865M  785 XX08 3650```
```26Aug   4.2M  922 XX01 4555```
```04Aug     4M  922 XX01 4338```
```29Jul  2.55M  838 XX06 3043```
```24Jul  3.35M  821 XXXX 4080```
*Latest primary transactions*
```------------2024-----------```
```02Dec 2.281M  858 XX05 2658```
```22Aug 3.709M  922 XX01 4023```
```------------2023-----------```
```02Nov   2.1M  825 XX06 2545```
```15Jun 2.973M  807 XXXX 3684```
```07Feb 2.189M  743 XXXX 2946```
```------------2022-----------```
```13Dec 2.168M  870 XX08 2492```
```12Dec 2.268M  817 XX09 2776```
```28Nov 2.831M  807 XXXX 3508```
```23Nov 2.228M  743 XXXX 2999```
```16Nov 2.422M  810 XX04 2990```
```16Nov 2.228M  743 XXXX 2999```
```08Nov  2.26M  743 XXXX 3042```
```08Nov 3.506M  914 XXXX 3836```
_Source: DLD, Databot_
_BUA - built-up area, sq.ft._
_P/sf - price per sq.ft._
_B - bedrooms; O - office_
_M - million, K- thousand_
_S - studio, R - shop_
www.trydatabot.com</t>
  </si>
  <si>
    <t>1015788, *SALES*</t>
  </si>
  <si>
    <t>*SALES*
*TRANSACTIONS (RESALE)**
*THE ST. REGIS RESIDENCES T1*
_Area: Downtown_
_Type: 2 bedroom apartment_
```Date   Price  BUA Type P/sf```
```------------2026-----------```
```22Jan   3.7M 1247 XXXX 2967```
```13Jan  3.95M 1247 XXXX 3168```
```13Jan  3.95M 1262 XXXX 3130```
```12Jan  4.38M 1247 XXXX 3512```
```------------2025-----------```
```27Nov  4.15M 1247 XXXX 3328```
```26Nov  6.63M 1127 XXXX 5883```
```26Nov  6.65M 1323 XXXX 5026```
```19Nov   7.5M 1323 XXXX 5669```
```17Nov   3.8M 1246 XXXX 3050```
```27Oct   6.2M 1470 XXXX 4218```
```09Oct   5.9M 1470 XXXX 4014```
```06Oct   3.6M 1246 XXXX 2889```
```02Oct   3.5M 1246 XXXX 2809```
```28Aug   4.2M 1304 XX06 3221```
```26Aug  4.13M 1269 XXXX 3255```
```25Aug   3.8M 1269 XXXX 2994```
```19Aug 3.825M 1250 XXXX 3060```
```19Aug  4.85M 1298 XXXX 3737```
```18Aug  3.95M 1247 XXXX 3168```
```07Aug   4.9M 1361 XX01 3600```
```23Jul  4.65M 1298 XXXX 3582```
```04Jul  3.96M 1247 XXXX 3176```
```25Jun  4.02M 1247 XXXX 3224```
```04Jun  3.78M 1250 XXXX 3024```
```30May  3.78M 1204 XX06 3140```
```30May  3.45M 1269 XXXX 2719```
```19May 3.825M 1250 XXXX 3060```
```05May   3.7M 1269 XXXX 2916```
```05May  3.65M 1269 XXXX 2876```
```23Apr 6.185M 1323 XXXX 4675```
_Source: DLD, Databot_
_BUA - built-up area, sq.ft._
_P/sf - price per sq.ft._
_B - bedrooms; O - office_
_M - million, K- thousand_
_S - studio, R - shop_
_*Max 30 latest transactions_
www.trydatabot.com</t>
  </si>
  <si>
    <t>1015789, *MARKET</t>
  </si>
  <si>
    <t>*MARKET*
*SNAPSHOT*
*THE ST. REGIS RESIDENCES T1*
_Area: Downtown_
_Type: 2 bedroom apartment_
*Price dynamics, Dirham/sq.ft.*
_(M - median value)_
```5883|                *     ```
```    |              *       ```
```    |                      ```
```    |               *      ```
```    |                      ```
```    |            *         ```
```    |           *          ```
```    | ** *                 ```
```3238|---------------------M```
```    |*  *   **        **** ```
```2809|     **  **  *       *```
```____|______________________```
```    |Jul2025        Jan2026```
_Source: see table below_
*Latest sales transactions*
```Date   Price  BUA Type P/sf```
```------------2026-----------```
```22Jan   3.7M 1247 XXXX 2967```
```13Jan  3.95M 1247 XXXX 3168```
```13Jan  3.95M 1262 XXXX 3130```
```12Jan  4.38M 1247 XXXX 3512```
```------------2025-----------```
```27Nov  4.15M 1247 XXXX 3328```
```26Nov  6.63M 1127 XXXX 5883```
```26Nov  6.65M 1323 XXXX 5026```
```19Nov   7.5M 1323 XXXX 5669```
```17Nov   3.8M 1246 XXXX 3050```
```27Oct   6.2M 1470 XXXX 4218```
```09Oct   5.9M 1470 XXXX 4014```
```06Oct   3.6M 1246 XXXX 2889```
```02Oct   3.5M 1246 XXXX 2809```
```28Aug   4.2M 1304 XX06 3221```
```26Aug  4.13M 1269 XXXX 3255```
```25Aug   3.8M 1269 XXXX 2994```
```19Aug 3.825M 1250 XXXX 3060```
```19Aug  4.85M 1298 XXXX 3737```
```18Aug  3.95M 1247 XXXX 3168```
```07Aug   4.9M 1361 XX01 3600```
```23Jul  4.65M 1298 XXXX 3582```
```04Jul  3.96M 1247 XXXX 3176```
```25Jun  4.02M 1247 XXXX 3224```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</si>
  <si>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1015791, *RESELL</t>
  </si>
  <si>
    <t>*RESELL*
*VS PRIMARY*
*THE ST. REGIS RESIDENCES T1*
_Area: Downtown_
_Type: 2 bedroom apartment_
*Price dynamics, Dirham/sq.ft.*
_(x - primary; * - resell)_
```5883|                *     ```
```    |              *       ```
```    |                      ```
```    |               *      ```
```4591|                      ```
```    |            *         ```
```    |           *          ```
```    |x  x              *   ```
```    |        x    *   * ** ```
```2650| xx xxxx xx          *```
```____|______________________```
```    |Nov2022        Jan2026```
_Source: see a table below_
*Latest resell transactions*
```Date   Price  BUA Type P/sf```
```------------2026-----------```
```22Jan   3.7M 1247 XXXX 2967```
```13Jan  3.95M 1247 XXXX 3168```
```13Jan  3.95M 1262 XXXX 3130```
```12Jan  4.38M 1247 XXXX 3512```
```------------2025-----------```
```27Nov  4.15M 1247 XXXX 3328```
```26Nov  6.63M 1127 XXXX 5883```
```26Nov  6.65M 1323 XXXX 5026```
```19Nov   7.5M 1323 XXXX 5669```
```17Nov   3.8M 1246 XXXX 3050```
```27Oct   6.2M 1470 XXXX 4218```
```09Oct   5.9M 1470 XXXX 4014```
```06Oct   3.6M 1246 XXXX 2889```
```02Oct   3.5M 1246 XXXX 2809```
```28Aug   4.2M 1304 XX06 3221```
```26Aug  4.13M 1269 XXXX 3255```
```25Aug   3.8M 1269 XXXX 2994```
```19Aug 3.825M 1250 XXXX 3060```
*Latest primary transactions*
```------------2023-----------```
```01Jun 3.272M 1222 XXXX 2678```
```15Mar 3.238M 1222 XXXX 2650```
```27Feb  3.52M 1182 XX06 2978```
```16Feb   3.4M 1222 XXXX 2782```
```04Jan 3.344M 1182 XXXX 2829```
```------------2022-----------```
```28Nov 3.298M 1222 XXXX 2699```
```22Nov 3.243M 1222 XXXX 2654```
```22Nov 4.056M 1111 XXXX 3651```
```22Nov 3.195M 1149 XXXX 2780```
```16Nov 3.285M 1182 XXXX 2779```
```16Nov 4.694M 1275 XXXX 3682```
```15Nov 3.339M 1222 XXXX 2732```
```15Nov 3.227M 1222 XXXX 2641```
```09Nov 3.172M 1211 XXXX 2619```
_Source: DLD, Databot_
_BUA - built-up area, sq.ft._
_P/sf - price per sq.ft._
_B - bedrooms; O - office_
_M - million, K- thousand_
_S - studio, R - shop_
www.trydatabot.com</t>
  </si>
  <si>
    <t>1015792, *SALES*</t>
  </si>
  <si>
    <t>*SALES*
*TRANSACTIONS (RESALE)**
*THE ST. REGIS RESIDENCES T1*
_Area: Downtown_
_Type: 3 bedroom apartment_
```Date   Price  BUA Type P/sf```
```------------2026-----------```
```20Jan   7.5M 1806 XXXX 4153```
```14Jan  8.65M 1886 XXXX 4586```
```------------2025-----------```
```10Dec   7.8M 1886 XXXX 4136```
```29Aug   7.6M 1828 XX09 4158```
```20Aug     8M 1799 XXXX 4447```
```18Aug  6.95M 1828 XX09 3802```
```13Aug   7.8M 1799 XXXX 4336```
```15Jul  7.75M 1799 XXXX 4308```
```14Jul     7M 1832 XX02 3821```
```09Jul 2.935M  899 XXXX 3264```
```09Jul   6.4M 1831 XX02 3495```
```07Jul   6.7M 1806 XX03 3710```
```01Jul  5.35M 1806 XX03 2962```
```16Jun  6.85M 1806 XX03 3793```
```13Jun 6.735M 1801 XX10 3740```
```10Jun  6.55M 1828 XX09 3583```
```10Jun     7M 1799 XXXX 3891```
```21May   6.7M 1801 XX10 3720```
```21May  7.15M 1799 XXXX 3974```
```13May  6.55M 1828 XX09 3583```
```02May  6.25M 1806 XX03 3461```
```28Apr   6.5M 1828 XX09 3556```
```28Apr   6.5M 1828 XX09 3556```
```22Apr   6.9M 1801 XX10 3831```
```10Apr   6.1M 1831 XX02 3332```
```08Apr  6.85M 1799 XXXX 3808```
```27Mar  6.05M 1806 XX03 3350```
```26Mar  5.88M 1831 XX02 3211```
```13Mar     7M 1886 XXXX 3712```
```07Mar  6.65M 1799 XXXX 3696```
_Source: DLD, Databot_
_BUA - built-up area, sq.ft._
_P/sf - price per sq.ft._
_B - bedrooms; O - office_
_M - million, K- thousand_
_S - studio, R - shop_
_*Max 30 latest transactions_
www.trydatabot.com</t>
  </si>
  <si>
    <t>1015793, *MARKET</t>
  </si>
  <si>
    <t>*MARKET*
*SNAPSHOT*
*THE ST. REGIS RESIDENCES T1*
_Area: Downtown_
_Type: 3 bedroom apartment_
*Price dynamics, Dirham/sq.ft.*
_(M - median value)_
```4586|                    * ```
```    |                 *    ```
```    |              **      ```
```    |                  ** *```
```    |   * *                ```
```3798|---------------------M```
```    |    *  ** *  *  *     ```
```    |* *   *               ```
```    | *         *          ```
```    |            *         ```
```2962|         *            ```
```____|______________________```
```    |Apr2025        Jan2026```
_Source: see table below_
*Latest sales transactions*
```Date   Price  BUA Type P/sf```
```------------2026-----------```
```20Jan   7.5M 1806 XXXX 4153```
```14Jan  8.65M 1886 XXXX 4586```
```------------2025-----------```
```10Dec   7.8M 1886 XXXX 4136```
```29Aug   7.6M 1828 XX09 4158```
```20Aug     8M 1799 XXXX 4447```
```18Aug  6.95M 1828 XX09 3802```
```13Aug   7.8M 1799 XXXX 4336```
```15Jul  7.75M 1799 XXXX 4308```
```14Jul     7M 1832 XX02 3821```
```09Jul 2.935M  899 XXXX 3264```
```09Jul   6.4M 1831 XX02 3495```
```07Jul   6.7M 1806 XX03 3710```
```01Jul  5.35M 1806 XX03 2962```
```16Jun  6.85M 1806 XX03 3793```
```13Jun 6.735M 1801 XX10 3740```
```10Jun  6.55M 1828 XX09 3583```
```10Jun     7M 1799 XXXX 3891```
```21May   6.7M 1801 XX10 3720```
```21May  7.15M 1799 XXXX 3974```
```13May  6.55M 1828 XX09 3583```
```02May  6.25M 1806 XX03 3461```
```28Apr   6.5M 1828 XX09 3556```
```28Apr   6.5M 1828 XX09 3556```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</si>
  <si>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1015795, *RESELL</t>
  </si>
  <si>
    <t>*RESELL*
*VS PRIMARY*
*THE ST. REGIS RESIDENCES T1*
_Area: Downtown_
_Type: 3 bedroom apartment_
*Price dynamics, Dirham/sq.ft.*
_(x - primary; * - resell)_
```4586|                    * ```
```    |               * *    ```
```    |              *   *   ```
```    |                   * *```
```3898|             *        ```
```    |      x         *     ```
```    |    x      *          ```
```    |  x    x xx           ```
```    |x  x        *         ```
```2870| x      x             ```
```____|______________________```
```    |Aug2022        Jan2026```
_Source: see a table below_
*Latest resell transactions*
```Date   Price  BUA Type P/sf```
```------------2026-----------```
```20Jan   7.5M 1806 XXXX 4153```
```14Jan  8.65M 1886 XXXX 4586```
```------------2025-----------```
```10Dec   7.8M 1886 XXXX 4136```
```29Aug   7.6M 1828 XX09 4158```
```20Aug     8M 1799 XXXX 4447```
```18Aug  6.95M 1828 XX09 3802```
```13Aug   7.8M 1799 XXXX 4336```
```15Jul  7.75M 1799 XXXX 4308```
```14Jul     7M 1832 XX02 3821```
```09Jul 2.935M  899 XXXX 3264```
```09Jul   6.4M 1831 XX02 3495```
```07Jul   6.7M 1806 XX03 3710```
```01Jul  5.35M 1806 XX03 2962```
```16Jun  6.85M 1806 XX03 3793```
```13Jun 6.735M 1801 XX10 3740```
```10Jun  6.55M 1828 XX09 3583```
```10Jun     7M 1799 XXXX 3891```
*Latest primary transactions*
```------------2022-----------```
```12Dec 5.956M 1754 XX01 3396```
```09Nov 5.916M 1754 XX01 3373```
```09Nov 5.203M 1801 XX02 2889```
```24Aug 5.994M 1761 XXXX 3404```
```23Aug  6.44M 1754 XX01 3672```
```22Aug  5.36M 1763 XX03 3040```
```17Aug 6.335M 1798 XXXX 3523```
```13Aug 5.492M 1801 XX02 3049```
```11Aug 6.378M 1844 XXXX 3459```
```11Aug 5.169M 1801 XX02 2870```
```10Aug  5.78M 1798 XXXX 3215```
```10Aug 6.212M 1844 XXXX 3369```
```10Aug 5.392M 1763 XXXX 3058```
```09Aug 5.876M 1754 XX01 3350```
```09Aug 6.371M 1754 XX01 3632```
_Source: DLD, Databot_
_BUA - built-up area, sq.ft._
_P/sf - price per sq.ft._
_B - bedrooms; O - office_
_M - million, K- thousand_
_S - studio, R - shop_
www.trydatabot.com</t>
  </si>
  <si>
    <t>1015796, *SALES*</t>
  </si>
  <si>
    <t>*SALES*
*TRANSACTIONS (RESALE)**
*THE ST. REGIS RESIDENCES T1*
_Area: Downtown_
_Type: 4 bedroom apartment_
```Date   Price  BUA Type P/sf```
```------------2025-----------```
```16Sep  28.5M 6949 XX01 4101```
```28Apr    25M 6922 XX02 3612```
```------------2024-----------```
```13Jun 25.01M 6949 XXXX 3600```
```29Apr  24.8M 6949 XXXX 3569```
_Source: DLD, Databot_
_BUA - built-up area, sq.ft._
_P/sf - price per sq.ft._
_B - bedrooms; O - office_
_M - million, K- thousand_
_S - studio, R - shop_
_*Max 30 latest transactions_
www.trydatabot.com</t>
  </si>
  <si>
    <t>1015797, *MARKET</t>
  </si>
  <si>
    <t>*MARKET*
*SNAPSHOT*
*THE ST. REGIS RESIDENCES T1*
_Area: Downtown_
_Type: 4 bedroom apartment_
*Price dynamics, Dirham/sq.ft.*
_(M - median value)_
```4101|                     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```3569|                  *** ```
```3569|                  *** ```
```____|______________________```
```    |Apr2024        Sep2025```
_Source: see table below_
*Latest sales transactions*
```Date   Price  BUA Type P/sf```
```------------2025-----------```
```16Sep  28.5M 6949 XX01 4101```
```28Apr    25M 6922 XX02 3612```
```------------2024-----------```
```13Jun 25.01M 6949 XXXX 3600```
```29Apr  24.8M 6949 XXXX 3569```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</si>
  <si>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1015799, *RESELL</t>
  </si>
  <si>
    <t>*RESELL*
*VS PRIMARY*
*THE ST. REGIS RESIDENCES T1*
_Area: Downtown_
_Type: 4 bedroom apartment_
*Price dynamics, Dirham/sq.ft.*
_(x - primary; * - resell)_
```4101|                     *```
```    |                      ```
```    |                      ```
```    |                      ```
```3873|                      ```
```    |                      ```
```    |                      ```
```    |xx                    ```
```    |  xxxxxxx          ** ```
```3535|         xx       *   ```
```____|______________________```
```    |Dec1899        Sep2025```
_Source: see a table below_
*Latest resell transactions*
```Date   Price  BUA Type P/sf```
```------------2025-----------```
```16Sep  28.5M 6949 XX01 4101```
```28Apr    25M 6922 XX02 3612```
```------------2024-----------```
```13Jun 25.01M 6949 XXXX 3600```
```29Apr  24.8M 6949 XXXX 3569```
*Latest primary transactions*
```------------2022-----------```
```08Nov 24.15M 6827 XXXX 3537```
```08Nov 24.02M 6794 XXXX 3535```
```19Aug 24.88M 6794 XXXX 3662```
```08Aug 24.49M 6794 XXXX 3605```
```08Aug 24.63M 6827 XXXX 3607```
```25Jul 25.01M 6827 XXXX 3664```
```21Jul 24.97M 6827 XXXX 3658```
```12Jul 25.06M 6827 XXXX 3670```
```12Jul 24.84M 6794 XXXX 3656```
```05Jul 24.97M 6794 XXXX 3675```
```01Jul  25.1M 6827 XXXX 3677```
```01Jul 24.92M 6794 XXXX 3668```
_Source: DLD, Databot_
_BUA - built-up area, sq.ft._
_P/sf - price per sq.ft._
_B - bedrooms; O - office_
_M - million, K- thousand_
_S - studio, R - shop_
www.trydatabot.com</t>
  </si>
  <si>
    <t>1015829, *SALES*</t>
  </si>
  <si>
    <t>*SALES*
*TRANSACTIONS (RESALE)**
*THE ST. REGIS RESIDENCES T1*
_Area: Downtown_
_All types/bedrooms_
```Date    Price   BUA  Type B```
```------------2026-----------```
```22Jan    3.7M  1247  XXXX 2```
```21Jan    2.6M   838  XXXX 1```
```20Jan    7.5M  1806  XXXX 3```
```19Jan   2.55M   928  XXXX 1```
```16Jan    2.5M   858  XXXX 1```
```14Jan   8.65M  1886  XXXX 3```
```13Jan   3.95M  1247  XXXX 2```
```13Jan   3.95M  1262  XXXX 2```
```12Jan   4.38M  1247  XXXX 2```
```------------2025-----------```
```17Dec   2.67M   785  XXXX 1```
```10Dec    2.8M   843  XXXX 1```
```10Dec    7.8M  1886  XXXX 3```
```27Nov   4.15M  1247  XXXX 2```
```26Nov   6.63M  1127  XXXX 2```
```26Nov   6.65M  1323  XXXX 2```
```19Nov    7.5M  1323  XXXX 2```
```17Nov    3.8M  1246  XXXX 2```
```06Nov   2.95M   928  XX08 1```
```04Nov   2.65M   787  XX05 1```
```27Oct    6.2M  1470  XXXX 2```
```13Oct  2.725M   858  XX05 1```
```09Oct    5.9M  1470  XXXX 2```
```06Oct    3.6M  1246  XXXX 2```
```02Oct    3.5M  1246  XXXX 2```
```29Sep    2.9M   785  XX08 1```
```24Sep   2.93M   785  XX08 1```
```24Sep  3.275M   821  XXXX 1```
```16Sep   28.5M  6949  XX01 4```
```11Sep   3.05M   821  XXXX 1```
```29Aug    7.6M  1828  XX09 3```
_Source: DLD, Databot_
_BUA - built-up area, sq.ft._
_P/sf - price per sq.ft._
_B - bedrooms; O - office_
_M - million, K- thousand_
_S - studio, R - shop_
_*Max 30 latest transactions_
www.trydatabot.com</t>
  </si>
  <si>
    <t>1015830, by code, *BUILDI</t>
  </si>
  <si>
    <t xml:space="preserve">*BUILDING*
*PROFILE*
*THE ST. REGIS RESIDENCES T1*
_Area: Downtown_
_Tap&amp;hold to copy a reply_
```-------------------------```
```Report              Reply```
```-------------------------```
*1 B/R*
```Resell, ROI       1015784```
```Primary sales     1015832```
```Price chart       1015785```
```Rentals               n/a```
```Appreciation      1015787```
*2 B/R*
```Resell, ROI       1015788```
```Primary sales     1015833```
```Price chart       1015789```
```Rentals               n/a```
```Appreciation      1015791```
*3 B/R*
```Resell, ROI       1015792```
```Primary sales     1015834```
```Price chart       1015793```
```Rentals               n/a```
```Appreciation      1015795```
*4 B/R*
```Resell, ROI       1015796```
```Primary sales     1015835```
```Price chart       1015797```
```Rentals               n/a```
```Appreciation      1015799```
*All types/bedrooms*
```Resell, ROI       1015829```
```Primary sales     1015843```
```Rentals               n/a```
</t>
  </si>
  <si>
    <t>1015832, *SALES*</t>
  </si>
  <si>
    <t>*SALES*
*TRANSACTIONS (PRIMARY)**
*THE ST. REGIS RESIDENCES T1*
_Area: Downtown_
_Type: 1 bedroom apartment_
```Date   Price  BUA Type P/sf```
```------------2024-----------```
```02Dec 2.281M  858 XX05 2658```
```22Aug 3.709M  922 XX01 4023```
```------------2023-----------```
```02Nov   2.1M  825 XX06 2545```
```15Jun 2.973M  807 XXXX 3684```
```07Feb 2.189M  743 XXXX 2946```
```------------2022-----------```
```13Dec 2.168M  870 XX08 2492```
```12Dec 2.268M  817 XX09 2776```
```28Nov 2.831M  807 XXXX 3508```
```23Nov 2.228M  743 XXXX 2999```
```16Nov 2.422M  810 XX04 2990```
```16Nov 2.228M  743 XXXX 2999```
```08Nov  2.26M  743 XXXX 3042```
```08Nov 3.506M  914 XXXX 3836```
```27Oct 3.456M  914 XXXX 3781```
```23Oct 2.771M  807 XX02 3434```
```05Oct 2.193M  870 XX08 2521```
```03Oct 2.156M  870 XX08 2478```
```29Aug 2.268M  817 XX05 2776```
```24Aug 2.426M  810 XX04 2995```
```24Aug  2.08M  825 XXXX 2521```
_Source: DLD, Databot_
_BUA - built-up area, sq.ft._
_P/sf - price per sq.ft._
_B - bedrooms; O - office_
_M - million, K- thousand_
_S - studio, R - shop_
_*Max 20 latest transactions_
www.trydatabot.com</t>
  </si>
  <si>
    <t>1015833, *SALES*</t>
  </si>
  <si>
    <t>*SALES*
*TRANSACTIONS (PRIMARY)**
*THE ST. REGIS RESIDENCES T1*
_Area: Downtown_
_Type: 2 bedroom apartment_
```Date   Price  BUA Type P/sf```
```------------2023-----------```
```01Jun 3.272M 1222 XXXX 2678```
```15Mar 3.238M 1222 XXXX 2650```
```27Feb  3.52M 1182 XX06 2978```
```16Feb   3.4M 1222 XXXX 2782```
```04Jan 3.344M 1182 XXXX 2829```
```------------2022-----------```
```28Nov 3.298M 1222 XXXX 2699```
```22Nov 3.243M 1222 XXXX 2654```
```22Nov 4.056M 1111 XXXX 3651```
```22Nov 3.195M 1149 XXXX 2780```
```16Nov 3.285M 1182 XXXX 2779```
```16Nov 4.694M 1275 XXXX 3682```
```15Nov 3.339M 1222 XXXX 2732```
```15Nov 3.227M 1222 XXXX 2641```
```09Nov 3.172M 1211 XXXX 2619```
```09Nov 3.269M 1245 XXXX 2626```
```08Nov 3.332M 1182 XXXX 2819```
```31Oct  3.11M 1220 XX04 2549```
```17Oct 3.186M 1149 XXXX 2773```
```17Oct 3.304M 1222 XXXX 2704```
```14Oct 3.227M 1222 XXXX 2641```
_Source: DLD, Databot_
_BUA - built-up area, sq.ft._
_P/sf - price per sq.ft._
_B - bedrooms; O - office_
_M - million, K- thousand_
_S - studio, R - shop_
_*Max 20 latest transactions_
www.trydatabot.com</t>
  </si>
  <si>
    <t>1015834, *SALES*</t>
  </si>
  <si>
    <t>*SALES*
*TRANSACTIONS (PRIMARY)**
*THE ST. REGIS RESIDENCES T1*
_Area: Downtown_
_Type: 3 bedroom apartment_
```Date   Price  BUA Type P/sf```
```------------2022-----------```
```12Dec 5.956M 1754 XX01 3396```
```09Nov 5.916M 1754 XX01 3373```
```09Nov 5.203M 1801 XX02 2889```
```24Aug 5.994M 1761 XXXX 3404```
```23Aug  6.44M 1754 XX01 3672```
```22Aug  5.36M 1763 XX03 3040```
```17Aug 6.335M 1798 XXXX 3523```
```13Aug 5.492M 1801 XX02 3049```
```11Aug 6.378M 1844 XXXX 3459```
```11Aug 5.169M 1801 XX02 2870```
```10Aug  5.78M 1798 XXXX 3215```
```10Aug 6.212M 1844 XXXX 3369```
```10Aug 5.392M 1763 XXXX 3058```
```09Aug 5.876M 1754 XX01 3350```
```09Aug 6.371M 1754 XX01 3632```
```08Aug 5.231M 1763 XXXX 2967```
```08Aug  5.85M 1761 XXXX 3322```
```01Aug 6.413M 1844 XXXX 3478```
```29Jul 5.967M 1798 XXXX 3319```
```27Jul 5.438M 1781 XX02 3053```
_Source: DLD, Databot_
_BUA - built-up area, sq.ft._
_P/sf - price per sq.ft._
_B - bedrooms; O - office_
_M - million, K- thousand_
_S - studio, R - shop_
_*Max 20 latest transactions_
www.trydatabot.com</t>
  </si>
  <si>
    <t>1015835, *SALES*</t>
  </si>
  <si>
    <t>*SALES*
*TRANSACTIONS (PRIMARY)**
*THE ST. REGIS RESIDENCES T1*
_Area: Downtown_
_Type: 4 bedroom apartment_
```Date   Price  BUA Type P/sf```
```------------2022-----------```
```08Nov 24.15M 6827 XXXX 3537```
```08Nov 24.02M 6794 XXXX 3535```
```19Aug 24.88M 6794 XXXX 3662```
```08Aug 24.49M 6794 XXXX 3605```
```08Aug 24.63M 6827 XXXX 3607```
```25Jul 25.01M 6827 XXXX 3664```
```21Jul 24.97M 6827 XXXX 3658```
```12Jul 25.06M 6827 XXXX 3670```
```12Jul 24.84M 6794 XXXX 3656```
```05Jul 24.97M 6794 XXXX 3675```
```01Jul  25.1M 6827 XXXX 3677```
```01Jul 24.92M 6794 XXXX 3668```
_Source: DLD, Databot_
_BUA - built-up area, sq.ft._
_P/sf - price per sq.ft._
_B - bedrooms; O - office_
_M - million, K- thousand_
_S - studio, R - shop_
_*Max 20 latest transactions_
www.trydatabot.com</t>
  </si>
  <si>
    <t>1015843, *SALES*</t>
  </si>
  <si>
    <t>*SALES*
*TRANSACTIONS (PRIMARY)**
*THE ST. REGIS RESIDENCES T1*
_Area: Downtown_
_All types/bedrooms_
```Date    Price   BUA  Type B```
```------------2024-----------```
```02Dec  2.281M   858  XX05 1```
```22Aug  3.709M   922  XX01 1```
```------------2023-----------```
```02Nov    2.1M   825  XX06 1```
```15Jun  2.973M   807  XXXX 1```
```01Jun  3.272M  1222  XXXX 2```
```15Mar  3.238M  1222  XXXX 2```
```27Feb   3.52M  1182  XX06 2```
```16Feb    3.4M  1222  XXXX 2```
```07Feb  2.189M   743  XXXX 1```
```04Jan  3.344M  1182  XXXX 2```
```------------2022-----------```
```13Dec  2.168M   870  XX08 1```
```12Dec  5.956M  1754  XX01 3```
```12Dec  2.268M   817  XX09 1```
```28Nov  3.298M  1222  XXXX 2```
```28Nov  2.831M   807  XXXX 1```
```23Nov  2.228M   743  XXXX 1```
```22Nov  3.243M  1222  XXXX 2```
```22Nov  4.056M  1111  XXXX 2```
```22Nov  3.195M  1149  XXXX 2```
```16Nov  2.422M   810  XX04 1```
_Source: DLD, Databot_
_BUA - built-up area, sq.ft._
_P/sf - price per sq.ft._
_B - bedrooms; O - office_
_M - million, K- thousand_
_S - studio, R - shop_
_*Max 20 latest transactions_
www.trydatabot.com</t>
  </si>
  <si>
    <t>1015848, *SALES*</t>
  </si>
  <si>
    <t>*SALES*
*TRANSACTIONS (RESALE)**
*THE ST. REGIS RESIDENCES T2*
_Area: Downtown_
_Type: 1 bedroom apartment_
```Date   Price  BUA Type P/sf```
```------------2026-----------```
```09Jan   2.8M  898 XXXX 3118```
```------------2025-----------```
```28Nov  2.68M  898 XXXX 2984```
```17Nov  2.64M  898 XXXX 2940```
```28Oct   2.7M  822 XX07 3285```
```13Oct   2.5M  846 XXXX 2955```
```10Oct  2.55M  821 XXXX 3106```
```09Oct   2.6M  901 XXXX 2886```
```02Oct   2.5M  821 XXXX 3045```
```19Sep 2.625M  898 XXXX 2923```
```10Sep  2.15M  846 XXXX 2541```
```04Sep  2.51M  821 XXXX 3057```
```04Sep  2.51M  846 XXXX 2967```
```11Aug  2.49M  846 XXXX 2943```
```02Jul 2.755M  901 XXXX 3058```
```29May   2.4M  846 XXXX 2837```
```26May   2.5M  846 XXXX 2955```
```12May  2.55M  901 XXXX 2830```
```25Apr   2.7M  901 XXXX 2997```
```21Apr   2.5M  846 XXXX 2955```
```02Apr   2.7M  898 XXXX 3007```
```24Mar 2.339M  901 XXXX 2596```
```21Mar  2.13M  821 XXXX 2595```
```21Mar 2.128M  846 XXXX 2516```
```21Mar 2.128M  846 XXXX 2516```
```21Mar  2.13M  821 XXXX 2595```
```21Mar 2.339M  901 XXXX 2596```
```14Mar  2.63M  898 XXXX 2929```
```06Mar  2.45M  846 XXXX 2896```
```12Feb   2.5M  822 XX07 3041```
```11Feb  2.75M  898 XXXX 3062```
_Source: DLD, Databot_
_BUA - built-up area, sq.ft._
_P/sf - price per sq.ft._
_B - bedrooms; O - office_
_M - million, K- thousand_
_S - studio, R - shop_
_*Max 30 latest transactions_
www.trydatabot.com</t>
  </si>
  <si>
    <t>The St. Regis Residences T2</t>
  </si>
  <si>
    <t>1015849, *MARKET</t>
  </si>
  <si>
    <t>*MARKET*
*SNAPSHOT*
*THE ST. REGIS RESIDENCES T2*
_Area: Downtown_
_Type: 1 bedroom apartment_
*Price dynamics, Dirham/sq.ft.*
_(M - median value)_
```3285|                  *   ```
```    |                      ```
```    |                *    *```
```    |        *  *  *       ```
```2955|---------------------M```
```    |  *** *   *      *  * ```
```    |         *   * *   *  ```
```    |     * *              ```
```    |                      ```
```    |                      ```
```2541|**          *         ```
```____|______________________```
```    |Mar2025        Jan2026```
_Source: see table below_
*Latest sales transactions*
```Date   Price  BUA Type P/sf```
```------------2026-----------```
```09Jan   2.8M  898 XXXX 3118```
```------------2025-----------```
```28Nov  2.68M  898 XXXX 2984```
```17Nov  2.64M  898 XXXX 2940```
```28Oct   2.7M  822 XX07 3285```
```13Oct   2.5M  846 XXXX 2955```
```10Oct  2.55M  821 XXXX 3106```
```09Oct   2.6M  901 XXXX 2886```
```02Oct   2.5M  821 XXXX 3045```
```19Sep 2.625M  898 XXXX 2923```
```10Sep  2.15M  846 XXXX 2541```
```04Sep  2.51M  821 XXXX 3057```
```04Sep  2.51M  846 XXXX 2967```
```11Aug  2.49M  846 XXXX 2943```
```02Jul 2.755M  901 XXXX 3058```
```29May   2.4M  846 XXXX 2837```
```26May   2.5M  846 XXXX 2955```
```12May  2.55M  901 XXXX 2830```
```25Apr   2.7M  901 XXXX 2997```
```21Apr   2.5M  846 XXXX 2955```
```02Apr   2.7M  898 XXXX 3007```
```24Mar 2.339M  901 XXXX 2596```
```21Mar  2.13M  821 XXXX 2595```
```21Mar 2.128M  846 XXXX 2516```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</si>
  <si>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1015851, *RESELL</t>
  </si>
  <si>
    <t>*RESELL*
*VS PRIMARY*
*THE ST. REGIS RESIDENCES T2*
_Area: Downtown_
_Type: 1 bedroom apartment_
*Price dynamics, Dirham/sq.ft.*
_(x - primary; * - resell)_
```3568|       x  x           ```
```    |     xx xx            ```
```    |                      ```
```    |    x             *   ```
```3156|                *    *```
```    |           *  *       ```
```    |             *   * ** ```
```    | xx            *      ```
```    |x  x                  ```
```2541|            *         ```
```____|______________________```
```    |Nov2022        Jan2026```
_Source: see a table below_
*Latest resell transactions*
```Date   Price  BUA Type P/sf```
```------------2026-----------```
```09Jan   2.8M  898 XXXX 3118```
```------------2025-----------```
```28Nov  2.68M  898 XXXX 2984```
```17Nov  2.64M  898 XXXX 2940```
```28Oct   2.7M  822 XX07 3285```
```13Oct   2.5M  846 XXXX 2955```
```10Oct  2.55M  821 XXXX 3106```
```09Oct   2.6M  901 XXXX 2886```
```02Oct   2.5M  821 XXXX 3045```
```19Sep 2.625M  898 XXXX 2923```
```10Sep  2.15M  846 XXXX 2541```
```04Sep  2.51M  821 XXXX 3057```
```04Sep  2.51M  846 XXXX 2967```
```11Aug  2.49M  846 XXXX 2943```
```02Jul 2.755M  901 XXXX 3058```
```29May   2.4M  846 XXXX 2837```
```26May   2.5M  846 XXXX 2955```
```12May  2.55M  901 XXXX 2830```
*Latest primary transactions*
```------------2025-----------```
```21Aug 2.929M  822 XX07 3563```
```------------2024-----------```
```20Nov 3.101M  898 XXXX 3453```
```11Nov 3.101M  898 XXXX 3453```
```28May 2.933M  822 XXXX 3568```
```27May 3.105M  898 XXXX 3458```
```23May 3.105M  898 XXXX 3458```
```------------2023-----------```
```06Jul 2.615M  791 XXXX 3306```
```19Apr 2.143M  792 XXXX 2705```
```27Feb 2.506M  895 XXXX 2800```
```------------2022-----------```
```07Dec 2.278M  792 XX07 2876```
```22Nov 2.383M  895 XX10 2662```
```14Nov  2.24M  792 XX07 2828```
_Source: DLD, Databot_
_BUA - built-up area, sq.ft._
_P/sf - price per sq.ft._
_B - bedrooms; O - office_
_M - million, K- thousand_
_S - studio, R - shop_
www.trydatabot.com</t>
  </si>
  <si>
    <t>1015852, *SALES*</t>
  </si>
  <si>
    <t>*SALES*
*TRANSACTIONS (RESALE)**
*THE ST. REGIS RESIDENCES T2*
_Area: Downtown_
_Type: 2 bedroom apartment_
```Date   Price  BUA Type P/sf```
```------------2026-----------```
```21Jan   4.4M 1349 XXXX 3262```
```19Jan   4.3M 1453 XXXX 2959```
```19Jan   3.8M 1348 XXXX 2819```
```19Jan  4.25M 1453 XXXX 2925```
```14Jan   4.5M 1459 XXXX 3084```
```13Jan  4.35M 1349 XXXX 3225```
```------------2025-----------```
```29Dec   3.9M 1334 XXXX 2924```
```22Dec   4.8M 1349 XXXX 3558```
```10Dec   3.5M 1453 XXXX 2409```
```09Dec   3.8M 1269 XXXX 2994```
```21Nov  3.52M 1334 XXXX 2639```
```19Nov   4.2M 1453 XXXX 2891```
```31Oct 3.925M 1335 XXXX 2940```
```30Oct   3.9M 1334 XXXX 2924```
```29Oct 3.775M 1234 XX06 3059```
```22Oct   4.1M 1349 XXXX 3039```
```14Oct   3.9M 1335 XXXX 2921```
```01Oct   3.7M 1269 XXXX 2916```
```25Sep 3.778M 1335 XXXX 2830```
```24Sep   3.5M 1334 XXXX 2624```
```23Sep   4.3M 1348 XXXX 3190```
```15Sep   4.9M 1349 XXXX 3632```
```01Sep  4.15M 1348 XXXX 3079```
```28Aug   4.2M 1348 XXXX 3116```
```30Jul  3.85M 1348 XXXX 2856```
```03Jul     4M 1453 XXXX 2753```
```02Jul  4.15M 1348 XXXX 3079```
```26Jun 4.175M 1348 XXXX 3097```
```23Jun  3.99M 1453 XXXX 2746```
```16Jun     3M 1269 XXXX 2364```
_Source: DLD, Databot_
_BUA - built-up area, sq.ft._
_P/sf - price per sq.ft._
_B - bedrooms; O - office_
_M - million, K- thousand_
_S - studio, R - shop_
_*Max 30 latest transactions_
www.trydatabot.com</t>
  </si>
  <si>
    <t>1015853, *MARKET</t>
  </si>
  <si>
    <t>*MARKET*
*SNAPSHOT*
*THE ST. REGIS RESIDENCES T2*
_Area: Downtown_
_Type: 2 bedroom apartment_
*Price dynamics, Dirham/sq.ft.*
_(M - median value)_
```3632|*                     ```
```    |              *       ```
```    |                      ```
```    |                *    *```
```    | *               *    ```
```    |      **    *         ```
```2933|---------------------M```
```    |    **  ***    *  * * ```
```    |   *               *  ```
```    |  *        *          ```
```2409|             *        ```
```____|______________________```
```    |Sep2025        Jan2026```
_Source: see table below_
*Latest sales transactions*
```Date   Price  BUA Type P/sf```
```------------2026-----------```
```21Jan   4.4M 1349 XXXX 3262```
```19Jan   4.3M 1453 XXXX 2959```
```19Jan   3.8M 1348 XXXX 2819```
```19Jan  4.25M 1453 XXXX 2925```
```14Jan   4.5M 1459 XXXX 3084```
```13Jan  4.35M 1349 XXXX 3225```
```------------2025-----------```
```29Dec   3.9M 1334 XXXX 2924```
```22Dec   4.8M 1349 XXXX 3558```
```10Dec   3.5M 1453 XXXX 2409```
```09Dec   3.8M 1269 XXXX 2994```
```21Nov  3.52M 1334 XXXX 2639```
```19Nov   4.2M 1453 XXXX 2891```
```31Oct 3.925M 1335 XXXX 2940```
```30Oct   3.9M 1334 XXXX 2924```
```29Oct 3.775M 1234 XX06 3059```
```22Oct   4.1M 1349 XXXX 3039```
```14Oct   3.9M 1335 XXXX 2921```
```01Oct   3.7M 1269 XXXX 2916```
```25Sep 3.778M 1335 XXXX 2830```
```24Sep   3.5M 1334 XXXX 2624```
```23Sep   4.3M 1348 XXXX 3190```
```15Sep   4.9M 1349 XXXX 3632```
```01Sep  4.15M 1348 XXXX 3079```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</si>
  <si>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1015855, *RESELL</t>
  </si>
  <si>
    <t>*RESELL*
*VS PRIMARY*
*THE ST. REGIS RESIDENCES T2*
_Area: Downtown_
_Type: 2 bedroom apartment_
*Price dynamics, Dirham/sq.ft.*
_(x - primary; * - resell)_
```3652|   x                  ```
```    |x    x        *       ```
```    |                      ```
```    |  x   xxxxx     *    *```
```3156|    x                 ```
```    |            *    *    ```
```    |               *  * * ```
```    |                   *  ```
```    | x         *          ```
```2409|             *        ```
```____|______________________```
```    |May2024        Jan2026```
_Source: see a table below_
*Latest resell transactions*
```Date   Price  BUA Type P/sf```
```------------2026-----------```
```21Jan   4.4M 1349 XXXX 3262```
```19Jan   4.3M 1453 XXXX 2959```
```19Jan   3.8M 1348 XXXX 2819```
```19Jan  4.25M 1453 XXXX 2925```
```14Jan   4.5M 1459 XXXX 3084```
```13Jan  4.35M 1349 XXXX 3225```
```------------2025-----------```
```29Dec   3.9M 1334 XXXX 2924```
```22Dec   4.8M 1349 XXXX 3558```
```10Dec   3.5M 1453 XXXX 2409```
```09Dec   3.8M 1269 XXXX 2994```
```21Nov  3.52M 1334 XXXX 2639```
```19Nov   4.2M 1453 XXXX 2891```
```31Oct 3.925M 1335 XXXX 2940```
```30Oct   3.9M 1334 XXXX 2924```
```29Oct 3.775M 1234 XX06 3059```
```22Oct   4.1M 1349 XXXX 3039```
```14Oct   3.9M 1335 XXXX 2921```
*Latest primary transactions*
```------------2025-----------```
```21Aug 4.319M 1335 XXXX 3235```
```27May 4.205M 1269 XXXX 3314```
```20May 4.205M 1269 XXXX 3314```
```19Feb 4.868M 1459 XXXX 3336```
```03Jan 4.319M 1335 XXXX 3235```
```------------2024-----------```
```18Dec 4.841M 1349 XXXX 3589```
```20Nov 4.542M 1459 XXXX 3113```
```11Nov 4.927M 1349 XXXX 3652```
```17Jul 4.327M 1335 XXXX 3241```
```04Jun 3.647M 1348 XXXX 2705```
```28May  4.28M 1234 XXXX 3468```
```28May 4.214M 1269 XXXX 3321```
```28May 4.551M 1459 XXXX 3119```
```28May 4.934M 1349 XXXX 3657```
_Source: DLD, Databot_
_BUA - built-up area, sq.ft._
_P/sf - price per sq.ft._
_B - bedrooms; O - office_
_M - million, K- thousand_
_S - studio, R - shop_
www.trydatabot.com</t>
  </si>
  <si>
    <t>1015893, *SALES*</t>
  </si>
  <si>
    <t>*SALES*
*TRANSACTIONS (RESALE)**
*THE ST. REGIS RESIDENCES T2*
_Area: Downtown_
_All types/bedrooms_
```Date    Price   BUA  Type B```
```------------2026-----------```
```21Jan    4.4M  1349  XXXX 2```
```19Jan    4.3M  1453  XXXX 2```
```19Jan    3.8M  1348  XXXX 2```
```19Jan   4.25M  1453  XXXX 2```
```14Jan    4.5M  1459  XXXX 2```
```13Jan   4.35M  1349  XXXX 2```
```09Jan    2.8M   898  XXXX 1```
```------------2025-----------```
```29Dec    3.9M  1334  XXXX 2```
```22Dec    4.8M  1349  XXXX 2```
```10Dec    3.5M  1453  XXXX 2```
```09Dec    3.8M  1269  XXXX 2```
```28Nov   2.68M   898  XXXX 1```
```21Nov   3.52M  1334  XXXX 2```
```19Nov    4.2M  1453  XXXX 2```
```17Nov   2.64M   898  XXXX 1```
```31Oct  3.925M  1335  XXXX 2```
```30Oct    3.9M  1334  XXXX 2```
```29Oct  3.775M  1234  XX06 2```
```28Oct    2.7M   822  XX07 1```
```22Oct    4.1M  1349  XXXX 2```
```14Oct    3.9M  1335  XXXX 2```
```13Oct    2.5M   846  XXXX 1```
```10Oct   2.55M   821  XXXX 1```
```09Oct    2.6M   901  XXXX 1```
```02Oct    2.5M   821  XXXX 1```
```01Oct    3.7M  1269  XXXX 2```
```25Sep  3.778M  1335  XXXX 2```
```24Sep    3.5M  1334  XXXX 2```
```23Sep    4.3M  1348  XXXX 2```
```19Sep  2.625M   898  XXXX 1```
_Source: DLD, Databot_
_BUA - built-up area, sq.ft._
_P/sf - price per sq.ft._
_B - bedrooms; O - office_
_M - million, K- thousand_
_S - studio, R - shop_
_*Max 30 latest transactions_
www.trydatabot.com</t>
  </si>
  <si>
    <t>1015894, by code, *BUILDI</t>
  </si>
  <si>
    <t xml:space="preserve">*BUILDING*
*PROFILE*
*THE ST. REGIS RESIDENCES T2*
_Area: Downtown_
_Tap&amp;hold to copy a reply_
```-------------------------```
```Report              Reply```
```-------------------------```
*1 B/R*
```Resell, ROI       1015848```
```Primary sales     1015896```
```Price chart       1015849```
```Rentals               n/a```
```Appreciation      1015851```
*2 B/R*
```Resell, ROI       1015852```
```Primary sales     1015897```
```Price chart       1015853```
```Rentals               n/a```
```Appreciation      1015855```
*All types/bedrooms*
```Resell, ROI       1015893```
```Primary sales     1015907```
```Rentals               n/a```
</t>
  </si>
  <si>
    <t>1015896, *SALES*</t>
  </si>
  <si>
    <t>*SALES*
*TRANSACTIONS (PRIMARY)**
*THE ST. REGIS RESIDENCES T2*
_Area: Downtown_
_Type: 1 bedroom apartment_
```Date   Price  BUA Type P/sf```
```------------2025-----------```
```21Aug 2.929M  822 XX07 3563```
```------------2024-----------```
```20Nov 3.101M  898 XXXX 3453```
```11Nov 3.101M  898 XXXX 3453```
```28May 2.933M  822 XXXX 3568```
```27May 3.105M  898 XXXX 3458```
```23May 3.105M  898 XXXX 3458```
```------------2023-----------```
```06Jul 2.615M  791 XXXX 3306```
```19Apr 2.143M  792 XXXX 2705```
```27Feb 2.506M  895 XXXX 2800```
```------------2022-----------```
```07Dec 2.278M  792 XX07 2876```
```22Nov 2.383M  895 XX10 2662```
```14Nov  2.24M  792 XX07 2828```
```08Nov 2.199M  792 XX08 2776```
```24Oct 2.154M  791 XX07 2723```
```12Oct 2.161M  792 XX05 2728```
```06Oct 2.296M  787 XX01 2917```
```29Sep 2.173M  792 XX05 2744```
```27Sep  2.51M  895 XX09 2804```
```20Sep 2.374M  895 XX03 2652```
```20Sep 2.158M  791 XX06 2728```
_Source: DLD, Databot_
_BUA - built-up area, sq.ft._
_P/sf - price per sq.ft._
_B - bedrooms; O - office_
_M - million, K- thousand_
_S - studio, R - shop_
_*Max 20 latest transactions_
www.trydatabot.com</t>
  </si>
  <si>
    <t>1015897, *SALES*</t>
  </si>
  <si>
    <t>*SALES*
*TRANSACTIONS (PRIMARY)**
*THE ST. REGIS RESIDENCES T2*
_Area: Downtown_
_Type: 2 bedroom apartment_
```Date   Price  BUA Type P/sf```
```------------2025-----------```
```21Aug 4.319M 1335 XXXX 3235```
```27May 4.205M 1269 XXXX 3314```
```20May 4.205M 1269 XXXX 3314```
```19Feb 4.868M 1459 XXXX 3336```
```03Jan 4.319M 1335 XXXX 3235```
```------------2024-----------```
```18Dec 4.841M 1349 XXXX 3589```
```20Nov 4.542M 1459 XXXX 3113```
```11Nov 4.927M 1349 XXXX 3652```
```17Jul 4.327M 1335 XXXX 3241```
```04Jun 3.647M 1348 XXXX 2705```
```28May  4.28M 1234 XXXX 3468```
```28May 4.214M 1269 XXXX 3321```
```28May 4.551M 1459 XXXX 3119```
```28May 4.934M 1349 XXXX 3657```
```28May 4.875M 1459 XXXX 3341```
```28May  4.85M 1349 XXXX 3595```
```24May 4.327M 1335 XXXX 3241```
```------------2023-----------```
```09Jan 3.321M 1289 XX04 2576```
```------------2022-----------```
```29Dec 3.244M 1161 XX06 2794```
```28Nov 3.296M 1289 XX09 2557```
_Source: DLD, Databot_
_BUA - built-up area, sq.ft._
_P/sf - price per sq.ft._
_B - bedrooms; O - office_
_M - million, K- thousand_
_S - studio, R - shop_
_*Max 20 latest transactions_
www.trydatabot.com</t>
  </si>
  <si>
    <t>1015907, *SALES*</t>
  </si>
  <si>
    <t>*SALES*
*TRANSACTIONS (PRIMARY)**
*THE ST. REGIS RESIDENCES T2*
_Area: Downtown_
_All types/bedrooms_
```Date    Price   BUA  Type B```
```------------2025-----------```
```21Aug  4.319M  1335  XXXX 2```
```21Aug  2.929M   822  XX07 1```
```27May  4.205M  1269  XXXX 2```
```20May  4.205M  1269  XXXX 2```
```19Feb  4.868M  1459  XXXX 2```
```03Jan  4.319M  1335  XXXX 2```
```------------2024-----------```
```18Dec  4.841M  1349  XXXX 2```
```20Nov  3.101M   898  XXXX 1```
```20Nov  4.542M  1459  XXXX 2```
```11Nov  4.927M  1349  XXXX 2```
```11Nov  3.101M   898  XXXX 1```
```17Jul  4.327M  1335  XXXX 2```
```04Jun  3.647M  1348  XXXX 2```
```28May  2.933M   822  XXXX 1```
```28May   4.28M  1234  XXXX 2```
```28May  4.214M  1269  XXXX 2```
```28May  4.551M  1459  XXXX 2```
```28May  4.934M  1349  XXXX 2```
```28May  4.875M  1459  XXXX 2```
```28May   4.85M  1349  XXXX 2```
_Source: DLD, Databot_
_BUA - built-up area, sq.ft._
_P/sf - price per sq.ft._
_B - bedrooms; O - office_
_M - million, K- thousand_
_S - studio, R - shop_
_*Max 20 latest transactions_
www.trydatabot.com</t>
  </si>
  <si>
    <t>1015912, *SALES*</t>
  </si>
  <si>
    <t>*SALES*
*TRANSACTIONS (RESALE)**
*THE ST. REGIS RESIDENCES T1+T2*
_Area: Downtown_
_Type: 1 bedroom apartment_
```Date   Price  BUA Type P/sf```
```------------2026-----------```
```21Jan   2.6M  838 XXXX 3103```
```19Jan  2.55M  928 XXXX 2748```
```16Jan   2.5M  858 XXXX 2914```
```09Jan   2.8M  898 XXXX 3118```
```------------2025-----------```
```17Dec  2.67M  785 XXXX 3401```
```10Dec   2.8M  843 XXXX 3321```
```28Nov  2.68M  898 XXXX 2984```
```17Nov  2.64M  898 XXXX 2940```
```06Nov  2.95M  928 XX08 3179```
```04Nov  2.65M  787 XX05 3367```
```28Oct   2.7M  822 XX07 3285```
```13Oct 2.725M  858 XX05 3176```
```13Oct   2.5M  846 XXXX 2955```
```10Oct  2.55M  821 XXXX 3106```
```09Oct   2.6M  901 XXXX 2886```
```02Oct   2.5M  821 XXXX 3045```
```29Sep   2.9M  785 XX08 3694```
```24Sep  2.93M  785 XX08 3732```
```24Sep 3.275M  821 XXXX 3989```
```19Sep 2.625M  898 XXXX 2923```
```11Sep  3.05M  821 XXXX 3715```
```10Sep  2.15M  846 XXXX 2541```
```04Sep  2.51M  821 XXXX 3057```
```04Sep  2.51M  846 XXXX 2967```
```29Aug 2.865M  785 XX08 3650```
```26Aug   4.2M  922 XX01 4555```
```11Aug  2.49M  846 XXXX 2943```
```04Aug     4M  922 XX01 4338```
```29Jul  2.55M  838 XX06 3043```
```24Jul  3.35M  821 XXXX 4080```
_Source: DLD, Databot_
_BUA - built-up area, sq.ft._
_P/sf - price per sq.ft._
_B - bedrooms; O - office_
_M - million, K- thousand_
_S - studio, R - shop_
_*Max 30 latest transactions_
www.trydatabot.com</t>
  </si>
  <si>
    <t>The St. Regis Residences T1+T2</t>
  </si>
  <si>
    <t>1015913, *MARKET</t>
  </si>
  <si>
    <t>*MARKET*
*SNAPSHOT*
*THE ST. REGIS RESIDENCES T1+T2*
_Area: Downtown_
_Type: 1 bedroom apartment_
*Price dynamics, Dirham/sq.ft.*
_(M - median value)_
```3989|   *                  ```
```    |                      ```
```    | *  **                ```
```    |                      ```
```    |            *    *    ```
```    |           *    *     ```
```3112|---------------------M```
```    |        * *  *    *  *```
```    |  *   *  *    **   *  ```
```    |       *            * ```
```2541|*                     ```
```____|______________________```
```    |Sep2025        Jan2026```
_Source: see table below_
*Latest sales transactions*
```Date   Price  BUA Type P/sf```
```------------2026-----------```
```21Jan   2.6M  838 XXXX 3103```
```19Jan  2.55M  928 XXXX 2748```
```16Jan   2.5M  858 XXXX 2914```
```09Jan   2.8M  898 XXXX 3118```
```------------2025-----------```
```17Dec  2.67M  785 XXXX 3401```
```10Dec   2.8M  843 XXXX 3321```
```28Nov  2.68M  898 XXXX 2984```
```17Nov  2.64M  898 XXXX 2940```
```06Nov  2.95M  928 XX08 3179```
```04Nov  2.65M  787 XX05 3367```
```28Oct   2.7M  822 XX07 3285```
```13Oct 2.725M  858 XX05 3176```
```13Oct   2.5M  846 XXXX 2955```
```10Oct  2.55M  821 XXXX 3106```
```09Oct   2.6M  901 XXXX 2886```
```02Oct   2.5M  821 XXXX 3045```
```29Sep   2.9M  785 XX08 3694```
```24Sep  2.93M  785 XX08 3732```
```24Sep 3.275M  821 XXXX 3989```
```19Sep 2.625M  898 XXXX 2923```
```11Sep  3.05M  821 XXXX 3715```
```10Sep  2.15M  846 XXXX 2541```
```04Sep  2.51M  821 XXXX 3057```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</si>
  <si>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1015915, *RESELL</t>
  </si>
  <si>
    <t>*RESELL*
*VS PRIMARY*
*THE ST. REGIS RESIDENCES T1+T2*
_Area: Downtown_
_Type: 1 bedroom apartment_
*Price dynamics, Dirham/sq.ft.*
_(x - primary; * - resell)_
```4023|      x               ```
```    |                      ```
```    |x                     ```
```    |     x    x           ```
```3431|   xx  xx   *    *    ```
```    | x         *    *     ```
```    |             *    *  *```
```    |              **   *  ```
```    |                    * ```
```2545|  x      x            ```
```____|______________________```
```    |Jun2023        Jan2026```
_Source: see a table below_
*Latest resell transactions*
```Date   Price  BUA Type P/sf```
```------------2026-----------```
```21Jan   2.6M  838 XXXX 3103```
```19Jan  2.55M  928 XXXX 2748```
```16Jan   2.5M  858 XXXX 2914```
```09Jan   2.8M  898 XXXX 3118```
```------------2025-----------```
```17Dec  2.67M  785 XXXX 3401```
```10Dec   2.8M  843 XXXX 3321```
```28Nov  2.68M  898 XXXX 2984```
```17Nov  2.64M  898 XXXX 2940```
```06Nov  2.95M  928 XX08 3179```
```04Nov  2.65M  787 XX05 3367```
```28Oct   2.7M  822 XX07 3285```
```13Oct 2.725M  858 XX05 3176```
```13Oct   2.5M  846 XXXX 2955```
```10Oct  2.55M  821 XXXX 3106```
```09Oct   2.6M  901 XXXX 2886```
```02Oct   2.5M  821 XXXX 3045```
```29Sep   2.9M  785 XX08 3694```
*Latest primary transactions*
```------------2025-----------```
```21Aug 2.929M  822 XX07 3563```
```------------2024-----------```
```02Dec 2.281M  858 XX05 2658```
```20Nov 3.101M  898 XXXX 3453```
```11Nov 3.101M  898 XXXX 3453```
```22Aug 3.709M  922 XX01 4023```
```28May 2.933M  822 XXXX 3568```
```27May 3.105M  898 XXXX 3458```
```23May 3.105M  898 XXXX 3458```
```------------2023-----------```
```02Nov   2.1M  825 XX06 2545```
```06Jul 2.615M  791 XXXX 3306```
```15Jun 2.973M  807 XXXX 3684```
```19Apr 2.143M  792 XXXX 2705```
```27Feb 2.506M  895 XXXX 2800```
_Source: DLD, Databot_
_BUA - built-up area, sq.ft._
_P/sf - price per sq.ft._
_B - bedrooms; O - office_
_M - million, K- thousand_
_S - studio, R - shop_
www.trydatabot.com</t>
  </si>
  <si>
    <t>1015916, *SALES*</t>
  </si>
  <si>
    <t>*SALES*
*TRANSACTIONS (RESALE)**
*THE ST. REGIS RESIDENCES T1+T2*
_Area: Downtown_
_Type: 2 bedroom apartment_
```Date   Price  BUA Type P/sf```
```------------2026-----------```
```22Jan   3.7M 1247 XXXX 2967```
```21Jan   4.4M 1349 XXXX 3262```
```19Jan   4.3M 1453 XXXX 2959```
```19Jan   3.8M 1348 XXXX 2819```
```19Jan  4.25M 1453 XXXX 2925```
```14Jan   4.5M 1459 XXXX 3084```
```13Jan  3.95M 1247 XXXX 3168```
```13Jan  3.95M 1262 XXXX 3130```
```13Jan  4.35M 1349 XXXX 3225```
```12Jan  4.38M 1247 XXXX 3512```
```------------2025-----------```
```29Dec   3.9M 1334 XXXX 2924```
```22Dec   4.8M 1349 XXXX 3558```
```10Dec   3.5M 1453 XXXX 2409```
```09Dec   3.8M 1269 XXXX 2994```
```27Nov  4.15M 1247 XXXX 3328```
```26Nov  6.63M 1127 XXXX 5883```
```26Nov  6.65M 1323 XXXX 5026```
```21Nov  3.52M 1334 XXXX 2639```
```19Nov   4.2M 1453 XXXX 2891```
```19Nov   7.5M 1323 XXXX 5669```
```17Nov   3.8M 1246 XXXX 3050```
```31Oct 3.925M 1335 XXXX 2940```
```30Oct   3.9M 1334 XXXX 2924```
```29Oct 3.775M 1234 XX06 3059```
```27Oct   6.2M 1470 XXXX 4218```
```22Oct   4.1M 1349 XXXX 3039```
```14Oct   3.9M 1335 XXXX 2921```
```09Oct   5.9M 1470 XXXX 4014```
```06Oct   3.6M 1246 XXXX 2889```
```02Oct   3.5M 1246 XXXX 2809```
_Source: DLD, Databot_
_BUA - built-up area, sq.ft._
_P/sf - price per sq.ft._
_B - bedrooms; O - office_
_M - million, K- thousand_
_S - studio, R - shop_
_*Max 30 latest transactions_
www.trydatabot.com</t>
  </si>
  <si>
    <t>1015917, *MARKET</t>
  </si>
  <si>
    <t>*MARKET*
*SNAPSHOT*
*THE ST. REGIS RESIDENCES T1+T2*
_Area: Downtown_
_Type: 2 bedroom apartment_
*Price dynamics, Dirham/sq.ft.*
_(M - median value)_
```5883|      *               ```
```    |  *                   ```
```    |     *                ```
```    |                      ```
```    |                      ```
```    |                      ```
```    |                      ```
```    |       *  * *         ```
```3067|---------------------M```
```    |** *    *  * *********```
```2409|    *    *            ```
```____|______________________```
```    |Oct2025        Jan2026```
_Source: see table below_
*Latest sales transactions*
```Date   Price  BUA Type P/sf```
```------------2026-----------```
```22Jan   3.7M 1247 XXXX 2967```
```21Jan   4.4M 1349 XXXX 3262```
```19Jan   4.3M 1453 XXXX 2959```
```19Jan   3.8M 1348 XXXX 2819```
```19Jan  4.25M 1453 XXXX 2925```
```14Jan   4.5M 1459 XXXX 3084```
```13Jan  3.95M 1247 XXXX 3168```
```13Jan  3.95M 1262 XXXX 3130```
```13Jan  4.35M 1349 XXXX 3225```
```12Jan  4.38M 1247 XXXX 3512```
```------------2025-----------```
```29Dec   3.9M 1334 XXXX 2924```
```22Dec   4.8M 1349 XXXX 3558```
```10Dec   3.5M 1453 XXXX 2409```
```09Dec   3.8M 1269 XXXX 2994```
```27Nov  4.15M 1247 XXXX 3328```
```26Nov  6.63M 1127 XXXX 5883```
```26Nov  6.65M 1323 XXXX 5026```
```21Nov  3.52M 1334 XXXX 2639```
```19Nov   4.2M 1453 XXXX 2891```
```19Nov   7.5M 1323 XXXX 5669```
```17Nov   3.8M 1246 XXXX 3050```
```31Oct 3.925M 1335 XXXX 2940```
```30Oct   3.9M 1334 XXXX 2924```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</si>
  <si>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1015919, *RESELL</t>
  </si>
  <si>
    <t>*RESELL*
*VS PRIMARY*
*THE ST. REGIS RESIDENCES T1+T2*
_Area: Downtown_
_Type: 2 bedroom apartment_
*Price dynamics, Dirham/sq.ft.*
_(x - primary; * - resell)_
```3652|   x                  ```
```    |     x      *         ```
```    |x                     ```
```    |       x              ```
```3272|  x   x xxx  *      * ```
```    |              **      ```
```    |    x           *     ```
```    |                   * *```
```    |           *     **   ```
```2705| x                    ```
```____|______________________```
```    |May2024        Jan2026```
_Source: see a table below_
*Latest resell transactions*
```Date   Price  BUA Type P/sf```
```------------2026-----------```
```22Jan   3.7M 1247 XXXX 2967```
```21Jan   4.4M 1349 XXXX 3262```
```19Jan   4.3M 1453 XXXX 2959```
```19Jan   3.8M 1348 XXXX 2819```
```19Jan  4.25M 1453 XXXX 2925```
```14Jan   4.5M 1459 XXXX 3084```
```13Jan  3.95M 1247 XXXX 3168```
```13Jan  3.95M 1262 XXXX 3130```
```13Jan  4.35M 1349 XXXX 3225```
```12Jan  4.38M 1247 XXXX 3512```
```------------2025-----------```
```29Dec   3.9M 1334 XXXX 2924```
```22Dec   4.8M 1349 XXXX 3558```
```10Dec   3.5M 1453 XXXX 2409```
```09Dec   3.8M 1269 XXXX 2994```
```27Nov  4.15M 1247 XXXX 3328```
```26Nov  6.63M 1127 XXXX 5883```
```26Nov  6.65M 1323 XXXX 5026```
*Latest primary transactions*
```------------2025-----------```
```21Aug 4.319M 1335 XXXX 3235```
```27May 4.205M 1269 XXXX 3314```
```20May 4.205M 1269 XXXX 3314```
```19Feb 4.868M 1459 XXXX 3336```
```03Jan 4.319M 1335 XXXX 3235```
```------------2024-----------```
```18Dec 4.841M 1349 XXXX 3589```
```20Nov 4.542M 1459 XXXX 3113```
```11Nov 4.927M 1349 XXXX 3652```
```17Jul 4.327M 1335 XXXX 3241```
```04Jun 3.647M 1348 XXXX 2705```
```28May  4.28M 1234 XXXX 3468```
```28May 4.214M 1269 XXXX 3321```
```28May 4.551M 1459 XXXX 3119```
```28May 4.934M 1349 XXXX 3657```
_Source: DLD, Databot_
_BUA - built-up area, sq.ft._
_P/sf - price per sq.ft._
_B - bedrooms; O - office_
_M - million, K- thousand_
_S - studio, R - shop_
www.trydatabot.com</t>
  </si>
  <si>
    <t>1015920, *SALES*</t>
  </si>
  <si>
    <t>*SALES*
*TRANSACTIONS (RESALE)**
*THE ST. REGIS RESIDENCES T1+T2*
_Area: Downtown_
_Type: 3 bedroom apartment_
```Date   Price  BUA Type P/sf```
```------------2026-----------```
```20Jan   7.5M 1806 XXXX 4153```
```14Jan  8.65M 1886 XXXX 4586```
```------------2025-----------```
```10Dec   7.8M 1886 XXXX 4136```
```29Aug   7.6M 1828 XX09 4158```
```20Aug     8M 1799 XXXX 4447```
```18Aug  6.95M 1828 XX09 3802```
```13Aug   7.8M 1799 XXXX 4336```
```15Jul  7.75M 1799 XXXX 4308```
```14Jul     7M 1832 XX02 3821```
```09Jul 2.935M  899 XXXX 3264```
```09Jul   6.4M 1831 XX02 3495```
```07Jul   6.7M 1806 XX03 3710```
```01Jul  5.35M 1806 XX03 2962```
```16Jun  6.85M 1806 XX03 3793```
```13Jun 6.735M 1801 XX10 3740```
```10Jun  6.55M 1828 XX09 3583```
```10Jun     7M 1799 XXXX 3891```
```21May   6.7M 1801 XX10 3720```
```21May  7.15M 1799 XXXX 3974```
```13May  6.55M 1828 XX09 3583```
```02May  6.25M 1806 XX03 3461```
```28Apr   6.5M 1828 XX09 3556```
```28Apr   6.5M 1828 XX09 3556```
```22Apr   6.9M 1801 XX10 3831```
```10Apr   6.1M 1831 XX02 3332```
```08Apr  6.85M 1799 XXXX 3808```
```27Mar  6.05M 1806 XX03 3350```
```26Mar  5.88M 1831 XX02 3211```
```13Mar     7M 1886 XXXX 3712```
```07Mar  6.65M 1799 XXXX 3696```
_Source: DLD, Databot_
_BUA - built-up area, sq.ft._
_P/sf - price per sq.ft._
_B - bedrooms; O - office_
_M - million, K- thousand_
_S - studio, R - shop_
_*Max 30 latest transactions_
www.trydatabot.com</t>
  </si>
  <si>
    <t>1015921, *MARKET</t>
  </si>
  <si>
    <t>*MARKET*
*SNAPSHOT*
*THE ST. REGIS RESIDENCES T1+T2*
_Area: Downtown_
_Type: 3 bedroom apartment_
*Price dynamics, Dirham/sq.ft.*
_(M - median value)_
```4586|                    * ```
```    |                 *    ```
```    |              **      ```
```    |                  ** *```
```    |   * *                ```
```3798|---------------------M```
```    |    *  ** *  *  *     ```
```    |* *   *               ```
```    | *         *          ```
```    |            *         ```
```2962|         *            ```
```____|______________________```
```    |Apr2025        Jan2026```
_Source: see table below_
*Latest sales transactions*
```Date   Price  BUA Type P/sf```
```------------2026-----------```
```20Jan   7.5M 1806 XXXX 4153```
```14Jan  8.65M 1886 XXXX 4586```
```------------2025-----------```
```10Dec   7.8M 1886 XXXX 4136```
```29Aug   7.6M 1828 XX09 4158```
```20Aug     8M 1799 XXXX 4447```
```18Aug  6.95M 1828 XX09 3802```
```13Aug   7.8M 1799 XXXX 4336```
```15Jul  7.75M 1799 XXXX 4308```
```14Jul     7M 1832 XX02 3821```
```09Jul 2.935M  899 XXXX 3264```
```09Jul   6.4M 1831 XX02 3495```
```07Jul   6.7M 1806 XX03 3710```
```01Jul  5.35M 1806 XX03 2962```
```16Jun  6.85M 1806 XX03 3793```
```13Jun 6.735M 1801 XX10 3740```
```10Jun  6.55M 1828 XX09 3583```
```10Jun     7M 1799 XXXX 3891```
```21May   6.7M 1801 XX10 3720```
```21May  7.15M 1799 XXXX 3974```
```13May  6.55M 1828 XX09 3583```
```02May  6.25M 1806 XX03 3461```
```28Apr   6.5M 1828 XX09 3556```
```28Apr   6.5M 1828 XX09 3556```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</si>
  <si>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1015923, *RESELL</t>
  </si>
  <si>
    <t>*RESELL*
*VS PRIMARY*
*THE ST. REGIS RESIDENCES T1+T2*
_Area: Downtown_
_Type: 3 bedroom apartment_
*Price dynamics, Dirham/sq.ft.*
_(x - primary; * - resell)_
```4586|                    * ```
```    |               * *    ```
```    |              *   *   ```
```    |                   * *```
```3898|             *        ```
```    |      x         *     ```
```    |    x      *          ```
```    |  x    x xx           ```
```    |x  x        *         ```
```2870| x      x             ```
```____|______________________```
```    |Aug2022        Jan2026```
_Source: see a table below_
*Latest resell transactions*
```Date   Price  BUA Type P/sf```
```------------2026-----------```
```20Jan   7.5M 1806 XXXX 4153```
```14Jan  8.65M 1886 XXXX 4586```
```------------2025-----------```
```10Dec   7.8M 1886 XXXX 4136```
```29Aug   7.6M 1828 XX09 4158```
```20Aug     8M 1799 XXXX 4447```
```18Aug  6.95M 1828 XX09 3802```
```13Aug   7.8M 1799 XXXX 4336```
```15Jul  7.75M 1799 XXXX 4308```
```14Jul     7M 1832 XX02 3821```
```09Jul 2.935M  899 XXXX 3264```
```09Jul   6.4M 1831 XX02 3495```
```07Jul   6.7M 1806 XX03 3710```
```01Jul  5.35M 1806 XX03 2962```
```16Jun  6.85M 1806 XX03 3793```
```13Jun 6.735M 1801 XX10 3740```
```10Jun  6.55M 1828 XX09 3583```
```10Jun     7M 1799 XXXX 3891```
*Latest primary transactions*
```------------2022-----------```
```12Dec 5.956M 1754 XX01 3396```
```09Nov 5.916M 1754 XX01 3373```
```09Nov 5.203M 1801 XX02 2889```
```24Aug 5.994M 1761 XXXX 3404```
```23Aug  6.44M 1754 XX01 3672```
```22Aug  5.36M 1763 XX03 3040```
```17Aug 6.335M 1798 XXXX 3523```
```13Aug 5.492M 1801 XX02 3049```
```11Aug 6.378M 1844 XXXX 3459```
```11Aug 5.169M 1801 XX02 2870```
```10Aug  5.78M 1798 XXXX 3215```
```10Aug 6.212M 1844 XXXX 3369```
```10Aug 5.392M 1763 XXXX 3058```
```09Aug 5.876M 1754 XX01 3350```
```09Aug 6.371M 1754 XX01 3632```
_Source: DLD, Databot_
_BUA - built-up area, sq.ft._
_P/sf - price per sq.ft._
_B - bedrooms; O - office_
_M - million, K- thousand_
_S - studio, R - shop_
www.trydatabot.com</t>
  </si>
  <si>
    <t>1015924, *SALES*</t>
  </si>
  <si>
    <t>*SALES*
*TRANSACTIONS (RESALE)**
*THE ST. REGIS RESIDENCES T1+T2*
_Area: Downtown_
_Type: 4 bedroom apartment_
```Date   Price  BUA Type P/sf```
```------------2025-----------```
```16Sep  28.5M 6949 XX01 4101```
```28Apr    25M 6922 XX02 3612```
```------------2024-----------```
```13Jun 25.01M 6949 XXXX 3600```
```29Apr  24.8M 6949 XXXX 3569```
_Source: DLD, Databot_
_BUA - built-up area, sq.ft._
_P/sf - price per sq.ft._
_B - bedrooms; O - office_
_M - million, K- thousand_
_S - studio, R - shop_
_*Max 30 latest transactions_
www.trydatabot.com</t>
  </si>
  <si>
    <t>1015925, *MARKET</t>
  </si>
  <si>
    <t>*MARKET*
*SNAPSHOT*
*THE ST. REGIS RESIDENCES T1+T2*
_Area: Downtown_
_Type: 4 bedroom apartment_
*Price dynamics, Dirham/sq.ft.*
_(M - median value)_
```4101|                     *```
```    |                      ```
```    |                      ```
```    |                      ```
```    |                      ```
```    |                      ```
```    |                      ```
```    |                      ```
```    |                      ```
```3569|                  *** ```
```3569|                  *** ```
```____|______________________```
```    |Apr2024        Sep2025```
_Source: see table below_
*Latest sales transactions*
```Date   Price  BUA Type P/sf```
```------------2025-----------```
```16Sep  28.5M 6949 XX01 4101```
```28Apr    25M 6922 XX02 3612```
```------------2024-----------```
```13Jun 25.01M 6949 XXXX 3600```
```29Apr  24.8M 6949 XXXX 3569```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</si>
  <si>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1015927, *RESELL</t>
  </si>
  <si>
    <t>*RESELL*
*VS PRIMARY*
*THE ST. REGIS RESIDENCES T1+T2*
_Area: Downtown_
_Type: 4 bedroom apartment_
*Price dynamics, Dirham/sq.ft.*
_(x - primary; * - resell)_
```4101|                     *```
```    |                      ```
```    |                      ```
```    |                      ```
```3873|                      ```
```    |                      ```
```    |                      ```
```    |xx                    ```
```    |  xxxxxxx          ** ```
```3535|         xx       *   ```
```____|______________________```
```    |Dec1899        Sep2025```
_Source: see a table below_
*Latest resell transactions*
```Date   Price  BUA Type P/sf```
```------------2025-----------```
```16Sep  28.5M 6949 XX01 4101```
```28Apr    25M 6922 XX02 3612```
```------------2024-----------```
```13Jun 25.01M 6949 XXXX 3600```
```29Apr  24.8M 6949 XXXX 3569```
*Latest primary transactions*
```------------2022-----------```
```08Nov 24.15M 6827 XXXX 3537```
```08Nov 24.02M 6794 XXXX 3535```
```19Aug 24.88M 6794 XXXX 3662```
```08Aug 24.49M 6794 XXXX 3605```
```08Aug 24.63M 6827 XXXX 3607```
```25Jul 25.01M 6827 XXXX 3664```
```21Jul 24.97M 6827 XXXX 3658```
```12Jul 25.06M 6827 XXXX 3670```
```12Jul 24.84M 6794 XXXX 3656```
```05Jul 24.97M 6794 XXXX 3675```
```01Jul  25.1M 6827 XXXX 3677```
```01Jul 24.92M 6794 XXXX 3668```
_Source: DLD, Databot_
_BUA - built-up area, sq.ft._
_P/sf - price per sq.ft._
_B - bedrooms; O - office_
_M - million, K- thousand_
_S - studio, R - shop_
www.trydatabot.com</t>
  </si>
  <si>
    <t>1015957, *SALES*</t>
  </si>
  <si>
    <t>*SALES*
*TRANSACTIONS (RESALE)**
*THE ST. REGIS RESIDENCES T1+T2*
_Area: Downtown_
_All types/bedrooms_
```Date    Price   BUA  Type B```
```------------2026-----------```
```22Jan    3.7M  1247  XXXX 2```
```21Jan    2.6M   838  XXXX 1```
```21Jan    4.4M  1349  XXXX 2```
```20Jan    7.5M  1806  XXXX 3```
```19Jan    4.3M  1453  XXXX 2```
```19Jan    3.8M  1348  XXXX 2```
```19Jan   2.55M   928  XXXX 1```
```19Jan   4.25M  1453  XXXX 2```
```16Jan    2.5M   858  XXXX 1```
```14Jan   8.65M  1886  XXXX 3```
```14Jan    4.5M  1459  XXXX 2```
```13Jan   3.95M  1247  XXXX 2```
```13Jan   3.95M  1262  XXXX 2```
```13Jan   4.35M  1349  XXXX 2```
```12Jan   4.38M  1247  XXXX 2```
```09Jan    2.8M   898  XXXX 1```
```------------2025-----------```
```29Dec    3.9M  1334  XXXX 2```
```22Dec    4.8M  1349  XXXX 2```
```17Dec   2.67M   785  XXXX 1```
```10Dec    2.8M   843  XXXX 1```
```10Dec    3.5M  1453  XXXX 2```
```10Dec    7.8M  1886  XXXX 3```
```09Dec    3.8M  1269  XXXX 2```
```28Nov   2.68M   898  XXXX 1```
```27Nov   4.15M  1247  XXXX 2```
```26Nov   6.63M  1127  XXXX 2```
```26Nov   6.65M  1323  XXXX 2```
```21Nov   3.52M  1334  XXXX 2```
```19Nov    4.2M  1453  XXXX 2```
```19Nov    7.5M  1323  XXXX 2```
_Source: DLD, Databot_
_BUA - built-up area, sq.ft._
_P/sf - price per sq.ft._
_B - bedrooms; O - office_
_M - million, K- thousand_
_S - studio, R - shop_
_*Max 30 latest transactions_
www.trydatabot.com</t>
  </si>
  <si>
    <t>1015958, by code, *BUILDI</t>
  </si>
  <si>
    <t xml:space="preserve">*BUILDING*
*PROFILE*
*THE ST. REGIS RESIDENCES T1+T2*
_Area: Downtown_
_Tap&amp;hold to copy a reply_
```-------------------------```
```Report              Reply```
```-------------------------```
*1 B/R*
```Resell, ROI       1015912```
```Primary sales     1015960```
```Price chart       1015913```
```Rentals               n/a```
```Appreciation      1015915```
*2 B/R*
```Resell, ROI       1015916```
```Primary sales     1015961```
```Price chart       1015917```
```Rentals               n/a```
```Appreciation      1015919```
*3 B/R*
```Resell, ROI       1015920```
```Primary sales     1015962```
```Price chart       1015921```
```Rentals               n/a```
```Appreciation      1015923```
*4 B/R*
```Resell, ROI       1015924```
```Primary sales     1015963```
```Price chart       1015925```
```Rentals               n/a```
```Appreciation      1015927```
*All types/bedrooms*
```Resell, ROI       1015957```
```Primary sales     1015971```
```Rentals               n/a```
</t>
  </si>
  <si>
    <t>1015960, *SALES*</t>
  </si>
  <si>
    <t>*SALES*
*TRANSACTIONS (PRIMARY)**
*THE ST. REGIS RESIDENCES T1+T2*
_Area: Downtown_
_Type: 1 bedroom apartment_
```Date   Price  BUA Type P/sf```
```------------2025-----------```
```21Aug 2.929M  822 XX07 3563```
```------------2024-----------```
```02Dec 2.281M  858 XX05 2658```
```20Nov 3.101M  898 XXXX 3453```
```11Nov 3.101M  898 XXXX 3453```
```22Aug 3.709M  922 XX01 4023```
```28May 2.933M  822 XXXX 3568```
```27May 3.105M  898 XXXX 3458```
```23May 3.105M  898 XXXX 3458```
```------------2023-----------```
```02Nov   2.1M  825 XX06 2545```
```06Jul 2.615M  791 XXXX 3306```
```15Jun 2.973M  807 XXXX 3684```
```19Apr 2.143M  792 XXXX 2705```
```27Feb 2.506M  895 XXXX 2800```
```07Feb 2.189M  743 XXXX 2946```
```------------2022-----------```
```13Dec 2.168M  870 XX08 2492```
```12Dec 2.268M  817 XX09 2776```
```07Dec 2.278M  792 XX07 2876```
```28Nov 2.831M  807 XXXX 3508```
```23Nov 2.228M  743 XXXX 2999```
```22Nov 2.383M  895 XX10 2662```
_Source: DLD, Databot_
_BUA - built-up area, sq.ft._
_P/sf - price per sq.ft._
_B - bedrooms; O - office_
_M - million, K- thousand_
_S - studio, R - shop_
_*Max 20 latest transactions_
www.trydatabot.com</t>
  </si>
  <si>
    <t>1015961, *SALES*</t>
  </si>
  <si>
    <t>*SALES*
*TRANSACTIONS (PRIMARY)**
*THE ST. REGIS RESIDENCES T1+T2*
_Area: Downtown_
_Type: 2 bedroom apartment_
```Date   Price  BUA Type P/sf```
```------------2025-----------```
```21Aug 4.319M 1335 XXXX 3235```
```27May 4.205M 1269 XXXX 3314```
```20May 4.205M 1269 XXXX 3314```
```19Feb 4.868M 1459 XXXX 3336```
```03Jan 4.319M 1335 XXXX 3235```
```------------2024-----------```
```18Dec 4.841M 1349 XXXX 3589```
```20Nov 4.542M 1459 XXXX 3113```
```11Nov 4.927M 1349 XXXX 3652```
```17Jul 4.327M 1335 XXXX 3241```
```04Jun 3.647M 1348 XXXX 2705```
```28May  4.28M 1234 XXXX 3468```
```28May 4.214M 1269 XXXX 3321```
```28May 4.551M 1459 XXXX 3119```
```28May 4.934M 1349 XXXX 3657```
```28May 4.875M 1459 XXXX 3341```
```28May  4.85M 1349 XXXX 3595```
```24May 4.327M 1335 XXXX 3241```
```------------2023-----------```
```01Jun 3.272M 1222 XXXX 2678```
```15Mar 3.238M 1222 XXXX 2650```
```27Feb  3.52M 1182 XX06 2978```
_Source: DLD, Databot_
_BUA - built-up area, sq.ft._
_P/sf - price per sq.ft._
_B - bedrooms; O - office_
_M - million, K- thousand_
_S - studio, R - shop_
_*Max 20 latest transactions_
www.trydatabot.com</t>
  </si>
  <si>
    <t>1015962, *SALES*</t>
  </si>
  <si>
    <t>*SALES*
*TRANSACTIONS (PRIMARY)**
*THE ST. REGIS RESIDENCES T1+T2*
_Area: Downtown_
_Type: 3 bedroom apartment_
```Date   Price  BUA Type P/sf```
```------------2022-----------```
```12Dec 5.956M 1754 XX01 3396```
```09Nov 5.916M 1754 XX01 3373```
```09Nov 5.203M 1801 XX02 2889```
```24Aug 5.994M 1761 XXXX 3404```
```23Aug  6.44M 1754 XX01 3672```
```22Aug  5.36M 1763 XX03 3040```
```17Aug 6.335M 1798 XXXX 3523```
```13Aug 5.492M 1801 XX02 3049```
```11Aug 6.378M 1844 XXXX 3459```
```11Aug 5.169M 1801 XX02 2870```
```10Aug  5.78M 1798 XXXX 3215```
```10Aug 6.212M 1844 XXXX 3369```
```10Aug 5.392M 1763 XXXX 3058```
```09Aug 5.876M 1754 XX01 3350```
```09Aug 6.371M 1754 XX01 3632```
```08Aug 5.231M 1763 XXXX 2967```
```08Aug  5.85M 1761 XXXX 3322```
```01Aug 6.413M 1844 XXXX 3478```
```29Jul 5.967M 1798 XXXX 3319```
```27Jul 5.438M 1781 XX02 3053```
_Source: DLD, Databot_
_BUA - built-up area, sq.ft._
_P/sf - price per sq.ft._
_B - bedrooms; O - office_
_M - million, K- thousand_
_S - studio, R - shop_
_*Max 20 latest transactions_
www.trydatabot.com</t>
  </si>
  <si>
    <t>1015963, *SALES*</t>
  </si>
  <si>
    <t>*SALES*
*TRANSACTIONS (PRIMARY)**
*THE ST. REGIS RESIDENCES T1+T2*
_Area: Downtown_
_Type: 4 bedroom apartment_
```Date   Price  BUA Type P/sf```
```------------2022-----------```
```08Nov 24.15M 6827 XXXX 3537```
```08Nov 24.02M 6794 XXXX 3535```
```19Aug 24.88M 6794 XXXX 3662```
```08Aug 24.49M 6794 XXXX 3605```
```08Aug 24.63M 6827 XXXX 3607```
```25Jul 25.01M 6827 XXXX 3664```
```21Jul 24.97M 6827 XXXX 3658```
```12Jul 25.06M 6827 XXXX 3670```
```12Jul 24.84M 6794 XXXX 3656```
```05Jul 24.97M 6794 XXXX 3675```
```01Jul  25.1M 6827 XXXX 3677```
```01Jul 24.92M 6794 XXXX 3668```
_Source: DLD, Databot_
_BUA - built-up area, sq.ft._
_P/sf - price per sq.ft._
_B - bedrooms; O - office_
_M - million, K- thousand_
_S - studio, R - shop_
_*Max 20 latest transactions_
www.trydatabot.com</t>
  </si>
  <si>
    <t>1015971, *SALES*</t>
  </si>
  <si>
    <t>*SALES*
*TRANSACTIONS (PRIMARY)**
*THE ST. REGIS RESIDENCES T1+T2*
_Area: Downtown_
_All types/bedrooms_
```Date    Price   BUA  Type B```
```------------2025-----------```
```21Aug  4.319M  1335  XXXX 2```
```21Aug  2.929M   822  XX07 1```
```27May  4.205M  1269  XXXX 2```
```20May  4.205M  1269  XXXX 2```
```19Feb  4.868M  1459  XXXX 2```
```03Jan  4.319M  1335  XXXX 2```
```------------2024-----------```
```18Dec  4.841M  1349  XXXX 2```
```02Dec  2.281M   858  XX05 1```
```20Nov  3.101M   898  XXXX 1```
```20Nov  4.542M  1459  XXXX 2```
```11Nov  4.927M  1349  XXXX 2```
```11Nov  3.101M   898  XXXX 1```
```22Aug  3.709M   922  XX01 1```
```17Jul  4.327M  1335  XXXX 2```
```04Jun  3.647M  1348  XXXX 2```
```28May  2.933M   822  XXXX 1```
```28May   4.28M  1234  XXXX 2```
```28May  4.214M  1269  XXXX 2```
```28May  4.551M  1459  XXXX 2```
```28May  4.934M  1349  XXXX 2```
_Source: DLD, Databot_
_BUA - built-up area, sq.ft._
_P/sf - price per sq.ft._
_B - bedrooms; O - office_
_M - million, K- thousand_
_S - studio, R - shop_
_*Max 20 latest transactions_
www.trydatabot.com</t>
  </si>
  <si>
    <t>1015972, *SALES*</t>
  </si>
  <si>
    <t>*SALES*
*TRANSACTIONS**
*UPPER CREST*
_Area: Downtown_
_Type: studio apartment_
_Gross ROI=9.64% (confidence: low)_
_Median annual rent=68.1K_
```Date   Price  BUA Type P/sf```
```------------2025-----------```
```11Aug   460K  441 XX02 1043```
```21Jul   980K  498 XX08 1968```
```------------2024-----------```
```28Aug   920K  441 XX02 2086```
```15Jul   875K  495 XXXX 1768```
```03May   875K  442 XXXX 1980```
```18Mar 885.7K  491 XX08 1804```
```01Mar 968.8K  443 XX02 2187```
```------------2023-----------```
```14Nov   930K  499 XX08 1864```
```24Aug 885.5K  442 XXXX 2003```
```07Aug 890.6K  441 XX02 2019```
```14Jun   720K  495 XXXX 1455```
```28Feb   715K  442 XXXX 1618```
```------------2022-----------```
```19Dec   800K  442 XX02 1810```
```19Dec   800K  442 XX02 1810```
```30Nov   780K  441 XX02 1769```
```09Nov   800K  441 XX02 1814```
```24Mar   590K  497 XX08 1187```
```02Mar   570K  499 XX08 1142```
```------------2021-----------```
```14Jun   570K  442 XX02 1290```
```------------2020-----------```
```15Dec   495K  499 XX08  992```
```05Aug   450K  499 XX08  902```
```06Apr   650K  495 XX08 1313```
```01Mar   650K  442 XX02 1471```
```------------2019-----------```
```16Apr   610K  443 XX02 1377```
```------------2018-----------```
```22Jan   725K  442 XXXX 1640```
_Source: DLD, Databot_
_BUA - built-up area, sq.ft._
_P/sf - price per sq.ft._
_B - bedrooms; O - office_
_M - million, K- thousand_
_S - studio, R - shop_
_*Max 30 latest transactions_
www.trydatabot.com</t>
  </si>
  <si>
    <t>Upper Crest</t>
  </si>
  <si>
    <t>1015973, *MARKET</t>
  </si>
  <si>
    <t>*MARKET*
*SNAPSHOT*
*UPPER CREST*
_Area: Downtown_
_Type: studio apartment_
*Price dynamics, Dirham/sq.ft.*
_(M - median value)_
```2187|               *      ```
```    |            **     *  ```
```    |                 *  * ```
```1787|---------------------M```
```    |      ****    * * *   ```
```    |          *           ```
```    |                      ```
```    |           *          ```
```    |*  *                  ```
```    |    **               *```
```902 | **                   ```
```____|______________________```
```    |Apr2020        Aug2025```
_Source: see table below_
*Latest sales transactions*
```Date   Price  BUA Type P/sf```
```------------2025-----------```
```11Aug   460K  441 XX02 1043```
```21Jul   980K  498 XX08 1968```
```------------2024-----------```
```28Aug   920K  441 XX02 2086```
```15Jul   875K  495 XXXX 1768```
```03May   875K  442 XXXX 1980```
```18Mar 885.7K  491 XX08 1804```
```01Mar 968.8K  443 XX02 2187```
```------------2023-----------```
```14Nov   930K  499 XX08 1864```
```24Aug 885.5K  442 XXXX 2003```
```07Aug 890.6K  441 XX02 2019```
```14Jun   720K  495 XXXX 1455```
```28Feb   715K  442 XXXX 1618```
```------------2022-----------```
```19Dec   800K  442 XX02 1810```
```19Dec   800K  442 XX02 1810```
```30Nov   780K  441 XX02 1769```
```09Nov   800K  441 XX02 1814```
```24Mar   590K  497 XX08 1187```
```02Mar   570K  499 XX08 1142```
```------------2021-----------```
```14Jun   570K  442 XX02 1290```
```------------2020-----------```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</si>
  <si>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1015974, *NEW RE</t>
  </si>
  <si>
    <t>*NEW RENT*
*CONTRACTS**
_(renewals are not included)_
*UPPER CREST*
_Area: Downtown_
_Type: studio apartment_
```Date  Price   BUA  Type D/s```
```------------2025-----------```
```25Dec   60K   495  XXXX 121```
```11Nov   71K   441  XXXX 161```
```25Oct   70K   495  XXXX 141```
```30Sep 64.1K   495  XXXX 129```
```27Sep 68.3K   441  XXXX 155```
```26Sep   70K   441  XXXX 159```
```25Sep   75K   441  XXXX 170```
```25Sep   70K   495  XXXX 141```
```19Sep   65K   441  XXXX 147```
```15Sep   68K   441  XXXX 154```
```11Sep   70K   495  XXXX 141```
```02Sep   60K   495  XXXX 121```
```01Sep   70K   441  XXXX 159```
```01Sep   70K   441  XXXX 159```
```15Aug   65K   495  XXXX 131```
```28Jul   60K   441  XXXX 136```
```19Jul   65K   441  XXXX 147```
```11Jun   75K   441  XXXX 170```
```30May   65K   495  XXXX 131```
```30May   66K   441  XXXX 150```
_Source: DLD, Databot_
_BUA - built-up area, sq.ft._
_P/sf - price per sq.ft._
_B - bedrooms; O - office_
_M - million, K- thousand_
_S - studio, R - shop_
_*20 latest contracts_
www.trydatabot.com</t>
  </si>
  <si>
    <t>1015976, *SALES*</t>
  </si>
  <si>
    <t>*SALES*
*TRANSACTIONS**
*UPPER CREST*
_Area: Downtown_
_Type: 1 bedroom apartment_
_Gross ROI=6.41%_
_Median annual rent=100K_
```Date   Price  BUA Type P/sf```
```------------2025-----------```
```24Dec   1.5M  903 XX05 1661```
```08Dec 1.475M  901 XXXX 1637```
```19Nov  1.75M 1005 XX06 1741```
```08Sep 1.405M  828 XXXX 1697```
```24Jul 2.022M 1005 XX06 2012```
```26Jun 1.542M  939 XX09 1642```
```06May   1.5M  901 XXXX 1665```
```25Apr  1.43M  939 XX09 1523```
```08Apr 1.569M 1002 XXXX 1566```
```04Feb  1.44M 1005 XX06 1433```
```03Feb   1.3M  853 XX04 1524```
```------------2024-----------```
```04Dec 1.433M 1002 XXXX 1430```
```28Nov  2.05M  907 XXXX 2260```
```10Oct  1.49M  931 XX09 1600```
```19Sep 1.404M  900 XX05 1560```
```12Sep  1.49M 1002 XX06 1487```
```19Aug 1.322M  829 XX03 1594```
```15Aug 1.275M  904 XX09 1410```
```25Jul   1.3M  901 XXXX 1443```
```22Jul  1.33M  900 XX05 1478```
```01Jul  1.43M 1002 XX06 1427```
```19Jun   1.2M  821 XX03 1462```
```11Jun  1.36M  931 XX09 1461```
```11Jun  1.38M 1002 XXXX 1377```
```01May 1.225M  907 XXXX 1351```
```15Apr  1.33M  901 XXXX 1476```
```03Apr 1.225M  901 XXXX 1360```
```27Mar  1.25M  860 XX04 1453```
```13Mar  1.25M 1002 XXXX 1248```
```13Mar   1.6M  901 XXXX 1776```
_Source: DLD, Databot_
_BUA - built-up area, sq.ft._
_P/sf - price per sq.ft._
_B - bedrooms; O - office_
_M - million, K- thousand_
_S - studio, R - shop_
_*Max 30 latest transactions_
www.trydatabot.com</t>
  </si>
  <si>
    <t>1015977, *MARKET</t>
  </si>
  <si>
    <t>*MARKET*
*SNAPSHOT*
*UPPER CREST*
_Area: Downtown_
_Type: 1 bedroom apartment_
*Price dynamics, Dirham/sq.ft.*
_(M - median value)_
```2260|         *            ```
```    |                      ```
```    |                      ```
```    |                 *    ```
```    |                      ```
```    |                      ```
```    |                   *  ```
```    |               ** * **```
```1563|---------------------M```
```    |     * **  * **       ```
```1410|***** *   * *         ```
```____|______________________```
```    |Jun2024        Dec2025```
_Source: see table below_
*Latest sales transactions*
```Date   Price  BUA Type P/sf```
```------------2025-----------```
```24Dec   1.5M  903 XX05 1661```
```08Dec 1.475M  901 XXXX 1637```
```19Nov  1.75M 1005 XX06 1741```
```08Sep 1.405M  828 XXXX 1697```
```24Jul 2.022M 1005 XX06 2012```
```26Jun 1.542M  939 XX09 1642```
```06May   1.5M  901 XXXX 1665```
```25Apr  1.43M  939 XX09 1523```
```08Apr 1.569M 1002 XXXX 1566```
```04Feb  1.44M 1005 XX06 1433```
```03Feb   1.3M  853 XX04 1524```
```------------2024-----------```
```04Dec 1.433M 1002 XXXX 1430```
```28Nov  2.05M  907 XXXX 2260```
```10Oct  1.49M  931 XX09 1600```
```19Sep 1.404M  900 XX05 1560```
```12Sep  1.49M 1002 XX06 1487```
```19Aug 1.322M  829 XX03 1594```
```15Aug 1.275M  904 XX09 1410```
```25Jul   1.3M  901 XXXX 1443```
```22Jul  1.33M  900 XX05 1478```
```01Jul  1.43M 1002 XX06 1427```
```19Jun   1.2M  821 XX03 1462```
```11Jun  1.36M  931 XX09 1461```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</si>
  <si>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1015978, *NEW RE</t>
  </si>
  <si>
    <t>*NEW RENT*
*CONTRACTS**
_(renewals are not included)_
*UPPER CREST*
_Area: Downtown_
_Type: 1 bedroom apartment_
```Date  Price   BUA  Type D/s```
```------------2026-----------```
```05Jan  126K   904  XXXX 139```
```------------2025-----------```
```22Dec   95K   829  XXXX 115```
```06Dec  103K   904  XXXX 114```
```28Nov   90K   807  XXXX 112```
```21Nov  100K   829  XXXX 121```
```20Nov   95K   861  XXXX 110```
```14Nov  105K  1001  XXXX 105```
```12Nov   85K   904  XXXX  94```
```01Nov  110K   904  XXXX 122```
```30Oct  100K   904  XXXX 111```
```29Oct  115K   904  XXXX 127```
```15Oct  120K  1001  XXXX 120```
```06Oct  110K   861  XXXX 128```
```01Oct  100K  1001  XXXX 100```
```01Oct   90K   861  XXXX 105```
```25Sep 86.6K   904  XXXX  96```
```25Sep  120K   904  XXXX 133```
```17Sep   91K   904  XXXX 101```
```15Sep   95K   904  XXXX 105```
```12Sep  100K  1001  XXXX 100```
_Source: DLD, Databot_
_BUA - built-up area, sq.ft._
_P/sf - price per sq.ft._
_B - bedrooms; O - office_
_M - million, K- thousand_
_S - studio, R - shop_
_*20 latest contracts_
www.trydatabot.com</t>
  </si>
  <si>
    <t>1015980, *SALES*</t>
  </si>
  <si>
    <t>*SALES*
*TRANSACTIONS**
*UPPER CREST*
_Area: Downtown_
_Type: 2 bedroom apartment_
_Gross ROI=6.8%_
_Median annual rent=137.5K_
```Date   Price  BUA Type P/sf```
```------------2025-----------```
```11Dec  1.95M 1143 XX01 1706```
```08Dec   2.1M 1142 XX10 1839```
```03Dec   1.9M 1063 XXXX 1787```
```12Nov  2.05M 1221 XXXX 1679```
```17Jul     2M 1221 XX11 1638```
```03Jul   2.2M 1221 XXXX 1802```
```26Jun  1.93M 1219 XX11 1583```
```14May   2.1M 1143 XX01 1837```
```12May   2.3M 1143 XX01 2012```
```03Apr     2M 1142 XXXX 1751```
```------------2024-----------```
```09Oct  2.15M 1142 XXXX 1883```
```22May     2M 1063 XX10 1881```
```20May  2.25M 1219 XX11 1846```
```03May  2.15M 1219 XX11 1764```
```03Apr  2.05M 1143 XX01 1794```
```22Feb   1.8M 1143 XX01 1575```
```22Jan     2M 1142 XXXX 1751```
```------------2023-----------```
```30Nov 2.488M 1219 XX11 2041```
```11Sep 2.025M 1063 XX10 1905```
```28Jul 1.974M 1221 XXXX 1617```
```26Jun   1.5M 1220 XX11 1230```
```22Jun   1.5M 1143 XX01 1312```
```22Jun   1.5M 1142 XX10 1313```
```15Jun  1.85M 1143 XX01 1619```
```18May     2M 1219 XX11 1641```
```30Mar 1.871M 1142 XXXX 1638```
```27Mar 2.789M 1705 XX02 1636```
```21Mar 2.489M 1063 XXXX 2341```
```11Jan 1.843M 1063 XX10 1734```
```02Jan   2.1M 1219 XX11 1723```
_Source: DLD, Databot_
_BUA - built-up area, sq.ft._
_P/sf - price per sq.ft._
_B - bedrooms; O - office_
_M - million, K- thousand_
_S - studio, R - shop_
_*Max 30 latest transactions_
www.trydatabot.com</t>
  </si>
  <si>
    <t>1015981, *MARKET</t>
  </si>
  <si>
    <t>*MARKET*
*SNAPSHOT*
*UPPER CREST*
_Area: Downtown_
_Type: 2 bedroom apartment_
*Price dynamics, Dirham/sq.ft.*
_(M - median value)_
```2041|    *        *        ```
```    |                      ```
```    |   *     ***        * ```
```1776|---------------------M```
```    |       **     * *  *  ```
```    |     *      *     *  *```
```    |  *              *    ```
```    |      *        *      ```
```    |                      ```
```    |*                     ```
```1230| *                    ```
```____|______________________```
```    |Jun2023        Dec2025```
_Source: see table below_
*Latest sales transactions*
```Date   Price  BUA Type P/sf```
```------------2025-----------```
```11Dec  1.95M 1143 XX01 1706```
```08Dec   2.1M 1142 XX10 1839```
```03Dec   1.9M 1063 XXXX 1787```
```12Nov  2.05M 1221 XXXX 1679```
```17Jul     2M 1221 XX11 1638```
```03Jul   2.2M 1221 XXXX 1802```
```26Jun  1.93M 1219 XX11 1583```
```14May   2.1M 1143 XX01 1837```
```12May   2.3M 1143 XX01 2012```
```03Apr     2M 1142 XXXX 1751```
```------------2024-----------```
```09Oct  2.15M 1142 XXXX 1883```
```22May     2M 1063 XX10 1881```
```20May  2.25M 1219 XX11 1846```
```03May  2.15M 1219 XX11 1764```
```03Apr  2.05M 1143 XX01 1794```
```22Feb   1.8M 1143 XX01 1575```
```22Jan     2M 1142 XXXX 1751```
```------------2023-----------```
```30Nov 2.488M 1219 XX11 2041```
```11Sep 2.025M 1063 XX10 1905```
```28Jul 1.974M 1221 XXXX 1617```
```26Jun   1.5M 1220 XX11 1230```
```22Jun   1.5M 1143 XX01 1312```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</si>
  <si>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1015982, *NEW RE</t>
  </si>
  <si>
    <t>*NEW RENT*
*CONTRACTS**
_(renewals are not included)_
*UPPER CREST*
_Area: Downtown_
_Type: 2 bedroom apartment_
```Date  Price   BUA  Type D/s```
```------------2025-----------```
```05Dec  116K  1141  XXXX 102```
```01Dec  120K  1216  XXXX  99```
```27Nov  125K  1141  XXXX 109```
```30Oct  125K  1141  XXXX 110```
```29Oct  170K  1216  XXXX 140```
```25Oct  110K   915  XXXX 120```
```18Oct  149K  1216  XXXX 122```
```03Oct  135K  1141  XXXX 118```
```02Oct  147K  1216  XXXX 121```
```26Sep  150K  1141  XXXX 131```
```26Sep  150K  1141  XXXX 131```
```11Sep  132K  1216  XXXX 109```
```01Sep  145K  1066  XXXX 136```
```12Aug  131K  1216  XXXX 108```
```10Aug  140K  1216  XXXX 115```
```04Aug  125K  1130  XXXX 111```
```02Aug  150K  1216  XXXX 123```
```01Aug  145K  1066  XXXX 136```
```01Aug  175K  1722  XXXX 102```
```01Aug  125K  1141  XXXX 110```
_Source: DLD, Databot_
_BUA - built-up area, sq.ft._
_P/sf - price per sq.ft._
_B - bedrooms; O - office_
_M - million, K- thousand_
_S - studio, R - shop_
_*20 latest contracts_
www.trydatabot.com</t>
  </si>
  <si>
    <t>1015984, *SALES*</t>
  </si>
  <si>
    <t>*SALES*
*TRANSACTIONS**
*UPPER CREST*
_Area: Downtown_
_Type: 3 bedroom apartment_
_Gross ROI=6.99% (confidence: low)_
_Median annual rent=180K_
```Date   Price  BUA Type P/sf```
```------------2025-----------```
```22Oct  2.53M 1723 XX07 1468```
```18Sep 2.584M 1478 XXXX 1748```
```------------2024-----------```
```10Oct   2.5M 1723 XXXX 1451```
```08Oct  2.92M 1723 XXXX 1695```
```23Jul   2.8M 1723 XXXX 1625```
```03Jun  2.15M 1478 XX04 1455```
```12Feb 3.012M 1722 XX07 1749```
```11Jan  2.35M 1722 XX07 1365```
```------------2023-----------```
```30Nov 4.035M 1723 XX07 2342```
```10Jul   2.8M 1723 XXXX 1625```
```26Jun     2M 1723 XX07 1161```
```22Jun     2M 1723 XX07 1161```
```24May  6.33M 4883 XX06 1296```
```06Feb  3.09M 2841 XX06 1088```
```25Jan  2.47M 1723 XX07 1434```
```24Jan  3.13M 2779 XX01 1126```
```------------2022-----------```
```07Nov   2.4M 1722 XX07 1394```
```30Mar  2.44M 1723 XX07 1416```
```------------2021-----------```
```08Nov 2.548M 1723 XX07 1479```
```------------2018-----------```
```10Oct   3.5M 1723 XX07 2031```
_Source: DLD, Databot_
_BUA - built-up area, sq.ft._
_P/sf - price per sq.ft._
_B - bedrooms; O - office_
_M - million, K- thousand_
_S - studio, R - shop_
_*Max 30 latest transactions_
www.trydatabot.com</t>
  </si>
  <si>
    <t>1015985, *MARKET</t>
  </si>
  <si>
    <t>*MARKET*
*SNAPSHOT*
*UPPER CREST*
_Area: Downtown_
_Type: 3 bedroom apartment_
*Price dynamics, Dirham/sq.ft.*
_(M - median value)_
```2342|             *        ```
```    |                      ```
```    |  *                   ```
```    |                      ```
```    |                      ```
```    |               *  * * ```
```    |            *    *    ```
```1453|---------------------M```
```    |   **  *        *  * *```
```    |     *   *    *       ```
```1088|      * * **          ```
```____|______________________```
```    |Oct2018        Oct2025```
_Source: see table below_
*Latest sales transactions*
```Date   Price  BUA Type P/sf```
```------------2025-----------```
```22Oct  2.53M 1723 XX07 1468```
```18Sep 2.584M 1478 XXXX 1748```
```------------2024-----------```
```10Oct   2.5M 1723 XXXX 1451```
```08Oct  2.92M 1723 XXXX 1695```
```23Jul   2.8M 1723 XXXX 1625```
```03Jun  2.15M 1478 XX04 1455```
```12Feb 3.012M 1722 XX07 1749```
```11Jan  2.35M 1722 XX07 1365```
```------------2023-----------```
```30Nov 4.035M 1723 XX07 2342```
```10Jul   2.8M 1723 XXXX 1625```
```26Jun     2M 1723 XX07 1161```
```22Jun     2M 1723 XX07 1161```
```24May  6.33M 4883 XX06 1296```
```06Feb  3.09M 2841 XX06 1088```
```25Jan  2.47M 1723 XX07 1434```
```24Jan  3.13M 2779 XX01 1126```
```------------2022-----------```
```07Nov   2.4M 1722 XX07 1394```
```30Mar  2.44M 1723 XX07 1416```
```------------2021-----------```
```08Nov 2.548M 1723 XX07 1479```
```------------2018-----------```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</si>
  <si>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1015986, *NEW RE</t>
  </si>
  <si>
    <t>*NEW RENT*
*CONTRACTS**
_(renewals are not included)_
*UPPER CREST*
_Area: Downtown_
_Type: 3 bedroom apartment_
```Date  Price   BUA  Type D/s```
```------------2025-----------```
```20Dec  195K  1722  XXXX 113```
```09Dec  162K  1722  XXXX  94```
```07Nov  180K  1722  XXXX 105```
```20Sep  215K  2777  XXXX  77```
```10Sep  230K  1722  XXXX 134```
```01Sep  170K  1722  XXXX  99```
```27Aug  220K  1722  XXXX 128```
```01Aug  170K  1722  XXXX  99```
```01Jul  160K  1722  XXXX  93```
```17Jun  175K  1722  XXXX 102```
```01May  235K  2842  XXXX  83```
```25Apr  198K  1733  XXXX 114```
```01Feb  187K  1722  XXXX 109```
```------------2024-----------```
```04Dec  160K  1722  XXXX  93```
```25Nov  180K  1722  XXXX 105```
```01Oct  180K  1722  XXXX 105```
```20Sep  215K  2777  XXXX  77```
```11Sep  160K  1722  XXXX  93```
```12Jun  166K  1722  XXXX  96```
```04Jun  240K  1722  XXXX 139```
_Source: DLD, Databot_
_BUA - built-up area, sq.ft._
_P/sf - price per sq.ft._
_B - bedrooms; O - office_
_M - million, K- thousand_
_S - studio, R - shop_
_*20 latest contracts_
www.trydatabot.com</t>
  </si>
  <si>
    <t>1016006, *NEW RE</t>
  </si>
  <si>
    <t>*NEW RENT*
*CONTRACTS**
_(renewals are not included)_
*UPPER CREST*
_Area: Downtown_
_Type: shop_
```Date  Price   BUA  Type D/s```
```------------2022-----------```
```20Apr  131K   517  XXXX 253```
```20Apr  131K   517  XXXX 253```
```01Mar  418K  5048  XXXX  83```
```------------2018-----------```
```29Nov 19.3K  1066  XXXX  18```
```16Aug  126K   517  XXXX 244```
```10Aug 57.8K  1066  XXXX  54```
```10Aug 57.8K  1066  XXXX  54```
```09Aug 29.4K     97  XXXX 303```
_Source: DLD, Databot_
_BUA - built-up area, sq.ft._
_P/sf - price per sq.ft._
_B - bedrooms; O - office_
_M - million, K- thousand_
_S - studio, R - shop_
_*20 latest contracts_
www.trydatabot.com</t>
  </si>
  <si>
    <t>1016020, *NEW RE</t>
  </si>
  <si>
    <t>*NEW RENT*
*CONTRACTS**
_(renewals are not included)_
*UPPER CREST*
_Area: Downtown_
_All types/bedrooms_
```Date    Price   BUA Type  B```
```------------2026-----------```
```05Jan    126K   904 XXXX  1```
```------------2025-----------```
```25Dec     60K   495 XXXX  S```
```22Dec     95K   829 XXXX  1```
```20Dec    195K  1722 XXXX  3```
```19Dec    100K   904 XXXX  check```
```09Dec    162K  1722 XXXX  3```
```06Dec    103K   904 XXXX  1```
```05Dec    100K   861 XXXX  check```
```05Dec    116K  1141 XXXX  2```
```04Dec    132K  1130 XXXX  check```
```01Dec    100K   829 XXXX  check```
```01Dec    120K  1216 XXXX  2```
```28Nov     90K   807 XXXX  1```
```27Nov  124.7K  1141 XXXX  2```
```21Nov    100K   829 XXXX  1```
```20Nov     95K   861 XXXX  1```
```14Nov    105K  1001 XXXX  1```
```12Nov     85K   904 XXXX  1```
```11Nov     71K   441 XXXX  S```
```07Nov    180K  1722 XXXX  3```
_Source: DLD, Databot_
_BUA - built-up area, sq.ft._
_P/sf - price per sq.ft._
_B - bedrooms; O - office_
_M - million, K- thousand_
_S - studio, R - shop_
_*20 latest contracts_
www.trydatabot.com</t>
  </si>
  <si>
    <t>1016021, *SALES*</t>
  </si>
  <si>
    <t>*SALES*
*TRANSACTIONS (RESALE)**
*UPPER CREST*
_Area: Downtown_
_All types/bedrooms_
```Date    Price   BUA  Type B```
```------------2025-----------```
```24Dec    1.5M   903  XX05 1```
```11Dec   1.95M  1143  XX01 2```
```08Dec  1.475M   901  XXXX 1```
```08Dec    2.1M  1142  XX10 2```
```03Dec    1.9M  1063  XXXX 2```
```19Nov   1.75M  1005  XX06 1```
```12Nov   2.05M  1221  XXXX 2```
```22Oct   2.53M  1723  XX07 3```
```18Sep  2.584M  1478  XXXX 3```
```08Sep  1.405M   828  XXXX 1```
```11Aug    460K   441  XX02 S```
```24Jul  2.022M  1005  XX06 1```
```21Jul    980K   498  XX08 S```
```17Jul      2M  1221  XX11 2```
```03Jul    2.2M  1221  XXXX 2```
```26Jun  1.542M   939  XX09 1```
```26Jun   1.93M  1219  XX11 2```
```14May    2.1M  1143  XX01 2```
```12May    2.3M  1143  XX01 2```
```06May    1.5M   901  XXXX 1```
```25Apr   1.43M   939  XX09 1```
```08Apr  1.569M  1002  XXXX 1```
```03Apr      2M  1142  XXXX 2```
```04Feb   1.44M  1005  XX06 1```
```03Feb    1.3M   853  XX04 1```
```------------2024-----------```
```04Dec  1.433M  1002  XXXX 1```
```28Nov   2.05M   907  XXXX 1```
```10Oct    2.5M  1723  XXXX 3```
```10Oct   1.49M   931  XX09 1```
```09Oct   2.15M  1142  XXXX 2```
_Source: DLD, Databot_
_BUA - built-up area, sq.ft._
_P/sf - price per sq.ft._
_B - bedrooms; O - office_
_M - million, K- thousand_
_S - studio, R - shop_
_*Max 30 latest transactions_
www.trydatabot.com</t>
  </si>
  <si>
    <t>1016022, Upper Crest, *BUILDI</t>
  </si>
  <si>
    <t xml:space="preserve">*BUILDING*
*PROFILE*
*UPPER CREST*
_Area: Downtown_
_Tap&amp;hold to copy a reply_
```-------------------------```
```Report              Reply```
```-------------------------```
*Studio*
```Sales, ROI        1015972```
```Price chart       1015973```
```Rentals           1015974```
*1 B/R*
```Sales, ROI        1015976```
```Price chart       1015977```
```Rentals           1015978```
*2 B/R*
```Sales, ROI        1015980```
```Price chart       1015981```
```Rentals           1015982```
*3 B/R*
```Sales, ROI        1015984```
```Price chart       1015985```
```Rentals           1015986```
*Shop*
```Primary sales     1016031```
*All types/bedrooms*
```Resell, ROI       1016021```
```Primary sales     1016035```
```Rentals           1016020```
</t>
  </si>
  <si>
    <t>1016031, *SALES*</t>
  </si>
  <si>
    <t>*SALES*
*TRANSACTIONS (PRIMARY)**
*UPPER CREST*
_Area: Downtown_
_Type: shop_
```Date   Price  BUA Type P/sf```
```------------2025-----------```
```18Feb 569.4K    97 XXXX 5870```
_Source: DLD, Databot_
_BUA - built-up area, sq.ft._
_P/sf - price per sq.ft._
_B - bedrooms; O - office_
_M - million, K- thousand_
_S - studio, R - shop_
_*Max 20 latest transactions_
www.trydatabot.com</t>
  </si>
  <si>
    <t>1016035, *SALES*</t>
  </si>
  <si>
    <t>*SALES*
*TRANSACTIONS (PRIMARY)**
*UPPER CREST*
_Area: Downtown_
_All types/bedrooms_
```Date    Price   BUA  Type B```
```------------2025-----------```
```18Feb  569.4K     97  XXXX R```
_Source: DLD, Databot_
_BUA - built-up area, sq.ft._
_P/sf - price per sq.ft._
_B - bedrooms; O - office_
_M - million, K- thousand_
_S - studio, R - shop_
_*Max 20 latest transactions_
www.trydatabot.com</t>
  </si>
  <si>
    <t>1016040, *SALES*</t>
  </si>
  <si>
    <t>*SALES*
*TRANSACTIONS (RESALE)**
*VIDA DUBAI MALL T1*
_Area: Downtown_
_Type: 1 bedroom apartment_
_Gross ROI=4.82%_
_Median annual rent=132.5K_
```Date   Price  BUA Type P/sf```
```------------2025-----------```
```11Dec   3.2M  679 XXXX 4713```
```19Nov   2.8M  860 XXXX 3256```
```24Oct  2.65M  860 XXXX 3081```
```22Oct  2.65M  760 XX03 3487```
```07Oct  2.67M  896 XX02 2980```
```30Sep  2.55M  760 XX03 3355```
```19Sep  2.65M  860 XXXX 3081```
```30Jun   2.4M  860 XXXX 2791```
```26May   3.8M  803 XX08 4732```
```24Apr 2.825M  679 XX04 4161```
```22Apr  2.26M  760 XX03 2974```
```21Apr  2.55M  760 XX03 3355```
```11Apr  2.65M  860 XXXX 3081```
```28Mar  2.65M  860 XXXX 3081```
```20Mar 2.525M  860 XXXX 2936```
```26Feb   2.6M  763 XX03 3408```
```20Feb  2.85M  891 XXXX 3199```
```------------2024-----------```
```23Dec 2.775M  858 XXXX 3234```
```26Nov   2.2M  760 XX03 2895```
```15Nov  2.47M  760 XX03 3250```
```13Nov   2.5M  858 XXXX 2914```
```04Nov  2.65M  678 XX04 3909```
```28Oct  2.55M  751 XX03 3395```
```17Oct   2.5M  858 XXXX 2914```
```11Oct  2.45M  760 XX03 3224```
```02Oct   2.3M  760 XX03 3026```
```25Sep   2.5M  751 XX03 3329```
```16Sep  3.65M  791 XX08 4614```
```06Sep  2.35M  751 XX03 3129```
```29Aug  2.65M  891 XXXX 2974```
_Source: DLD, Databot_
_BUA - built-up area, sq.ft._
_P/sf - price per sq.ft._
_B - bedrooms; O - office_
_M - million, K- thousand_
_S - studio, R - shop_
_*Max 30 latest transactions_
www.trydatabot.com</t>
  </si>
  <si>
    <t>Vida Dubai Mall T1</t>
  </si>
  <si>
    <t>1016041, *MARKET</t>
  </si>
  <si>
    <t>*MARKET*
*SNAPSHOT*
*VIDA DUBAI MALL T1*
_Area: Downtown_
_Type: 1 bedroom apartment_
*Price dynamics, Dirham/sq.ft.*
_(M - median value)_
```4732|             *       *```
```    |                      ```
```    |                      ```
```    |            *         ```
```    |*                     ```
```    |                      ```
```    |                  *   ```
```    |      *   *     *     ```
```3217|---------------------M```
```    |  * **  **     *   ** ```
```2791| * *   *   *  *  *    ```
```____|______________________```
```    |Nov2024        Dec2025```
_Source: see table below_
*Latest sales transactions*
```Date   Price  BUA Type P/sf```
```------------2025-----------```
```11Dec   3.2M  679 XXXX 4713```
```19Nov   2.8M  860 XXXX 3256```
```24Oct  2.65M  860 XXXX 3081```
```22Oct  2.65M  760 XX03 3487```
```07Oct  2.67M  896 XX02 2980```
```30Sep  2.55M  760 XX03 3355```
```19Sep  2.65M  860 XXXX 3081```
```30Jun   2.4M  860 XXXX 2791```
```26May   3.8M  803 XX08 4732```
```24Apr 2.825M  679 XX04 4161```
```22Apr  2.26M  760 XX03 2974```
```21Apr  2.55M  760 XX03 3355```
```11Apr  2.65M  860 XXXX 3081```
```28Mar  2.65M  860 XXXX 3081```
```20Mar 2.525M  860 XXXX 2936```
```26Feb   2.6M  763 XX03 3408```
```20Feb  2.85M  891 XXXX 3199```
```------------2024-----------```
```23Dec 2.775M  858 XXXX 3234```
```26Nov   2.2M  760 XX03 2895```
```15Nov  2.47M  760 XX03 3250```
```13Nov   2.5M  858 XXXX 2914```
```04Nov  2.65M  678 XX04 3909```
```28Oct  2.55M  751 XX03 3395```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</si>
  <si>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1016042, *NEW RE</t>
  </si>
  <si>
    <t>*NEW RENT*
*CONTRACTS**
_(renewals are not included)_
*VIDA DUBAI MALL T1+T2*
_Area: Downtown_
_Type: 1 bedroom apartment_
```Date  Price   BUA  Type D/s```
```------------2026-----------```
```09Jan  140K   786  XXXX 178```
```------------2025-----------```
```05Dec  140K   818  XXXX 171```
```11Nov  145K   818  XXXX 177```
```01Nov  140K   786  XXXX 178```
```28Oct  140K   818  XXXX 171```
```27Oct  180K   818  XXXX 220```
```25Oct  128K   818  XXXX 156```
```20Oct  125K   818  XXXX 153```
```20Oct  135K   786  XXXX 172```
```18Oct  186K   818  XXXX 227```
```17Oct  120K   786  XXXX 153```
```14Oct  130K   786  XXXX 165```
```13Oct  130K   786  XXXX 165```
```10Oct  130K   786  XXXX 165```
```07Oct  140K   818  XXXX 171```
```01Oct  125K   786  XXXX 159```
```29Sep  125K   786  XXXX 159```
```27Sep  130K   818  XXXX 159```
```19Sep  125K   786  XXXX 159```
```11Sep  145K   818  XXXX 177```
_Source: DLD, Databot_
_BUA - built-up area, sq.ft._
_P/sf - price per sq.ft._
_B - bedrooms; O - office_
_M - million, K- thousand_
_S - studio, R - shop_
_*20 latest contracts_
www.trydatabot.com</t>
  </si>
  <si>
    <t>1016043, *RESELL</t>
  </si>
  <si>
    <t>*RESELL*
*VS PRIMARY*
*VIDA DUBAI MALL T1*
_Area: Downtown_
_Type: 1 bedroom apartment_
*Price dynamics, Dirham/sq.ft.*
_(x - primary; * - resell)_
```4732|             *       *```
```    |                      ```
```    |            *         ```
```    |                      ```
```3788|                      ```
```    |                  *   ```
```    |                *   * ```
```    |         x *   * * *  ```
```    |xxx x  xx x   *       ```
```2368|   x xx               ```
```____|______________________```
```    |Mar2022        Dec2025```
_Source: see a table below_
*Latest resell transactions*
```Date   Price  BUA Type P/sf```
```------------2025-----------```
```11Dec   3.2M  679 XXXX 4713```
```19Nov   2.8M  860 XXXX 3256```
```24Oct  2.65M  860 XXXX 3081```
```22Oct  2.65M  760 XX03 3487```
```07Oct  2.67M  896 XX02 2980```
```30Sep  2.55M  760 XX03 3355```
```19Sep  2.65M  860 XXXX 3081```
```30Jun   2.4M  860 XXXX 2791```
```26May   3.8M  803 XX08 4732```
```24Apr 2.825M  679 XX04 4161```
```22Apr  2.26M  760 XX03 2974```
```21Apr  2.55M  760 XX03 3355```
```11Apr  2.65M  860 XXXX 3081```
```28Mar  2.65M  860 XXXX 3081```
```20Mar 2.525M  860 XXXX 2936```
```26Feb   2.6M  763 XX03 3408```
```20Feb  2.85M  891 XXXX 3199```
```------------2024-----------```
*Latest primary transactions*
```------------2024-----------```
```06Feb 2.283M  791 XX08 2886```
```------------2023-----------```
```05Jul 2.735M  909 XXXX 3009```
```------------2022-----------```
```30Aug 2.007M  760 XX03 2641```
```14Jul 2.431M  909 XX01 2674```
```06Jul 2.153M  909 XX01 2368```
```25May 2.198M  858 XX02 2562```
```15May 1.851M  678 XX04 2730```
```10May  2.16M  909 XX01 2376```
```29Apr  1.84M  678 XX04 2714```
```29Mar 2.386M  909 XX02 2625```
```22Mar 2.323M  891 XX01 2607```
```09Mar 2.287M  891 XX01 2567```
```01Feb 2.087M  858 XX02 2432```
_Source: DLD, Databot_
_BUA - built-up area, sq.ft._
_P/sf - price per sq.ft._
_B - bedrooms; O - office_
_M - million, K- thousand_
_S - studio, R - shop_
www.trydatabot.com</t>
  </si>
  <si>
    <t>1016044, *SALES*</t>
  </si>
  <si>
    <t>*SALES*
*TRANSACTIONS (RESALE)**
*VIDA DUBAI MALL T1*
_Area: Downtown_
_Type: 2 bedroom apartment_
_Gross ROI=4.8%_
_Median annual rent=242.5K_
```Date   Price  BUA Type P/sf```
```------------2026-----------```
```07Jan     6M 1218 XXXX 4926```
```------------2025-----------```
```10Dec   4.5M 1164 XXXX 3866```
```09Dec   2.5M 1218 XXXX 2053```
```19Nov     4M 1078 XXXX 3711```
```05Nov   5.5M 1164 XX05 4725```
```03Oct   4.1M 1093 XX04 3751```
```28Aug  4.55M 1078 XX10 4221```
```26Aug  4.95M 1078 XX10 4592```
```11Aug   4.1M 1078 XX10 3803```
```03Jun   6.5M 1231 XX06 5280```
```01May   6.3M 1218 XX06 5172```
```24Apr  6.15M 1231 XX06 4996```
```09Apr   3.8M 1078 XX10 3525```
```04Apr  5.73M 1164 XX05 4923```
```27Mar  4.05M 1078 XX10 3757```
```11Feb   5.2M 1156 XX05 4498```
```05Feb   2.5M 1211 XX07 2064```
```------------2024-----------```
```24Dec  4.75M 1096 XX04 4334```
```12Dec  5.25M 1156 XX05 4542```
```09Dec   4.7M 1156 XX05 4066```
```15Nov  3.95M 1096 XX04 3604```
```05Nov   4.7M 1156 XX05 4066```
```31Oct   4.9M 1211 XX06 4046```
```26Sep   5.2M 1223 XX06 4252```
```23Sep 3.013M 1207 XX07 2496```
```10Sep  3.07M 1211 XX06 2535```
```09Sep   5.2M 1223 XX06 4252```
```21Aug   3.7M 1192 XX10 3104```
```24Jun   4.8M 1211 XX06 3964```
```21Jun   5.2M 1229 XX06 4231```
_Source: DLD, Databot_
_BUA - built-up area, sq.ft._
_P/sf - price per sq.ft._
_B - bedrooms; O - office_
_M - million, K- thousand_
_S - studio, R - shop_
_*Max 30 latest transactions_
www.trydatabot.com</t>
  </si>
  <si>
    <t>1016045, *MARKET</t>
  </si>
  <si>
    <t>*MARKET*
*SNAPSHOT*
*VIDA DUBAI MALL T1*
_Area: Downtown_
_Type: 2 bedroom apartment_
*Price dynamics, Dirham/sq.ft.*
_(M - median value)_
```5280|           **         ```
```    |        * *          *```
```    |   *  *       *  *    ```
```    |    *          *      ```
```4144|---------------------M```
```    |* *                 * ```
```    | *     * *   *  * *   ```
```    |                      ```
```    |                      ```
```    |                      ```
```2053|     *             *  ```
```____|______________________```
```    |Nov2024        Jan2026```
_Source: see table below_
*Latest sales transactions*
```Date   Price  BUA Type P/sf```
```------------2026-----------```
```07Jan     6M 1218 XXXX 4926```
```------------2025-----------```
```10Dec   4.5M 1164 XXXX 3866```
```09Dec   2.5M 1218 XXXX 2053```
```19Nov     4M 1078 XXXX 3711```
```05Nov   5.5M 1164 XX05 4725```
```03Oct   4.1M 1093 XX04 3751```
```28Aug  4.55M 1078 XX10 4221```
```26Aug  4.95M 1078 XX10 4592```
```11Aug   4.1M 1078 XX10 3803```
```03Jun   6.5M 1231 XX06 5280```
```01May   6.3M 1218 XX06 5172```
```24Apr  6.15M 1231 XX06 4996```
```09Apr   3.8M 1078 XX10 3525```
```04Apr  5.73M 1164 XX05 4923```
```27Mar  4.05M 1078 XX10 3757```
```11Feb   5.2M 1156 XX05 4498```
```05Feb   2.5M 1211 XX07 2064```
```------------2024-----------```
```24Dec  4.75M 1096 XX04 4334```
```12Dec  5.25M 1156 XX05 4542```
```09Dec   4.7M 1156 XX05 4066```
```15Nov  3.95M 1096 XX04 3604```
```05Nov   4.7M 1156 XX05 4066```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</si>
  <si>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1016046, *NEW RE</t>
  </si>
  <si>
    <t>*NEW RENT*
*CONTRACTS**
_(renewals are not included)_
*VIDA DUBAI MALL T1+T2*
_Area: Downtown_
_Type: 2 bedroom apartment_
```Date  Price   BUA  Type D/s```
```------------2026-----------```
```01Feb  245K  1076  XXXX 228```
```16Jan  240K  1076  XXXX 223```
```01Jan  225K  1076  XXXX 209```
```01Jan  245K  1001  XXXX 245```
```01Jan   70K  1066  XXXX  66```
```------------2025-----------```
```15Dec  260K  1206  XXXX 216```
```13Dec  210K  1066  XXXX 197```
```10Dec  250K  1076  XXXX 232```
```09Dec  210K  1141  XXXX 184```
```09Dec  200K  1066  XXXX 188```
```09Dec  210K  1141  XXXX 184```
```09Dec  200K  1066  XXXX 188```
```28Nov  250K  1206  XXXX 207```
```27Nov  170K  1066  XXXX 159```
```26Nov  260K  1076  XXXX 242```
```26Nov  260K  1001  XXXX 260```
```24Nov  400K  1206  XXXX 332```
```15Nov  280K  1206  XXXX 232```
```14Nov  260K  1001  XXXX 260```
```13Nov  200K  1066  XXXX 188```
_Source: DLD, Databot_
_BUA - built-up area, sq.ft._
_P/sf - price per sq.ft._
_B - bedrooms; O - office_
_M - million, K- thousand_
_S - studio, R - shop_
_*20 latest contracts_
www.trydatabot.com</t>
  </si>
  <si>
    <t>1016047, *RESELL</t>
  </si>
  <si>
    <t>*RESELL*
*VS PRIMARY*
*VIDA DUBAI MALL T1*
_Area: Downtown_
_Type: 2 bedroom apartment_
*Price dynamics, Dirham/sq.ft.*
_(x - primary; * - resell)_
```5280|           **         ```
```    |                     *```
```    |              *  *    ```
```    |               *      ```
```3936|             *      * ```
```    |                * *   ```
```    |                      ```
```    |x  x    xx            ```
```    | xx xx    x           ```
```1920|      xx           *  ```
```____|______________________```
```    |Apr2022        Jan2026```
_Source: see a table below_
*Latest resell transactions*
```Date   Price  BUA Type P/sf```
```------------2026-----------```
```07Jan     6M 1218 XXXX 4926```
```------------2025-----------```
```10Dec   4.5M 1164 XXXX 3866```
```09Dec   2.5M 1218 XXXX 2053```
```19Nov     4M 1078 XXXX 3711```
```05Nov   5.5M 1164 XX05 4725```
```03Oct   4.1M 1093 XX04 3751```
```28Aug  4.55M 1078 XX10 4221```
```26Aug  4.95M 1078 XX10 4592```
```11Aug   4.1M 1078 XX10 3803```
```03Jun   6.5M 1231 XX06 5280```
```01May   6.3M 1218 XX06 5172```
```24Apr  6.15M 1231 XX06 4996```
```09Apr   3.8M 1078 XX10 3525```
```04Apr  5.73M 1164 XX05 4923```
```27Mar  4.05M 1078 XX10 3757```
```11Feb   5.2M 1156 XX05 4498```
```05Feb   2.5M 1211 XX07 2064```
*Latest primary transactions*
```------------2024-----------```
```15Mar 3.118M 1156 XX05 2697```
```------------2023-----------```
```26Apr 3.665M 1207 XX07 3036```
```09Mar 3.409M 1192 XX10 2860```
```------------2022-----------```
```05Dec 2.275M 1185 XX10 1920```
```03Nov 2.296M 1069 XX10 2148```
```13Sep 3.179M 1223 XX06 2599```
```02Sep 2.964M 1211 XX06 2447```
```06Jul 3.568M 1211 XX07 2946```
```27Apr 2.987M 1185 XX10 2521```
```21Apr 2.982M 1207 XX07 2470```
```19Apr 3.493M 1223 XX06 2856```
```04Apr 3.236M 1223 XX06 2646```
```29Mar 3.459M 1211 XX07 2856```
_Source: DLD, Databot_
_BUA - built-up area, sq.ft._
_P/sf - price per sq.ft._
_B - bedrooms; O - office_
_M - million, K- thousand_
_S - studio, R - shop_
www.trydatabot.com</t>
  </si>
  <si>
    <t>1016048, *SALES*</t>
  </si>
  <si>
    <t>*SALES*
*TRANSACTIONS (RESALE)**
*VIDA DUBAI MALL T1*
_Area: Downtown_
_Type: 3 bedroom apartment_
_Gross ROI=5.39% (confidence: low)_
_Median annual rent=350K_
```Date   Price  BUA Type P/sf```
```------------2025-----------```
```25Aug   6.5M 1425 XX08 4561```
```08Aug   6.5M 1425 XX08 4561```
```15May   6.6M 1425 XX08 4632```
```17Jan   6.5M 1423 XX08 4568```
```02Jan     8M 1517 XX05 5274```
```------------2024-----------```
```21Oct   7.4M 1423 XX08 5200```
```23Sep 4.179M 1683 XX09 2483```
```12Sep   6.2M 1423 XX08 4357```
```09Sep     7M 1683 XX09 4159```
```07Aug   7.3M 1517 XX05 4812```
```04Jul   5.7M 1517 XX05 3757```
```04Jun     7M 1683 XX09 4159```
```03Jun     6M 1517 XX05 3955```
```10May     6M 1423 XX08 4216```
```29Apr 3.881M 1423 XX08 2727```
```16Apr 3.899M 1683 XX09 2317```
```01Apr   6.9M 1512 XX05 4563```
```05Mar  6.25M 1683 XX09 3714```
```02Feb   5.9M 1512 XX05 3902```
```------------2023-----------```
```22Nov  5.45M 1683 XX09 3238```
```01Nov   5.2M 1423 XX08 3654```
```31Oct   5.4M 1423 XX08 3795```
```12Oct   5.5M 1423 XX08 3865```
```11Oct  6.15M 1683 XX09 3654```
```28Aug   5.3M 1423 XX08 3725```
```17Aug   4.5M 1423 XX08 3162```
```09Aug   5.1M 1423 XX08 3584```
```22Jun   5.2M 1517 XX05 3428```
```19Jun   6.2M 1683 XX09 3684```
```18May  4.65M 1683 XX09 2763```
_Source: DLD, Databot_
_BUA - built-up area, sq.ft._
_P/sf - price per sq.ft._
_B - bedrooms; O - office_
_M - million, K- thousand_
_S - studio, R - shop_
_*Max 30 latest transactions_
www.trydatabot.com</t>
  </si>
  <si>
    <t>1016049, *MARKET</t>
  </si>
  <si>
    <t>*MARKET*
*SNAPSHOT*
*VIDA DUBAI MALL T1*
_Area: Downtown_
_Type: 3 bedroom apartment_
*Price dynamics, Dirham/sq.ft.*
_(M - median value)_
```5274|                **    ```
```    |                      ```
```    |     *      *     ****```
```    |              *       ```
```4159|---------------------M```
```    |        ***  *        ```
```    |** **      *          ```
```    |                      ```
```    |  *                   ```
```    |       *              ```
```2317|      *        *      ```
```____|______________________```
```    |Oct2023        Aug2025```
_Source: see table below_
*Latest sales transactions*
```Date   Price  BUA Type P/sf```
```------------2025-----------```
```25Aug   6.5M 1425 XX08 4561```
```08Aug   6.5M 1425 XX08 4561```
```15May   6.6M 1425 XX08 4632```
```17Jan   6.5M 1423 XX08 4568```
```02Jan     8M 1517 XX05 5274```
```------------2024-----------```
```21Oct   7.4M 1423 XX08 5200```
```23Sep 4.179M 1683 XX09 2483```
```12Sep   6.2M 1423 XX08 4357```
```09Sep     7M 1683 XX09 4159```
```07Aug   7.3M 1517 XX05 4812```
```04Jul   5.7M 1517 XX05 3757```
```04Jun     7M 1683 XX09 4159```
```03Jun     6M 1517 XX05 3955```
```10May     6M 1423 XX08 4216```
```29Apr 3.881M 1423 XX08 2727```
```16Apr 3.899M 1683 XX09 2317```
```01Apr   6.9M 1512 XX05 4563```
```05Mar  6.25M 1683 XX09 3714```
```02Feb   5.9M 1512 XX05 3902```
```------------2023-----------```
```22Nov  5.45M 1683 XX09 3238```
```01Nov   5.2M 1423 XX08 3654```
```31Oct   5.4M 1423 XX08 3795```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</si>
  <si>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1016050, *NEW RE</t>
  </si>
  <si>
    <t>*NEW RENT*
*CONTRACTS**
_(renewals are not included)_
*VIDA DUBAI MALL T1+T2*
_Area: Downtown_
_Type: 3 bedroom apartment_
```Date  Price   BUA  Type D/s```
```------------2025-----------```
```12Dec  300K  1550  XXXX 194```
```10Nov  300K  1550  XXXX 194```
```20Oct  400K  1970  XXXX 203```
```02Sep  350K  1970  XXXX 178```
```01Sep  400K  1970  XXXX 203```
```29Aug  350K  1970  XXXX 178```
```26Aug  280K  1550  XXXX 181```
_Source: DLD, Databot_
_BUA - built-up area, sq.ft._
_P/sf - price per sq.ft._
_B - bedrooms; O - office_
_M - million, K- thousand_
_S - studio, R - shop_
_*20 latest contracts_
www.trydatabot.com</t>
  </si>
  <si>
    <t>1016051, *RESELL</t>
  </si>
  <si>
    <t>*RESELL*
*VS PRIMARY*
*VIDA DUBAI MALL T1*
_Area: Downtown_
_Type: 3 bedroom apartment_
*Price dynamics, Dirham/sq.ft.*
_(x - primary; * - resell)_
```5274|                **    ```
```    |                      ```
```    |            *     **  ```
```    |              *     **```
```4134|             *        ```
```    |           *          ```
```    |          x           ```
```    |                      ```
```    |  xxxxx xx            ```
```2423|xx     x       *      ```
```____|______________________```
```    |Jul2019        Aug2025```
_Source: see a table below_
*Latest resell transactions*
```Date   Price  BUA Type P/sf```
```------------2025-----------```
```25Aug   6.5M 1425 XX08 4561```
```08Aug   6.5M 1425 XX08 4561```
```15May   6.6M 1425 XX08 4632```
```17Jan   6.5M 1423 XX08 4568```
```02Jan     8M 1517 XX05 5274```
```------------2024-----------```
```21Oct   7.4M 1423 XX08 5200```
```23Sep 4.179M 1683 XX09 2483```
```12Sep   6.2M 1423 XX08 4357```
```09Sep     7M 1683 XX09 4159```
```07Aug   7.3M 1517 XX05 4812```
```04Jul   5.7M 1517 XX05 3757```
```04Jun     7M 1683 XX09 4159```
```03Jun     6M 1517 XX05 3955```
```10May     6M 1423 XX08 4216```
```29Apr 3.881M 1423 XX08 2727```
```16Apr 3.899M 1683 XX09 2317```
```01Apr   6.9M 1512 XX05 4563```
*Latest primary transactions*
```------------2023-----------```
```14Aug  4.92M 1423 XX08 3457```
```------------2022-----------```
```29Apr 4.731M 1683 XX09 2811```
```------------2021-----------```
```19Dec 4.573M 1683 XX09 2717```
```29Sep 3.784M 1423 XX08 2659```
```27Sep   4.1M 1423 XX08 2881```
```28Apr 4.425M 1517 XX05 2917```
```19Apr 4.577M 1517 XX05 3017```
```18Apr 4.456M 1517 XX05 2938```
```------------2020-----------```
```27Jul 4.209M 1517 XX05 2774```
```------------2019-----------```
```08Jul 4.107M 1683 XX09 2440```
```03Jul 4.078M 1683 XX09 2423```
_Source: DLD, Databot_
_BUA - built-up area, sq.ft._
_P/sf - price per sq.ft._
_B - bedrooms; O - office_
_M - million, K- thousand_
_S - studio, R - shop_
www.trydatabot.com</t>
  </si>
  <si>
    <t>1016052, *SALES*</t>
  </si>
  <si>
    <t>*SALES*
*TRANSACTIONS (RESALE)**
*VIDA DUBAI MALL T1*
_Area: Downtown_
_Type: 4 bedroom apartment_
```Date   Price  BUA Type P/sf```
```------------2025-----------```
```29Aug     7M 2245 XX09 3118```
```09Apr    12M 2245 XX09 5345```
```19Mar 11.45M 2245 XX09 5100```
```03Feb    11M 2249 XX09 4891```
```------------2024-----------```
```21Mar  10.4M 2249 XX09 4624```
```------------2023-----------```
```27Oct    10M 2249 XX09 4446```
```01May   8.4M 2249 XX09 3735```
```------------2022-----------```
```07Jul  7.35M 2249 XX09 3268```
```------------2021-----------```
```12Dec   7.5M 2249 XX09 3335```
```18Nov   6.5M 2249 XX09 2890```
_Source: DLD, Databot_
_BUA - built-up area, sq.ft._
_P/sf - price per sq.ft._
_B - bedrooms; O - office_
_M - million, K- thousand_
_S - studio, R - shop_
_*Max 30 latest transactions_
www.trydatabot.com</t>
  </si>
  <si>
    <t>1016053, *MARKET</t>
  </si>
  <si>
    <t>*MARKET*
*SNAPSHOT*
*VIDA DUBAI MALL T1*
_Area: Downtown_
_Type: 4 bedroom apartment_
*Price dynamics, Dirham/sq.ft.*
_(M - median value)_
```5345|                    * ```
```    |                   *  ```
```    |                  *   ```
```    |                 *    ```
```    |                *     ```
```4091|---------------------M```
```    |                      ```
```    |                      ```
```    |               *      ```
```    |             **       ```
```2890|            *        *```
```____|______________________```
```    |Nov2021        Aug2025```
_Source: see table below_
*Latest sales transactions*
```Date   Price  BUA Type P/sf```
```------------2025-----------```
```29Aug     7M 2245 XX09 3118```
```09Apr    12M 2245 XX09 5345```
```19Mar 11.45M 2245 XX09 5100```
```03Feb    11M 2249 XX09 4891```
```------------2024-----------```
```21Mar  10.4M 2249 XX09 4624```
```------------2023-----------```
```27Oct    10M 2249 XX09 4446```
```01May   8.4M 2249 XX09 3735```
```------------2022-----------```
```07Jul  7.35M 2249 XX09 3268```
```------------2021-----------```
```12Dec   7.5M 2249 XX09 3335```
```18Nov   6.5M 2249 XX09 2890```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</si>
  <si>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1016055, *RESELL</t>
  </si>
  <si>
    <t>*RESELL*
*VS PRIMARY*
*VIDA DUBAI MALL T1*
_Area: Downtown_
_Type: 4 bedroom apartment_
*Price dynamics, Dirham/sq.ft.*
_(x - primary; * - resell)_
```5345|                    * ```
```    |                   *  ```
```    |                  *   ```
```    |                **    ```
```4285|                      ```
```    |                      ```
```    |               *      ```
```    |                      ```
```    |      x x    **      *```
```2698|   xxx x xx *         ```
```____|______________________```
```    |Dec1899        Aug2025```
_Source: see a table below_
*Latest resell transactions*
```Date   Price  BUA Type P/sf```
```------------2025-----------```
```29Aug     7M 2245 XX09 3118```
```09Apr    12M 2245 XX09 5345```
```19Mar 11.45M 2245 XX09 5100```
```03Feb    11M 2249 XX09 4891```
```------------2024-----------```
```21Mar  10.4M 2249 XX09 4624```
```------------2023-----------```
```27Oct    10M 2249 XX09 4446```
```01May   8.4M 2249 XX09 3735```
```------------2022-----------```
```07Jul  7.35M 2249 XX09 3268```
```------------2021-----------```
```12Dec   7.5M 2249 XX09 3335```
```18Nov   6.5M 2249 XX09 2890```
*Latest primary transactions*
```------------2022-----------```
```18Apr 6.621M 2249 XX09 2944```
```------------2021-----------```
```09Dec 6.596M 2249 XX09 2933```
```07Nov 6.693M 2249 XX09 2976```
```21Sep 6.069M 2249 XX09 2698```
```25Aug 6.815M 2249 XX09 3030```
```------------2020-----------```
```08Oct 6.146M 2249 XX09 2733```
```------------2019-----------```
```30Jul 6.257M 2249 XX09 2782```
```------------2018-----------```
```19Apr 6.213M 2249 XX09 2763```
_Source: DLD, Databot_
_BUA - built-up area, sq.ft._
_P/sf - price per sq.ft._
_B - bedrooms; O - office_
_M - million, K- thousand_
_S - studio, R - shop_
www.trydatabot.com</t>
  </si>
  <si>
    <t>1016070, *NEW RE</t>
  </si>
  <si>
    <t>*NEW RENT*
*CONTRACTS**
_(renewals are not included)_
*VIDA DUBAI MALL T1+T2*
_Area: Downtown_
_Type: _
```Date  Price   BUA  Type D/s```
```------------2026-----------```
```01Jan 1.59M  9354  XXXX 170```
```------------2025-----------```
```18Nov  478K  1528  XXXX 313```
```------------2024-----------```
```30Nov 4.27M 40451  XXXX 106```
```11Nov 18.2K   366  XXXX  50```
```11Nov 31.2K   635  XXXX  49```
```11Nov 30.4K   570  XXXX  53```
```11Nov 18.2K   377  XXXX  48```
```11Nov 23.6K   474  XXXX  50```
```11Nov 23.6K   474  XXXX  50```
```11Nov 43.8K   904  XXXX  48```
```11Nov  7.4K   151  XXXX  49```
```11Nov  7.1K   140  XXXX  51```
```11Nov 15.7K   312  XXXX  50```
```11Nov 17.5K   355  XXXX  49```
```11Nov 17.5K   355  XXXX  49```
```11Nov 25.6K   517  XXXX  50```
```11Nov 17.5K   355  XXXX  49```
```11Nov 17.5K   355  XXXX  49```
```11Nov 18.2K   366  XXXX  50```
```11Nov 11.1K   226  XXXX  49```
_Source: DLD, Databot_
_BUA - built-up area, sq.ft._
_P/sf - price per sq.ft._
_B - bedrooms; O - office_
_M - million, K- thousand_
_S - studio, R - shop_
_*20 latest contracts_
www.trydatabot.com</t>
  </si>
  <si>
    <t>1016084, *NEW RE</t>
  </si>
  <si>
    <t>*NEW RENT*
*CONTRACTS**
_(renewals are not included)_
*VIDA DUBAI MALL T1+T2*
_Area: Downtown_
_All types/bedrooms_
```Date    Price   BUA Type  B```
```------------2026-----------```
```01Feb    245K  1076 XXXX  2```
```19Jan    345K  1421 XXXX  check```
```17Jan    165K   861 XXXX  check```
```16Jan    240K  1076 XXXX  2```
```11Jan    380K  1421 XXXX  check```
```09Jan    140K   786 XXXX  1```
```01Jan  1.586M  9354 XXXX  R```
```01Jan    225K  1076 XXXX  2```
```01Jan    245K  1001 XXXX  2```
```01Jan     70K  1066 XXXX  2```
```------------2025-----------```
```15Dec    260K  1206 XXXX  2```
```13Dec    210K  1066 XXXX  2```
```12Dec    300K  1550 XXXX  3```
```10Dec    250K  1076 XXXX  2```
```09Dec    210K  1141 XXXX  2```
```09Dec    200K  1066 XXXX  2```
```09Dec    210K  1141 XXXX  2```
```09Dec    200K  1066 XXXX  2```
```05Dec    140K   818 XXXX  1```
```28Nov    250K  1206 XXXX  2```
_Source: DLD, Databot_
_BUA - built-up area, sq.ft._
_P/sf - price per sq.ft._
_B - bedrooms; O - office_
_M - million, K- thousand_
_S - studio, R - shop_
_*20 latest contracts_
www.trydatabot.com</t>
  </si>
  <si>
    <t>1016085, *SALES*</t>
  </si>
  <si>
    <t>*SALES*
*TRANSACTIONS (RESALE)**
*VIDA DUBAI MALL T1*
_Area: Downtown_
_All types/bedrooms_
```Date    Price   BUA  Type B```
```------------2026-----------```
```07Jan      6M  1218  XXXX 2```
```------------2025-----------```
```11Dec    3.2M   679  XXXX 1```
```10Dec    4.5M  1164  XXXX 2```
```09Dec    2.5M  1218  XXXX 2```
```19Nov      4M  1078  XXXX 2```
```19Nov    2.8M   860  XXXX 1```
```05Nov    5.5M  1164  XX05 2```
```24Oct   2.65M   860  XXXX 1```
```22Oct   2.65M   760  XX03 1```
```07Oct   2.67M   896  XX02 1```
```03Oct    4.1M  1093  XX04 2```
```30Sep   2.55M   760  XX03 1```
```19Sep   2.65M   860  XXXX 1```
```29Aug      7M  2245  XX09 4```
```28Aug   4.55M  1078  XX10 2```
```26Aug   4.95M  1078  XX10 2```
```25Aug    6.5M  1425  XX08 3```
```11Aug    4.1M  1078  XX10 2```
```08Aug    6.5M  1425  XX08 3```
```30Jun    2.4M   860  XXXX 1```
```03Jun    6.5M  1231  XX06 2```
```26May    3.8M   803  XX08 1```
```15May    6.6M  1425  XX08 3```
```01May    6.3M  1218  XX06 2```
```24Apr   6.15M  1231  XX06 2```
```24Apr  2.825M   679  XX04 1```
```22Apr   2.26M   760  XX03 1```
```21Apr   2.55M   760  XX03 1```
```11Apr   2.65M   860  XXXX 1```
```09Apr     12M  2245  XX09 4```
_Source: DLD, Databot_
_BUA - built-up area, sq.ft._
_P/sf - price per sq.ft._
_B - bedrooms; O - office_
_M - million, K- thousand_
_S - studio, R - shop_
_*Max 30 latest transactions_
www.trydatabot.com</t>
  </si>
  <si>
    <t>1016086, by code - other areas, *BUILDI</t>
  </si>
  <si>
    <t xml:space="preserve">*BUILDING*
*PROFILE*
*VIDA DUBAI MALL T1*
_Area: Downtown_
_Tap&amp;hold to copy a reply_
```-------------------------```
```Report              Reply```
```-------------------------```
*1 B/R*
```Resell, ROI       1016040```
```Primary sales     1016088```
```Price chart       1016041```
```Rentals           1016042```
```Appreciation      1016043```
*2 B/R*
```Resell, ROI       1016044```
```Primary sales     1016089```
```Price chart       1016045```
```Rentals           1016046```
```Appreciation      1016047```
*3 B/R*
```Resell, ROI       1016048```
```Primary sales     1016090```
```Price chart       1016049```
```Rentals           1016050```
```Appreciation      1016051```
*4 B/R*
```Resell, ROI       1016052```
```Primary sales     1016091```
```Price chart       1016053```
```Rentals               n/a```
```Appreciation      1016055```
*All types/bedrooms*
```Resell, ROI       1016085```
```Primary sales     1016099```
```Rentals           1016084```
</t>
  </si>
  <si>
    <t>1016088, *SALES*</t>
  </si>
  <si>
    <t>*SALES*
*TRANSACTIONS (PRIMARY)**
*VIDA DUBAI MALL T1*
_Area: Downtown_
_Type: 1 bedroom apartment_
```Date   Price  BUA Type P/sf```
```------------2024-----------```
```06Feb 2.283M  791 XX08 2886```
```------------2023-----------```
```05Jul 2.735M  909 XXXX 3009```
```------------2022-----------```
```30Aug 2.007M  760 XX03 2641```
```14Jul 2.431M  909 XX01 2674```
```06Jul 2.153M  909 XX01 2368```
```25May 2.198M  858 XX02 2562```
```15May 1.851M  678 XX04 2730```
```10May  2.16M  909 XX01 2376```
```29Apr  1.84M  678 XX04 2714```
```29Mar 2.386M  909 XX02 2625```
```22Mar 2.323M  891 XX01 2607```
```09Mar 2.287M  891 XX01 2567```
```01Feb 2.087M  858 XX02 2432```
```01Feb 2.137M  858 XX02 2491```
```01Feb 1.944M  760 XX03 2558```
```01Feb 2.279M  891 XX01 2558```
```01Feb 2.279M  891 XX02 2558```
```01Feb 2.312M  891 XX01 2595```
```01Feb 2.312M  891 XX02 2595```
```01Feb 2.095M  858 XX01 2442```
_Source: DLD, Databot_
_BUA - built-up area, sq.ft._
_P/sf - price per sq.ft._
_B - bedrooms; O - office_
_M - million, K- thousand_
_S - studio, R - shop_
_*Max 20 latest transactions_
www.trydatabot.com</t>
  </si>
  <si>
    <t>1016089, *SALES*</t>
  </si>
  <si>
    <t>*SALES*
*TRANSACTIONS (PRIMARY)**
*VIDA DUBAI MALL T1*
_Area: Downtown_
_Type: 2 bedroom apartment_
```Date   Price  BUA Type P/sf```
```------------2024-----------```
```15Mar 3.118M 1156 XX05 2697```
```------------2023-----------```
```26Apr 3.665M 1207 XX07 3036```
```09Mar 3.409M 1192 XX10 2860```
```------------2022-----------```
```05Dec 2.275M 1185 XX10 1920```
```03Nov 2.296M 1069 XX10 2148```
```13Sep 3.179M 1223 XX06 2599```
```02Sep 2.964M 1211 XX06 2447```
```06Jul 3.568M 1211 XX07 2946```
```27Apr 2.987M 1185 XX10 2521```
```21Apr 2.982M 1207 XX07 2470```
```19Apr 3.493M 1223 XX06 2856```
```04Apr 3.236M 1223 XX06 2646```
```29Mar 3.459M 1211 XX07 2856```
```29Mar 3.434M 1223 XX06 2808```
```24Jan 2.955M 1185 XX10 2494```
```13Jan 2.943M 1185 XX10 2483```
```11Jan 3.548M 1211 XX07 2930```
```11Jan 3.581M 1223 XX06 2928```
```05Jan 3.174M 1207 XX07 2630```
```03Jan 3.032M 1192 XX10 2544```
_Source: DLD, Databot_
_BUA - built-up area, sq.ft._
_P/sf - price per sq.ft._
_B - bedrooms; O - office_
_M - million, K- thousand_
_S - studio, R - shop_
_*Max 20 latest transactions_
www.trydatabot.com</t>
  </si>
  <si>
    <t>1016090, *SALES*</t>
  </si>
  <si>
    <t>*SALES*
*TRANSACTIONS (PRIMARY)**
*VIDA DUBAI MALL T1*
_Area: Downtown_
_Type: 3 bedroom apartment_
```Date   Price  BUA Type P/sf```
```------------2023-----------```
```14Aug  4.92M 1423 XX08 3457```
```------------2022-----------```
```29Apr 4.731M 1683 XX09 2811```
```------------2021-----------```
```19Dec 4.573M 1683 XX09 2717```
```29Sep 3.784M 1423 XX08 2659```
```27Sep   4.1M 1423 XX08 2881```
```28Apr 4.425M 1517 XX05 2917```
```19Apr 4.577M 1517 XX05 3017```
```18Apr 4.456M 1517 XX05 2938```
```------------2020-----------```
```27Jul 4.209M 1517 XX05 2774```
```------------2019-----------```
```08Jul 4.107M 1683 XX09 2440```
```03Jul 4.078M 1683 XX09 2423```
```26May 4.212M 1512 XX05 2786```
```30Jan 4.063M 1683 XX09 2414```
```------------2018-----------```
```12Aug  4.02M 1683 XX09 2389```
```25Jul  3.76M 1423 XX08 2642```
_Source: DLD, Databot_
_BUA - built-up area, sq.ft._
_P/sf - price per sq.ft._
_B - bedrooms; O - office_
_M - million, K- thousand_
_S - studio, R - shop_
_*Max 20 latest transactions_
www.trydatabot.com</t>
  </si>
  <si>
    <t>1016091, *SALES*</t>
  </si>
  <si>
    <t>*SALES*
*TRANSACTIONS (PRIMARY)**
*VIDA DUBAI MALL T1*
_Area: Downtown_
_Type: 4 bedroom apartment_
```Date   Price  BUA Type P/sf```
```------------2022-----------```
```18Apr 6.621M 2249 XX09 2944```
```------------2021-----------```
```09Dec 6.596M 2249 XX09 2933```
```07Nov 6.693M 2249 XX09 2976```
```21Sep 6.069M 2249 XX09 2698```
```25Aug 6.815M 2249 XX09 3030```
```------------2020-----------```
```08Oct 6.146M 2249 XX09 2733```
```------------2019-----------```
```30Jul 6.257M 2249 XX09 2782```
```------------2018-----------```
```19Apr 6.213M 2249 XX09 2763```
_Source: DLD, Databot_
_BUA - built-up area, sq.ft._
_P/sf - price per sq.ft._
_B - bedrooms; O - office_
_M - million, K- thousand_
_S - studio, R - shop_
_*Max 20 latest transactions_
www.trydatabot.com</t>
  </si>
  <si>
    <t>1016099, *SALES*</t>
  </si>
  <si>
    <t>*SALES*
*TRANSACTIONS (PRIMARY)**
*VIDA DUBAI MALL T1*
_Area: Downtown_
_All types/bedrooms_
```Date    Price   BUA  Type B```
```------------2024-----------```
```15Mar  3.118M  1156  XX05 2```
```06Feb  2.283M   791  XX08 1```
```------------2023-----------```
```14Aug   4.92M  1423  XX08 3```
```05Jul  2.735M   909  XXXX 1```
```26Apr  3.665M  1207  XX07 2```
```09Mar  3.409M  1192  XX10 2```
```------------2022-----------```
```05Dec  2.275M  1185  XX10 2```
```03Nov  2.296M  1069  XX10 2```
```13Sep  3.179M  1223  XX06 2```
```02Sep  2.964M  1211  XX06 2```
```30Aug  2.007M   760  XX03 1```
```14Jul  2.431M   909  XX01 1```
```06Jul  2.153M   909  XX01 1```
```06Jul  3.568M  1211  XX07 2```
```25May  2.198M   858  XX02 1```
```15May  1.851M   678  XX04 1```
```10May   2.16M   909  XX01 1```
```29Apr  4.731M  1683  XX09 3```
```29Apr   1.84M   678  XX04 1```
```27Apr  2.987M  1185  XX10 2```
_Source: DLD, Databot_
_BUA - built-up area, sq.ft._
_P/sf - price per sq.ft._
_B - bedrooms; O - office_
_M - million, K- thousand_
_S - studio, R - shop_
_*Max 20 latest transactions_
www.trydatabot.com</t>
  </si>
  <si>
    <t>1016104, *SALES*</t>
  </si>
  <si>
    <t>*SALES*
*TRANSACTIONS (RESALE)**
*VIDA DUBAI MALL T2*
_Area: Downtown_
_Type: 1 bedroom apartment_
_Gross ROI=4.91% (confidence: low)_
_Median annual rent=132.5K_
```Date   Price  BUA Type P/sf```
```------------2025-----------```
```23May   2.8M  780 XX08 3590```
```19Mar   2.6M  780 XX08 3333```
```20Jan   2.2M  805 XX07 2733```
```07Jan   2.3M  775 XX08 2968```
```------------2024-----------```
```13Nov  2.35M  805 XX07 2919```
```04Nov  2.25M  805 XX07 2795```
```22Jul   2.1M  775 XX08 2710```
```28Jun   2.1M  805 XX07 2609```
```08May   2.1M  775 XX08 2710```
```01May   2.2M  805 XX07 2733```
```03Apr  2.17M  805 XX07 2696```
```05Mar   2.1M  775 XX08 2710```
```------------2023-----------```
```27Dec  1.85M  805 XX07 2298```
```31Oct  1.98M  775 XX08 2555```
```13Oct   1.8M  805 XX07 2236```
```13Oct 2.015M  805 XX07 2503```
```09Oct  1.94M  775 XX08 2503```
```13Sep  2.05M  805 XX07 2547```
```12Sep   1.9M  805 XX07 2360```
```11Sep  1.93M  775 XX08 2490```
```27Jul  1.75M  805 XX07 2174```
```17Jul   1.8M  805 XX07 2236```
```21Jun  1.83M  805 XX07 2273```
```01Jun 1.725M  805 XX07 2143```
```05May 1.765M  775 XX08 2277```
```31Jan  1.85M  805 XX07 2298```
```------------2022-----------```
```22Nov  1.82M  775 XX08 2348```
```------------2021-----------```
```02Jun   1.3M  775 XX08 1677```
```------------2019-----------```
```05Nov     1M  805 XX07 1242```
```14May 1.347M  805 XX07 1673```
_Source: DLD, Databot_
_BUA - built-up area, sq.ft._
_P/sf - price per sq.ft._
_B - bedrooms; O - office_
_M - million, K- thousand_
_S - studio, R - shop_
_*Max 30 latest transactions_
www.trydatabot.com</t>
  </si>
  <si>
    <t>Vida Dubai Mall T2</t>
  </si>
  <si>
    <t>1016105, *MARKET</t>
  </si>
  <si>
    <t>*MARKET*
*SNAPSHOT*
*VIDA DUBAI MALL T2*
_Area: Downtown_
_Type: 1 bedroom apartment_
*Price dynamics, Dirham/sq.ft.*
_(M - median value)_
```3590|                     *```
```    |                      ```
```    |                    * ```
```    |                      ```
```    |                  *   ```
```    |                 *    ```
```    |          **** **  *  ```
```2653|---------------------M```
```    |    *   *     *       ```
```    |  ** **               ```
```2174|**     * *            ```
```____|______________________```
```    |Jul2023        May2025```
_Source: see table below_
*Latest sales transactions*
```Date   Price  BUA Type P/sf```
```------------2025-----------```
```23May   2.8M  780 XX08 3590```
```19Mar   2.6M  780 XX08 3333```
```20Jan   2.2M  805 XX07 2733```
```07Jan   2.3M  775 XX08 2968```
```------------2024-----------```
```13Nov  2.35M  805 XX07 2919```
```04Nov  2.25M  805 XX07 2795```
```22Jul   2.1M  775 XX08 2710```
```28Jun   2.1M  805 XX07 2609```
```08May   2.1M  775 XX08 2710```
```01May   2.2M  805 XX07 2733```
```03Apr  2.17M  805 XX07 2696```
```05Mar   2.1M  775 XX08 2710```
```------------2023-----------```
```27Dec  1.85M  805 XX07 2298```
```31Oct  1.98M  775 XX08 2555```
```13Oct   1.8M  805 XX07 2236```
```13Oct 2.015M  805 XX07 2503```
```09Oct  1.94M  775 XX08 2503```
```13Sep  2.05M  805 XX07 2547```
```12Sep   1.9M  805 XX07 2360```
```11Sep  1.93M  775 XX08 2490```
```27Jul  1.75M  805 XX07 2174```
```17Jul   1.8M  805 XX07 2236```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</si>
  <si>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1016106, *NEW RE</t>
  </si>
  <si>
    <t>1016107, *RESELL</t>
  </si>
  <si>
    <t>*RESELL*
*VS PRIMARY*
*VIDA DUBAI MALL T2*
_Area: Downtown_
_Type: 1 bedroom apartment_
*Price dynamics, Dirham/sq.ft.*
_(x - primary; * - resell)_
```3590|                     *```
```    |                    * ```
```    |                      ```
```    |                      ```
```2890|                 **   ```
```    |           *** **  *  ```
```    |              *       ```
```    |                      ```
```    | x   x xx x           ```
```1838|x xxx x  x            ```
```____|______________________```
```    |Jan2018        May2025```
_Source: see a table below_
*Latest resell transactions*
```Date   Price  BUA Type P/sf```
```------------2025-----------```
```23May   2.8M  780 XX08 3590```
```19Mar   2.6M  780 XX08 3333```
```20Jan   2.2M  805 XX07 2733```
```07Jan   2.3M  775 XX08 2968```
```------------2024-----------```
```13Nov  2.35M  805 XX07 2919```
```04Nov  2.25M  805 XX07 2795```
```22Jul   2.1M  775 XX08 2710```
```28Jun   2.1M  805 XX07 2609```
```08May   2.1M  775 XX08 2710```
```01May   2.2M  805 XX07 2733```
```03Apr  2.17M  805 XX07 2696```
```05Mar   2.1M  775 XX08 2710```
```------------2023-----------```
```27Dec  1.85M  805 XX07 2298```
```31Oct  1.98M  775 XX08 2555```
```13Oct   1.8M  805 XX07 2236```
```13Oct 2.015M  805 XX07 2503```
*Latest primary transactions*
```------------2022-----------```
```31May 1.765M  775 XX08 2277```
```24Jan 1.608M  805 XX07 1997```
```------------2021-----------```
```05Aug 1.725M  775 XX08 2226```
```27Jul 1.754M  775 XX08 2263```
```------------2020-----------```
```23Feb 1.502M  805 XX07 1866```
```------------2019-----------```
```30Jul  1.61M  775 XX08 2077```
```------------2018-----------```
```26Nov 1.543M  776 XX08 1988```
```01Aug  1.48M  805 XX07 1838```
```15May 1.529M  805 XX07 1899```
```10Jan 1.607M  775 XX08 2073```
```07Jan 1.513M  805 XX07 1879```
_Source: DLD, Databot_
_BUA - built-up area, sq.ft._
_P/sf - price per sq.ft._
_B - bedrooms; O - office_
_M - million, K- thousand_
_S - studio, R - shop_
www.trydatabot.com</t>
  </si>
  <si>
    <t>1016108, *SALES*</t>
  </si>
  <si>
    <t>*SALES*
*TRANSACTIONS (RESALE)**
*VIDA DUBAI MALL T2*
_Area: Downtown_
_Type: 2 bedroom apartment_
_Gross ROI=6.05%_
_Median annual rent=242.5K_
```Date   Price  BUA Type P/sf```
```------------2026-----------```
```07Jan   4.5M 1205 XXXX 3734```
```------------2025-----------```
```03Dec   935K 1136 XXXX  823```
```04Nov   3.9M 1071 XX01 3641```
```22Oct  4.66M  996 XX04 4679```
```29Sep   3.9M 1071 XX01 3641```
```08Sep  4.08M 1076 XX05 3792```
```29Aug   4.5M 1207 XXXX 3728```
```31Jul   4.6M  996 XX04 4618```
```24Jul  3.75M 1136 XX06 3301```
```02Jul  3.55M 1066 XX01 3330```
```22May   4.9M 1205 XX03 4066```
```21Jan   5.2M 1083 XX05 4801```
```08Jan  4.58M 1208 XX03 3791```
```------------2024-----------```
```20Dec   4.2M 1083 XX05 3878```
```10Oct 4.515M 1137 XX06 3971```
```03Oct   4.3M 1137 XX06 3782```
```28Aug   4.6M 1083 XX05 4247```
```25Jul   3.9M  999 XX04 3904```
```04Jul 3.475M 1049 XX01 3313```
```28Jun   3.2M 1137 XX06 2814```
```25Jun   3.8M 1137 XX06 3342```
```13Jun   3.3M 1137 XX06 2902```
```14May   3.1M 1049 XX01 2955```
```29Apr   975K 1049 XX01  929```
```23Apr   4.5M  999 XX04 4505```
```15Apr  2.95M 1049 XX01 2812```
```29Mar   2.8M 1137 XX06 2463```
```25Mar   3.5M  999 XX04 3504```
```25Mar   3.3M 1099 XX04 3003```
```05Mar     3M 1049 XX01 2860```
_Source: DLD, Databot_
_BUA - built-up area, sq.ft._
_P/sf - price per sq.ft._
_B - bedrooms; O - office_
_M - million, K- thousand_
_S - studio, R - shop_
_*Max 30 latest transactions_
www.trydatabot.com</t>
  </si>
  <si>
    <t>1016109, *MARKET</t>
  </si>
  <si>
    <t>*MARKET*
*SNAPSHOT*
*VIDA DUBAI MALL T2*
_Area: Downtown_
_Type: 2 bedroom apartment_
*Price dynamics, Dirham/sq.ft.*
_(M - median value)_
```4801|          *   *   *   ```
```    |     *                ```
```    |    *  **  *          ```
```3758|---------------------M```
```    |      *  *     *** * *```
```    | * *        **        ```
```    |* *                   ```
```    |                      ```
```    |                      ```
```    |                      ```
```823 |                    * ```
```____|______________________```
```    |Jun2024        Jan2026```
_Source: see table below_
*Latest sales transactions*
```Date   Price  BUA Type P/sf```
```------------2026-----------```
```07Jan   4.5M 1205 XXXX 3734```
```------------2025-----------```
```03Dec   935K 1136 XXXX  823```
```04Nov   3.9M 1071 XX01 3641```
```22Oct  4.66M  996 XX04 4679```
```29Sep   3.9M 1071 XX01 3641```
```08Sep  4.08M 1076 XX05 3792```
```29Aug   4.5M 1207 XXXX 3728```
```31Jul   4.6M  996 XX04 4618```
```24Jul  3.75M 1136 XX06 3301```
```02Jul  3.55M 1066 XX01 3330```
```22May   4.9M 1205 XX03 4066```
```21Jan   5.2M 1083 XX05 4801```
```08Jan  4.58M 1208 XX03 3791```
```------------2024-----------```
```20Dec   4.2M 1083 XX05 3878```
```10Oct 4.515M 1137 XX06 3971```
```03Oct   4.3M 1137 XX06 3782```
```28Aug   4.6M 1083 XX05 4247```
```25Jul   3.9M  999 XX04 3904```
```04Jul 3.475M 1049 XX01 3313```
```28Jun   3.2M 1137 XX06 2814```
```25Jun   3.8M 1137 XX06 3342```
```13Jun   3.3M 1137 XX06 2902```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</si>
  <si>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1016110, *NEW RE</t>
  </si>
  <si>
    <t>1016111, *RESELL</t>
  </si>
  <si>
    <t>*RESELL*
*VS PRIMARY*
*VIDA DUBAI MALL T2*
_Area: Downtown_
_Type: 2 bedroom apartment_
*Price dynamics, Dirham/sq.ft.*
_(x - primary; * - resell)_
```4679|              *   *   ```
```    |                      ```
```    |           *   **    *```
```    |            *    * *  ```
```3135|             *        ```
```    |     x  x             ```
```    | x x  x  x            ```
```    |x x x  x  x           ```
```    |                      ```
```823 |                    * ```
```____|______________________```
```    |Nov2021        Jan2026```
_Source: see a table below_
*Latest resell transactions*
```Date   Price  BUA Type P/sf```
```------------2026-----------```
```07Jan   4.5M 1205 XXXX 3734```
```------------2025-----------```
```03Dec   935K 1136 XXXX  823```
```04Nov   3.9M 1071 XX01 3641```
```22Oct  4.66M  996 XX04 4679```
```29Sep   3.9M 1071 XX01 3641```
```08Sep  4.08M 1076 XX05 3792```
```29Aug   4.5M 1207 XXXX 3728```
```31Jul   4.6M  996 XX04 4618```
```24Jul  3.75M 1136 XX06 3301```
```02Jul  3.55M 1066 XX01 3330```
```22May   4.9M 1205 XX03 4066```
```21Jan   5.2M 1083 XX05 4801```
```08Jan  4.58M 1208 XX03 3791```
```------------2024-----------```
```20Dec   4.2M 1083 XX05 3878```
```10Oct 4.515M 1137 XX06 3971```
```03Oct   4.3M 1137 XX06 3782```
*Latest primary transactions*
```------------2022-----------```
```06Jun 2.406M 1137 XX06 2116```
```27Apr 2.711M 1083 XX05 2503```
```27Apr 2.671M  999 XX04 2674```
```20Apr 2.103M 1137 XX06 1850```
```18Apr 2.564M 1099 XX04 2333```
```04Jan 2.645M  999 XX04 2648```
```------------2021-----------```
```22Dec 2.197M 1049 XX01 2094```
```09Dec 2.858M 1208 XX03 2366```
```29Nov 2.184M 1208 XX03 1808```
```07Nov 2.584M 1170 XX03 2208```
```07Nov 2.415M 1137 XX06 2124```
```23May 2.143M 1137 XX06 1885```
```------------2020-----------```
```30Sep 2.413M 1083 XX05 2228```
_Source: DLD, Databot_
_BUA - built-up area, sq.ft._
_P/sf - price per sq.ft._
_B - bedrooms; O - office_
_M - million, K- thousand_
_S - studio, R - shop_
www.trydatabot.com</t>
  </si>
  <si>
    <t>1016112, *SALES*</t>
  </si>
  <si>
    <t>*SALES*
*TRANSACTIONS (RESALE)**
*VIDA DUBAI MALL T2*
_Area: Downtown_
_Type: 3 bedroom apartment_
_Gross ROI=5.18% (confidence: low)_
_Median annual rent=350K_
```Date   Price  BUA Type P/sf```
```------------2025-----------```
```09Oct   8.5M 1969 XX02 4317```
```26Sep   6.8M 1970 XX02 3452```
```10Sep   5.4M 1552 XX02 3479```
```10Apr   5.8M 1384 XX05 4191```
```07Jan     7M 1971 XX02 3551```
```------------2024-----------```
```12Dec     5M 1399 XX05 3574```
```07Oct   4.8M 1399 XX05 3431```
```05Aug  4.75M 1399 XX05 3395```
```13May 6.875M 1971 XX02 3488```
```05Mar   6.3M 1971 XX02 3196```
```------------2023-----------```
```03Oct   5.9M 1971 XX02 2993```
```26Sep   5.4M 1971 XX02 2740```
```28Jul  5.38M 1971 XX02 2730```
```10May     5M 1971 XX02 2537```
```10Apr   4.2M 1399 XX05 3002```
```09Mar   4.6M 1971 XX02 2334```
```06Mar 4.458M 1971 XX02 2262```
```01Mar   5.8M 1971 XX02 2943```
```------------2022-----------```
```24Aug  3.35M 1399 XX05 2395```
```08Jun   4.3M 1544 XX02 2785```
```------------2020-----------```
```17Mar   2.5M 1399 XX05 1787```
_Source: DLD, Databot_
_BUA - built-up area, sq.ft._
_P/sf - price per sq.ft._
_B - bedrooms; O - office_
_M - million, K- thousand_
_S - studio, R - shop_
_*Max 30 latest transactions_
www.trydatabot.com</t>
  </si>
  <si>
    <t>1016113, *MARKET</t>
  </si>
  <si>
    <t>*MARKET*
*SNAPSHOT*
*VIDA DUBAI MALL T2*
_Area: Downtown_
_Type: 3 bedroom apartment_
*Price dynamics, Dirham/sq.ft.*
_(M - median value)_
```4317|                  *  *```
```    |                      ```
```    |                      ```
```    |             *  ** ** ```
```    |            * **      ```
```3002|---------------------M```
```    |    *  *   *          ```
```    |  *      **           ```
```    |        *             ```
```    |   * **               ```
```1787| *                    ```
```____|______________________```
```    |Mar2020        Oct2025```
_Source: see table below_
*Latest sales transactions*
```Date   Price  BUA Type P/sf```
```------------2025-----------```
```09Oct   8.5M 1969 XX02 4317```
```26Sep   6.8M 1970 XX02 3452```
```10Sep   5.4M 1552 XX02 3479```
```10Apr   5.8M 1384 XX05 4191```
```07Jan     7M 1971 XX02 3551```
```------------2024-----------```
```12Dec     5M 1399 XX05 3574```
```07Oct   4.8M 1399 XX05 3431```
```05Aug  4.75M 1399 XX05 3395```
```13May 6.875M 1971 XX02 3488```
```05Mar   6.3M 1971 XX02 3196```
```------------2023-----------```
```03Oct   5.9M 1971 XX02 2993```
```26Sep   5.4M 1971 XX02 2740```
```28Jul  5.38M 1971 XX02 2730```
```10May     5M 1971 XX02 2537```
```10Apr   4.2M 1399 XX05 3002```
```09Mar   4.6M 1971 XX02 2334```
```06Mar 4.458M 1971 XX02 2262```
```01Mar   5.8M 1971 XX02 2943```
```------------2022-----------```
```24Aug  3.35M 1399 XX05 2395```
```08Jun   4.3M 1544 XX02 2785```
```------------2020-----------```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</si>
  <si>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1016114, *NEW RE</t>
  </si>
  <si>
    <t>1016115, *RESELL</t>
  </si>
  <si>
    <t>*RESELL*
*VS PRIMARY*
*VIDA DUBAI MALL T2*
_Area: Downtown_
_Type: 3 bedroom apartment_
*Price dynamics, Dirham/sq.ft.*
_(x - primary; * - resell)_
```4317|                     *```
```    |                  *   ```
```    |                      ```
```    |                **    ```
```3429|             ***   ** ```
```    |            *         ```
```    |          x*          ```
```    |                      ```
```    |       x              ```
```2096|xxxxxxx xx            ```
```____|______________________```
```    |Feb2019        Oct2025```
_Source: see a table below_
*Latest resell transactions*
```Date   Price  BUA Type P/sf```
```------------2025-----------```
```09Oct   8.5M 1969 XX02 4317```
```26Sep   6.8M 1970 XX02 3452```
```10Sep   5.4M 1552 XX02 3479```
```10Apr   5.8M 1384 XX05 4191```
```07Jan     7M 1971 XX02 3551```
```------------2024-----------```
```12Dec     5M 1399 XX05 3574```
```07Oct   4.8M 1399 XX05 3431```
```05Aug  4.75M 1399 XX05 3395```
```13May 6.875M 1971 XX02 3488```
```05Mar   6.3M 1971 XX02 3196```
```------------2023-----------```
```03Oct   5.9M 1971 XX02 2993```
```26Sep   5.4M 1971 XX02 2740```
```28Jul  5.38M 1971 XX02 2730```
```10May     5M 1971 XX02 2537```
```10Apr   4.2M 1399 XX05 3002```
```09Mar   4.6M 1971 XX02 2334```
*Latest primary transactions*
```------------2023-----------```
```14Aug 4.283M 1399 XX05 3061```
```------------2022-----------```
```03Jan 4.221M 1971 XX02 2142```
```------------2021-----------```
```31Mar 3.237M 1544 XX02 2096```
```30Mar 4.657M 1971 XX02 2363```
```------------2019-----------```
```13Nov 3.276M 1544 XX02 2122```
```06Oct 4.475M 1971 XX02 2270```
```26May 4.288M 1971 XX02 2175```
```09May 4.365M 1971 XX02 2215```
```10Mar 4.273M 1971 XX02 2168```
```03Mar 4.242M 1971 XX02 2152```
```25Feb 4.412M 1971 XX02 2238```
```06Feb  3.05M 1399 XX05 2180```
_Source: DLD, Databot_
_BUA - built-up area, sq.ft._
_P/sf - price per sq.ft._
_B - bedrooms; O - office_
_M - million, K- thousand_
_S - studio, R - shop_
www.trydatabot.com</t>
  </si>
  <si>
    <t>1016134, *NEW RE</t>
  </si>
  <si>
    <t>1016148, *NEW RE</t>
  </si>
  <si>
    <t>1016149, *SALES*</t>
  </si>
  <si>
    <t>*SALES*
*TRANSACTIONS (RESALE)**
*VIDA DUBAI MALL T2*
_Area: Downtown_
_All types/bedrooms_
```Date    Price   BUA  Type B```
```------------2026-----------```
```07Jan    4.5M  1205  XXXX 2```
```------------2025-----------```
```03Dec    935K  1136  XXXX 2```
```04Nov    3.9M  1071  XX01 2```
```22Oct   4.66M   996  XX04 2```
```09Oct    8.5M  1969  XX02 3```
```29Sep    3.9M  1071  XX01 2```
```26Sep    6.8M  1970  XX02 3```
```10Sep    5.4M  1552  XX02 3```
```08Sep   4.08M  1076  XX05 2```
```29Aug    4.5M  1207  XXXX 2```
```31Jul    4.6M   996  XX04 2```
```24Jul   3.75M  1136  XX06 2```
```02Jul   3.55M  1066  XX01 2```
```23May    2.8M   780  XX08 1```
```22May    4.9M  1205  XX03 2```
```10Apr    5.8M  1384  XX05 3```
```19Mar    2.6M   780  XX08 1```
```21Jan    5.2M  1083  XX05 2```
```20Jan    2.2M   805  XX07 1```
```08Jan   4.58M  1208  XX03 2```
```07Jan    2.3M   775  XX08 1```
```07Jan      7M  1971  XX02 3```
```------------2024-----------```
```20Dec    4.2M  1083  XX05 2```
```12Dec      5M  1399  XX05 3```
```13Nov   2.35M   805  XX07 1```
```04Nov   2.25M   805  XX07 1```
```10Oct  4.515M  1137  XX06 2```
```07Oct    4.8M  1399  XX05 3```
```03Oct    4.3M  1137  XX06 2```
```28Aug    4.6M  1083  XX05 2```
_Source: DLD, Databot_
_BUA - built-up area, sq.ft._
_P/sf - price per sq.ft._
_B - bedrooms; O - office_
_M - million, K- thousand_
_S - studio, R - shop_
_*Max 30 latest transactions_
www.trydatabot.com</t>
  </si>
  <si>
    <t>1016150, by code - other areas, *BUILDI</t>
  </si>
  <si>
    <t xml:space="preserve">*BUILDING*
*PROFILE*
*VIDA DUBAI MALL T2*
_Area: Downtown_
_Tap&amp;hold to copy a reply_
```-------------------------```
```Report              Reply```
```-------------------------```
*1 B/R*
```Resell, ROI       1016104```
```Primary sales     1016152```
```Price chart       1016105```
```Rentals           1016106```
```Appreciation      1016107```
*2 B/R*
```Resell, ROI       1016108```
```Primary sales     1016153```
```Price chart       1016109```
```Rentals           1016110```
```Appreciation      1016111```
*3 B/R*
```Resell, ROI       1016112```
```Primary sales     1016154```
```Price chart       1016113```
```Rentals           1016114```
```Appreciation      1016115```
*All types/bedrooms*
```Resell, ROI       1016149```
```Primary sales     1016163```
```Rentals           1016148```
</t>
  </si>
  <si>
    <t>1016152, *SALES*</t>
  </si>
  <si>
    <t>*SALES*
*TRANSACTIONS (PRIMARY)**
*VIDA DUBAI MALL T2*
_Area: Downtown_
_Type: 1 bedroom apartment_
```Date   Price  BUA Type P/sf```
```------------2022-----------```
```31May 1.765M  775 XX08 2277```
```24Jan 1.608M  805 XX07 1997```
```------------2021-----------```
```05Aug 1.725M  775 XX08 2226```
```27Jul 1.754M  775 XX08 2263```
```------------2020-----------```
```23Feb 1.502M  805 XX07 1866```
```------------2019-----------```
```30Jul  1.61M  775 XX08 2077```
```------------2018-----------```
```26Nov 1.543M  776 XX08 1988```
```01Aug  1.48M  805 XX07 1838```
```15May 1.529M  805 XX07 1899```
```10Jan 1.607M  775 XX08 2073```
```07Jan 1.513M  805 XX07 1879```
```07Jan 1.592M  775 XX08 2054```
_Source: DLD, Databot_
_BUA - built-up area, sq.ft._
_P/sf - price per sq.ft._
_B - bedrooms; O - office_
_M - million, K- thousand_
_S - studio, R - shop_
_*Max 20 latest transactions_
www.trydatabot.com</t>
  </si>
  <si>
    <t>1016153, *SALES*</t>
  </si>
  <si>
    <t>*SALES*
*TRANSACTIONS (PRIMARY)**
*VIDA DUBAI MALL T2*
_Area: Downtown_
_Type: 2 bedroom apartment_
```Date   Price  BUA Type P/sf```
```------------2022-----------```
```06Jun 2.406M 1137 XX06 2116```
```27Apr 2.711M 1083 XX05 2503```
```27Apr 2.671M  999 XX04 2674```
```20Apr 2.103M 1137 XX06 1850```
```18Apr 2.564M 1099 XX04 2333```
```04Jan 2.645M  999 XX04 2648```
```------------2021-----------```
```22Dec 2.197M 1049 XX01 2094```
```09Dec 2.858M 1208 XX03 2366```
```29Nov 2.184M 1208 XX03 1808```
```07Nov 2.584M 1170 XX03 2208```
```07Nov 2.415M 1137 XX06 2124```
```23May 2.143M 1137 XX06 1885```
```------------2020-----------```
```30Sep 2.413M 1083 XX05 2228```
```08Sep 2.151M 1137 XX06 1892```
```01Jul 1.953M 1049 XX01 1862```
```20Apr 1.916M 1049 XX01 1826```
```15Mar 2.684M 1208 XX03 2222```
```------------2019-----------```
```23Jul 2.192M 1137 XX06 1928```
```10Jul 2.422M 1083 XX05 2236```
```01Jul 1.993M 1049 XX01 1900```
_Source: DLD, Databot_
_BUA - built-up area, sq.ft._
_P/sf - price per sq.ft._
_B - bedrooms; O - office_
_M - million, K- thousand_
_S - studio, R - shop_
_*Max 20 latest transactions_
www.trydatabot.com</t>
  </si>
  <si>
    <t>1016154, *SALES*</t>
  </si>
  <si>
    <t>*SALES*
*TRANSACTIONS (PRIMARY)**
*VIDA DUBAI MALL T2*
_Area: Downtown_
_Type: 3 bedroom apartment_
```Date   Price  BUA Type P/sf```
```------------2023-----------```
```14Aug 4.283M 1399 XX05 3061```
```------------2022-----------```
```03Jan 4.221M 1971 XX02 2142```
```------------2021-----------```
```31Mar 3.237M 1544 XX02 2096```
```30Mar 4.657M 1971 XX02 2363```
```------------2019-----------```
```13Nov 3.276M 1544 XX02 2122```
```06Oct 4.475M 1971 XX02 2270```
```26May 4.288M 1971 XX02 2175```
```09May 4.365M 1971 XX02 2215```
```10Mar 4.273M 1971 XX02 2168```
```03Mar 4.242M 1971 XX02 2152```
```25Feb 4.412M 1971 XX02 2238```
```06Feb  3.05M 1399 XX05 2180```
```28Jan  3.29M 1544 XX02 2131```
```28Jan  3.25M 1544 XX02 2105```
```08Jan 4.334M 1971 XX02 2199```
```------------2018-----------```
```25Dec 4.397M 1971 XX02 2231```
```12Dec 4.257M 1971 XX02 2160```
```11Dec  4.35M 1971 XX02 2207```
```25Oct 3.237M 1544 XX02 2096```
```14Oct 3.211M 1544 XX02 2080```
_Source: DLD, Databot_
_BUA - built-up area, sq.ft._
_P/sf - price per sq.ft._
_B - bedrooms; O - office_
_M - million, K- thousand_
_S - studio, R - shop_
_*Max 20 latest transactions_
www.trydatabot.com</t>
  </si>
  <si>
    <t>1016163, *SALES*</t>
  </si>
  <si>
    <t>*SALES*
*TRANSACTIONS (PRIMARY)**
*VIDA DUBAI MALL T2*
_Area: Downtown_
_All types/bedrooms_
```Date    Price   BUA  Type B```
```------------2023-----------```
```14Aug  4.283M  1399  XX05 3```
```------------2022-----------```
```06Jun  2.406M  1137  XX06 2```
```31May  1.765M   775  XX08 1```
```27Apr  2.711M  1083  XX05 2```
```27Apr  2.671M   999  XX04 2```
```20Apr  2.103M  1137  XX06 2```
```18Apr  2.564M  1099  XX04 2```
```24Jan  1.608M   805  XX07 1```
```04Jan  2.645M   999  XX04 2```
```03Jan  4.221M  1971  XX02 3```
```------------2021-----------```
```22Dec  2.197M  1049  XX01 2```
```09Dec  2.858M  1208  XX03 2```
```29Nov  2.184M  1208  XX03 2```
```07Nov  2.584M  1170  XX03 2```
```07Nov  2.415M  1137  XX06 2```
```05Aug  1.725M   775  XX08 1```
```27Jul  1.754M   775  XX08 1```
```23May  2.143M  1137  XX06 2```
```31Mar  3.237M  1544  XX02 3```
```30Mar  4.657M  1971  XX02 3```
_Source: DLD, Databot_
_BUA - built-up area, sq.ft._
_P/sf - price per sq.ft._
_B - bedrooms; O - office_
_M - million, K- thousand_
_S - studio, R - shop_
_*Max 20 latest transactions_
www.trydatabot.com</t>
  </si>
  <si>
    <t>1016168, *SALES*</t>
  </si>
  <si>
    <t>*SALES*
*TRANSACTIONS (RESALE)**
*VIDA RESIDENCE DOWNTOWN*
_Area: Downtown_
_Type: 1 bedroom apartment_
_Gross ROI=6.13%_
_Median annual rent=147K_
```Date   Price  BUA Type P/sf```
```------------2025-----------```
```19Dec  2.35M  752 XX06 3125```
```26Nov   2.4M  767 XX07 3129```
```10Nov   2.4M  752 XX06 3191```
```06Nov  2.45M  774 XX05 3165```
```13Oct   2.4M  767 XX07 3129```
```15Sep  2.42M  774 XX05 3127```
```26Aug  2.36M  731 XX06 3228```
```25Jul  2.35M  774 XX05 3036```
```19Jun   2.3M  767 XX07 2999```
```16Jun  2.25M  767 XX07 2934```
```25Apr   2.5M  731 XX06 3420```
```24Feb 2.525M  731 XX06 3454```
```06Feb  2.25M  731 XX06 3078```
```04Feb 2.323M  731 XX06 3178```
```15Jan  2.36M  774 XX05 3049```
```------------2024-----------```
```17Oct   1.9M  767 XX07 2477```
```16Oct  2.25M  767 XX07 2934```
```15Oct  1.54M  774 XX05 1990```
```30Aug  2.35M  731 XX06 3215```
```05Aug   2.6M  767 XX07 3390```
```29Jul  2.45M  731 XX06 3352```
```08Jul   2.4M  774 XX05 3101```
```22Apr   2.3M  731 XX06 3146```
```03Apr 2.325M  731 XX06 3181```
```20Mar   800K  774 XX05 1034```
```06Mar   2.2M  731 XX06 3010```
```26Feb     2M  731 XX06 2736```
```12Jan  2.26M  752 XX06 3005```
```04Jan 2.305M  754 XX03 3057```
```------------2023-----------```
```28Dec  2.35M  767 XX07 3064```
_Source: DLD, Databot_
_BUA - built-up area, sq.ft._
_P/sf - price per sq.ft._
_B - bedrooms; O - office_
_M - million, K- thousand_
_S - studio, R - shop_
_*Max 30 latest transactions_
www.trydatabot.com</t>
  </si>
  <si>
    <t>Vida Residence Downtown</t>
  </si>
  <si>
    <t>1016169, *MARKET</t>
  </si>
  <si>
    <t>*MARKET*
*SNAPSHOT*
*VIDA RESIDENCE DOWNTOWN*
_Area: Downtown_
_Type: 1 bedroom apartment_
*Price dynamics, Dirham/sq.ft.*
_(M - median value)_
```3454|  *       **          ```
```    | *                    ```
```3128|---------------------M```
```    |*  *    *      *******```
```    |       * *   **       ```
```    |     *      *         ```
```    |                      ```
```    |                      ```
```    |      *               ```
```    |                      ```
```1990|    *                 ```
```____|______________________```
```    |Jul2024        Dec2025```
_Source: see table below_
*Latest sales transactions*
```Date   Price  BUA Type P/sf```
```------------2025-----------```
```19Dec  2.35M  752 XX06 3125```
```26Nov   2.4M  767 XX07 3129```
```10Nov   2.4M  752 XX06 3191```
```06Nov  2.45M  774 XX05 3165```
```13Oct   2.4M  767 XX07 3129```
```15Sep  2.42M  774 XX05 3127```
```26Aug  2.36M  731 XX06 3228```
```25Jul  2.35M  774 XX05 3036```
```19Jun   2.3M  767 XX07 2999```
```16Jun  2.25M  767 XX07 2934```
```25Apr   2.5M  731 XX06 3420```
```24Feb 2.525M  731 XX06 3454```
```06Feb  2.25M  731 XX06 3078```
```04Feb 2.323M  731 XX06 3178```
```15Jan  2.36M  774 XX05 3049```
```------------2024-----------```
```17Oct   1.9M  767 XX07 2477```
```16Oct  2.25M  767 XX07 2934```
```15Oct  1.54M  774 XX05 1990```
```30Aug  2.35M  731 XX06 3215```
```05Aug   2.6M  767 XX07 3390```
```29Jul  2.45M  731 XX06 3352```
```08Jul   2.4M  774 XX05 3101```
```22Apr   2.3M  731 XX06 3146```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</si>
  <si>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1016170, *NEW RE</t>
  </si>
  <si>
    <t>*NEW RENT*
*CONTRACTS**
_(renewals are not included)_
*VIDA RESIDENCE DOWNTOWN*
_Area: Downtown_
_Type: 1 bedroom apartment_
```Date  Price   BUA  Type D/s```
```------------2026-----------```
```13Jan  150K   753  XXXX 199```
```------------2025-----------```
```20Nov  165K   732  XXXX 225```
```01Oct  150K   764  XXXX 196```
```25Sep  140K   732  XXXX 191```
```25Aug  135K   753  XXXX 179```
```22Aug  140K   764  XXXX 183```
```21Aug  137K   764  XXXX 179```
```10Aug  133K   732  XXXX 182```
```06Aug  155K   775  XXXX 200```
```20Jul  139K   732  XXXX 190```
```20Jul  200K   732  XXXX 273```
```18Jul  130K   764  XXXX 170```
```28Jun  150K   764  XXXX 196```
```20Jun  150K   775  XXXX 194```
```10Jun  152K   775  XXXX 196```
```27May  120K   732  XXXX 164```
```24May  144K   732  XXXX 197```
```10May  170K   753  XXXX 226```
```02May  160K   753  XXXX 212```
```20Apr  140K   775  XXXX 181```
_Source: DLD, Databot_
_BUA - built-up area, sq.ft._
_P/sf - price per sq.ft._
_B - bedrooms; O - office_
_M - million, K- thousand_
_S - studio, R - shop_
_*20 latest contracts_
www.trydatabot.com</t>
  </si>
  <si>
    <t>1016171, *RESELL</t>
  </si>
  <si>
    <t>*RESELL*
*VS PRIMARY*
*VIDA RESIDENCE DOWNTOWN*
_Area: Downtown_
_Type: 1 bedroom apartment_
*Price dynamics, Dirham/sq.ft.*
_(x - primary; * - resell)_
```3869|          x           ```
```    |                      ```
```    |                      ```
```    |                      ```
```3493|                      ```
```    |           *          ```
```    |                      ```
```    |               *  **  ```
```    |              * **  **```
```2934|            **        ```
```____|______________________```
```    |Dec1899        Dec2025```
_Source: see a table below_
*Latest resell transactions*
```Date   Price  BUA Type P/sf```
```------------2025-----------```
```19Dec  2.35M  752 XX06 3125```
```26Nov   2.4M  767 XX07 3129```
```10Nov   2.4M  752 XX06 3191```
```06Nov  2.45M  774 XX05 3165```
```13Oct   2.4M  767 XX07 3129```
```15Sep  2.42M  774 XX05 3127```
```26Aug  2.36M  731 XX06 3228```
```25Jul  2.35M  774 XX05 3036```
```19Jun   2.3M  767 XX07 2999```
```16Jun  2.25M  767 XX07 2934```
```25Apr   2.5M  731 XX06 3420```
```24Feb 2.525M  731 XX06 3454```
```06Feb  2.25M  731 XX06 3078```
```04Feb 2.323M  731 XX06 3178```
```15Jan  2.36M  774 XX05 3049```
```------------2024-----------```
```17Oct   1.9M  767 XX07 2477```
```16Oct  2.25M  767 XX07 2934```
*Latest primary transactions*
```------------2025-----------```
```03Feb 2.828M  731 XX06 3869```</t>
  </si>
  <si>
    <t>1016172, *SALES*</t>
  </si>
  <si>
    <t>*SALES*
*TRANSACTIONS (RESALE)**
*VIDA RESIDENCE DOWNTOWN*
_Area: Downtown_
_Type: 2 bedroom apartment_
_Gross ROI=5.99%_
_Median annual rent=260K_
```Date   Price  BUA Type P/sf```
```------------2026-----------```
```13Jan   4.6M 1641 XX04 2803```
```05Jan   4.5M 1386 XX01 3247```
```------------2025-----------```
```25Dec   4.5M 1389 XX03 3240```
```13Nov   7.5M 1641 XX04 4570```
```05Nov   4.7M 1386 XX01 3391```
```20Oct  4.85M 1386 XX01 3499```
```06Oct   3.7M 1372 XX08 2697```
```02Oct  4.15M 1389 XX03 2988```
```25Sep   4.7M 1641 XX04 2864```
```15Sep  4.03M 1372 XX08 2937```
```21Aug  4.66M 1372 XX04 3397```
```13Aug  4.74M 1372 XX08 3455```
```08May  4.55M 1641 XX04 2773```
```22Apr   4.3M 1372 XX04 3134```
```24Mar     5M 1640 XX08 3049```
```27Feb   4.3M 1372 XX04 3134```
```25Feb   4.7M 1641 XX04 2864```
```05Feb     4M 1389 XX03 2880```
```30Jan   4.2M 1372 XX04 3061```
```28Jan  4.85M 1386 XX01 3499```
```16Jan   4.9M 1641 XX04 2986```
```14Jan   4.6M 1640 XX08 2805```
```------------2024-----------```
```19Nov   4.3M 1372 XX08 3134```
```08Nov   4.6M 1640 XX08 2805```
```09Oct  3.35M 1389 XX03 2412```
```14Aug   4.4M 1640 XX08 2683```
```01Aug  4.85M 1641 XX04 2956```
```12Jul   4.7M 1640 XX08 2866```
```12Jun 3.259M 1386 XX01 2351```
```01May     4M 1386 XX01 2886```
_Source: DLD, Databot_
_BUA - built-up area, sq.ft._
_P/sf - price per sq.ft._
_B - bedrooms; O - office_
_M - million, K- thousand_
_S - studio, R - shop_
_*Max 30 latest transactions_
www.trydatabot.com</t>
  </si>
  <si>
    <t>1016173, *MARKET</t>
  </si>
  <si>
    <t>*MARKET*
*SNAPSHOT*
*VIDA RESIDENCE DOWNTOWN*
_Area: Downtown_
_Type: 2 bedroom apartment_
*Price dynamics, Dirham/sq.ft.*
_(M - median value)_
```4570|                  *   ```
```    |                      ```
```    |                      ```
```    |                      ```
```    |                      ```
```    |                      ```
```    |  *       **    **    ```
```    |                   ** ```
```3055|---------------------M```
```    | * *  ***   * *       ```
```2697|*   **   *   * *     *```
```____|______________________```
```    |Jan2025        Jan2026```
_Source: see table below_
*Latest sales transactions*
```Date   Price  BUA Type P/sf```
```------------2026-----------```
```13Jan   4.6M 1641 XX04 2803```
```05Jan   4.5M 1386 XX01 3247```
```------------2025-----------```
```25Dec   4.5M 1389 XX03 3240```
```13Nov   7.5M 1641 XX04 4570```
```05Nov   4.7M 1386 XX01 3391```
```20Oct  4.85M 1386 XX01 3499```
```06Oct   3.7M 1372 XX08 2697```
```02Oct  4.15M 1389 XX03 2988```
```25Sep   4.7M 1641 XX04 2864```
```15Sep  4.03M 1372 XX08 2937```
```21Aug  4.66M 1372 XX04 3397```
```13Aug  4.74M 1372 XX08 3455```
```08May  4.55M 1641 XX04 2773```
```22Apr   4.3M 1372 XX04 3134```
```24Mar     5M 1640 XX08 3049```
```27Feb   4.3M 1372 XX04 3134```
```25Feb   4.7M 1641 XX04 2864```
```05Feb     4M 1389 XX03 2880```
```30Jan   4.2M 1372 XX04 3061```
```28Jan  4.85M 1386 XX01 3499```
```16Jan   4.9M 1641 XX04 2986```
```14Jan   4.6M 1640 XX08 2805```
```------------2024-----------```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</si>
  <si>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1016174, *NEW RE</t>
  </si>
  <si>
    <t>*NEW RENT*
*CONTRACTS**
_(renewals are not included)_
*VIDA RESIDENCE DOWNTOWN*
_Area: Downtown_
_Type: 2 bedroom apartment_
```Date  Price   BUA  Type D/s```
```------------2025-----------```
```21Nov  270K  1389  XXXX 194```
```15Oct  245K  1389  XXXX 176```
```12Sep  260K  1389  XXXX 187```
```12Sep  260K  1389  XXXX 187```
```12Sep  260K  1389  XXXX 187```
```26Aug  250K  1389  XXXX 180```
```15Aug  265K  1389  XXXX 191```
```01Aug  295K  1389  XXXX 212```
```03Jul  290K  1636  XXXX 177```
```25Jun  250K  1367  XXXX 183```
```12Jun  270K  1389  XXXX 194```
```01Jun  274K  1389  XXXX 197```
```07May  220K  1475  XXXX 149```
```01May  240K  1389  XXXX 173```
```27Apr  260K  1389  XXXX 187```
```10Apr  250K  1367  XXXX 183```
```01Apr  270K  1389  XXXX 194```
```27Mar  265K  1389  XXXX 191```
```20Mar  260K  1367  XXXX 190```
```01Mar  300K  1636  XXXX 183```
_Source: DLD, Databot_
_BUA - built-up area, sq.ft._
_P/sf - price per sq.ft._
_B - bedrooms; O - office_
_M - million, K- thousand_
_S - studio, R - shop_
_*20 latest contracts_
www.trydatabot.com</t>
  </si>
  <si>
    <t>1016175, *RESELL</t>
  </si>
  <si>
    <t>*RESELL*
*VS PRIMARY*
*VIDA RESIDENCE DOWNTOWN*
_Area: Downtown_
_Type: 2 bedroom apartment_
*Price dynamics, Dirham/sq.ft.*
_(x - primary; * - resell)_
```4570|                  *   ```
```    |                      ```
```    |                      ```
```    |                      ```
```3670|                      ```
```    |           *    **    ```
```    |                   ** ```
```    |            * *       ```
```    |             * *     *```
```2321|          x           ```
```____|______________________```
```    |Dec1899        Jan2026```
_Source: see a table below_
*Latest resell transactions*
```Date   Price  BUA Type P/sf```
```------------2026-----------```
```13Jan   4.6M 1641 XX04 2803```
```05Jan   4.5M 1386 XX01 3247```
```------------2025-----------```
```25Dec   4.5M 1389 XX03 3240```
```13Nov   7.5M 1641 XX04 4570```
```05Nov   4.7M 1386 XX01 3391```
```20Oct  4.85M 1386 XX01 3499```
```06Oct   3.7M 1372 XX08 2697```
```02Oct  4.15M 1389 XX03 2988```
```25Sep   4.7M 1641 XX04 2864```
```15Sep  4.03M 1372 XX08 2937```
```21Aug  4.66M 1372 XX04 3397```
```13Aug  4.74M 1372 XX08 3455```
```08May  4.55M 1641 XX04 2773```
```22Apr   4.3M 1372 XX04 3134```
```24Mar     5M 1640 XX08 3049```
```27Feb   4.3M 1372 XX04 3134```
```25Feb   4.7M 1641 XX04 2864```
*Latest primary transactions*
```------------2024-----------```
```01Jul 5.054M 2177 XX04 2321```</t>
  </si>
  <si>
    <t>1016176, *SALES*</t>
  </si>
  <si>
    <t>*SALES*
*TRANSACTIONS (RESALE)**
*VIDA RESIDENCE DOWNTOWN*
_Area: Downtown_
_Type: 3 bedroom apartment_
_Gross ROI=6.25%_
_Median annual rent=420K_
```Date   Price  BUA Type P/sf```
```------------2026-----------```
```22Jan  6.15M 2012 XX02 3057```
```08Jan   7.6M 2012 XX02 3777```
```------------2025-----------```
```22Dec   7.5M 2014 XX02 3724```
```01Oct     8M 2316 XX04 3454```
```25Sep  6.75M 2012 XX02 3355```
```10Sep     6M 2012 XX02 2982```
```29Aug   5.7M 2012 XX02 2833```
```17Jun     7M 1981 XX03 3534```
```11Jun   5.5M 2012 XX02 2734```
```03Jun   6.7M 2012 XX02 3330```
```28Feb 7.575M 2014 XX02 3761```
```20Feb   5.5M 1979 XX01 2779```
```15Jan     6M 2012 XX02 2982```
```------------2024-----------```
```14Oct   5.3M 2012 XX02 2634```
```10Oct     5M 2014 XX02 2483```
```21Aug   6.5M 1981 XX03 3281```
```08Jul   5.1M 2012 XX02 2535```
```23May   8.2M 2014 XX02 4071```
```07May   6.3M 1979 XX01 3183```
```21Mar     5M 2012 XX02 2485```
```18Mar  6.35M 1981 XX03 3205```
```23Feb 7.076M 1981 XX03 3572```
```31Jan   5.9M 2012 XX02 2932```
```15Jan     8M 2014 XX02 3972```
```------------2023-----------```
```20Dec  7.45M 2012 XX02 3703```
```01Dec   5.5M 1981 XX03 2776```
```30Nov   6.3M 2012 XX02 3131```
```21Nov  7.14M 1981 XX03 3604```
```18Sep   6.2M 1979 XX01 3133```
```11Sep     6M 2012 XX02 2982```
_Source: DLD, Databot_
_BUA - built-up area, sq.ft._
_P/sf - price per sq.ft._
_B - bedrooms; O - office_
_M - million, K- thousand_
_S - studio, R - shop_
_*Max 30 latest transactions_
www.trydatabot.com</t>
  </si>
  <si>
    <t>1016177, *MARKET</t>
  </si>
  <si>
    <t>*MARKET*
*SNAPSHOT*
*VIDA RESIDENCE DOWNTOWN*
_Area: Downtown_
_Type: 3 bedroom apartment_
*Price dynamics, Dirham/sq.ft.*
_(M - median value)_
```4071|    *                 ```
```    |                      ```
```    |           *       ** ```
```    |*             *       ```
```    |                  *   ```
```    | *    *     *    *    ```
```3194|---------------------M```
```    |   *                 *```
```    |         *      *     ```
```    |          *  * *      ```
```2483|  *  * **             ```
```____|______________________```
```    |Feb2024        Jan2026```
_Source: see table below_
*Latest sales transactions*
```Date   Price  BUA Type P/sf```
```------------2026-----------```
```22Jan  6.15M 2012 XX02 3057```
```08Jan   7.6M 2012 XX02 3777```
```------------2025-----------```
```22Dec   7.5M 2014 XX02 3724```
```01Oct     8M 2316 XX04 3454```
```25Sep  6.75M 2012 XX02 3355```
```10Sep     6M 2012 XX02 2982```
```29Aug   5.7M 2012 XX02 2833```
```17Jun     7M 1981 XX03 3534```
```11Jun   5.5M 2012 XX02 2734```
```03Jun   6.7M 2012 XX02 3330```
```28Feb 7.575M 2014 XX02 3761```
```20Feb   5.5M 1979 XX01 2779```
```15Jan     6M 2012 XX02 2982```
```------------2024-----------```
```14Oct   5.3M 2012 XX02 2634```
```10Oct     5M 2014 XX02 2483```
```21Aug   6.5M 1981 XX03 3281```
```08Jul   5.1M 2012 XX02 2535```
```23May   8.2M 2014 XX02 4071```
```07May   6.3M 1979 XX01 3183```
```21Mar     5M 2012 XX02 2485```
```18Mar  6.35M 1981 XX03 3205```
```23Feb 7.076M 1981 XX03 3572```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</si>
  <si>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1016178, *NEW RE</t>
  </si>
  <si>
    <t>*NEW RENT*
*CONTRACTS**
_(renewals are not included)_
*VIDA RESIDENCE DOWNTOWN*
_Area: Downtown_
_Type: 3 bedroom apartment_
```Date  Price   BUA  Type D/s```
```------------2026-----------```
```06Jan  368K  1981  XXXX 186```
```------------2025-----------```
```29Dec  400K  2013  XXXX 199```
```03Jun  445K  2013  XXXX 221```
```23May  485K  2013  XXXX 241```
```17May  380K  2013  XXXX 189```
```17Apr  400K  1981  XXXX 202```
```15Apr  460K  2013  XXXX 229```
```29Jan  460K  2013  XXXX 229```
```06Jan  350K  1981  XXXX 177```
```------------2024-----------```
```11Dec  430K  2013  XXXX 214```
```01Nov  385K  2013  XXXX 191```
```28Oct  500K  2228  XXXX 224```
```23Oct  420K  1981  XXXX 212```
```28Sep  395K  1981  XXXX 199```
```30Aug  415K  1981  XXXX 209```
```20Aug  420K  2314  XXXX 182```
```23Jul  390K  2013  XXXX 194```
```20May  483K  2228  XXXX 217```
```15Apr  460K  2013  XXXX 229```
```15Mar  440K  1981  XXXX 222```
_Source: DLD, Databot_
_BUA - built-up area, sq.ft._
_P/sf - price per sq.ft._
_B - bedrooms; O - office_
_M - million, K- thousand_
_S - studio, R - shop_
_*20 latest contracts_
www.trydatabot.com</t>
  </si>
  <si>
    <t>1016179, *RESELL</t>
  </si>
  <si>
    <t>*RESELL*
*VS PRIMARY*
*VIDA RESIDENCE DOWNTOWN*
_Area: Downtown_
_Type: 3 bedroom apartment_
*Price dynamics, Dirham/sq.ft.*
_(x - primary; * - resell)_
```3937|          x           ```
```    |           *        * ```
```    |                   *  ```
```    |              *       ```
```3457|                  *   ```
```    |            *    *    ```
```    |                      ```
```    |                     *```
```    |                *     ```
```2734|             * *      ```
```____|______________________```
```    |Dec1899        Jan2026```
_Source: see a table below_
*Latest resell transactions*
```Date   Price  BUA Type P/sf```
```------------2026-----------```
```22Jan  6.15M 2012 XX02 3057```
```08Jan   7.6M 2012 XX02 3777```
```------------2025-----------```
```22Dec   7.5M 2014 XX02 3724```
```01Oct     8M 2316 XX04 3454```
```25Sep  6.75M 2012 XX02 3355```
```10Sep     6M 2012 XX02 2982```
```29Aug   5.7M 2012 XX02 2833```
```17Jun     7M 1981 XX03 3534```
```11Jun   5.5M 2012 XX02 2734```
```03Jun   6.7M 2012 XX02 3330```
```28Feb 7.575M 2014 XX02 3761```
```20Feb   5.5M 1979 XX01 2779```
```15Jan     6M 2012 XX02 2982```
```------------2024-----------```
```14Oct   5.3M 2012 XX02 2634```
```10Oct     5M 2014 XX02 2483```
```21Aug   6.5M 1981 XX03 3281```
*Latest primary transactions*
```------------2025-----------```
```01Aug 7.791M 1979 XX01 3937```</t>
  </si>
  <si>
    <t>1016180, *SALES*</t>
  </si>
  <si>
    <t>*SALES*
*TRANSACTIONS**
*VIDA RESIDENCE DOWNTOWN*
_Area: Downtown_
_Type: 4 bedroom apartment_
```Date   Price  BUA Type P/sf```
```------------2025-----------```
```30Dec  12.5M 2800 XX01 4464```
```04Sep   9.8M 2807 XX03 3491```
```07Aug  10.3M 2812 XX03 3663```
```------------2024-----------```
```25Dec    20M 4011 XX02 4986```
```------------2023-----------```
```24Aug 11.44M 2795 XX01 4091```
```05Jan   9.5M 3691 XX03 2574```
```------------2022-----------```
```25May    11M 2800 XX01 3929```
```02Feb     8M 3678 XX01 2175```
```------------2021-----------```
```14Nov 10.58M 2795 XX01 3786```
```19Sep 10.28M 2795 XX01 3678```
```27Jul  10.4M 2800 XX01 3714```
```25May   6.8M 2800 XX01 2429```
```07Jan  10.7M 4011 XX02 2668```
```------------2020-----------```
```31May   6.4M 3678 XX01 1740```
_Source: DLD, Databot_
_BUA - built-up area, sq.ft._
_P/sf - price per sq.ft._
_B - bedrooms; O - office_
_M - million, K- thousand_
_S - studio, R - shop_
_*Max 30 latest transactions_
www.trydatabot.com</t>
  </si>
  <si>
    <t>1016181, *MARKET</t>
  </si>
  <si>
    <t>*MARKET*
*SNAPSHOT*
*VIDA RESIDENCE DOWNTOWN*
_Area: Downtown_
_Type: 4 bedroom apartment_
*Price dynamics, Dirham/sq.ft.*
_(M - median value)_
```4986|                  *   ```
```    |                      ```
```    |                     *```
```    |               * *    ```
```3671|---------------------M```
```    |           ***     *  ```
```    |                    * ```
```    |                      ```
```    |         *      *     ```
```    |          *   *       ```
```1740|        *             ```
```____|______________________```
```    |May2020        Dec2025```
_Source: see table below_
*Latest sales transactions*
```Date   Price  BUA Type P/sf```
```------------2025-----------```
```30Dec  12.5M 2800 XX01 4464```
```04Sep   9.8M 2807 XX03 3491```
```07Aug  10.3M 2812 XX03 3663```
```------------2024-----------```
```25Dec    20M 4011 XX02 4986```
```------------2023-----------```
```24Aug 11.44M 2795 XX01 4091```
```05Jan   9.5M 3691 XX03 2574```
```------------2022-----------```
```25May    11M 2800 XX01 3929```
```02Feb     8M 3678 XX01 2175```
```------------2021-----------```
```14Nov 10.58M 2795 XX01 3786```
```19Sep 10.28M 2795 XX01 3678```
```27Jul  10.4M 2800 XX01 3714```
```25May   6.8M 2800 XX01 2429```
```07Jan  10.7M 4011 XX02 2668```
```------------2020-----------```
```31May   6.4M 3678 XX01 1740```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</si>
  <si>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1016182, *NEW RE</t>
  </si>
  <si>
    <t>*NEW RENT*
*CONTRACTS**
_(renewals are not included)_
*VIDA RESIDENCE DOWNTOWN*
_Area: Downtown_
_Type: 4 bedroom apartment_
```Date  Price   BUA  Type D/s```
```------------2025-----------```
```14Sep  589K  2799  XXXX 210```
```20Jan  600K  2799  XXXX 214```
```------------2024-----------```
```25Aug  600K  2799  XXXX 214```
```25Apr  200K  3993  XXXX  50```
```10Feb  750K  2809  XXXX 267```
```------------2023-----------```
```01Sep  690K  2799  XXXX 247```
```01Jun  365K  3692  XXXX  99```
```------------2022-----------```
```17Oct  800K  2799  XXXX 286```
```01Jun  365K  3692  XXXX  99```
```27Jan  550K  2809  XXXX 196```
```------------2021-----------```
```22Aug  120K  3993  XXXX  30```
```04Apr  250K  3681  XXXX  68```
```27Jan  550K  2809  XXXX 196```
```------------2020-----------```
```27Dec  380K  2799  XXXX 136```
```20Oct  300K  2799  XXXX 107```
```01Jun  365K  3692  XXXX  99```
_Source: DLD, Databot_
_BUA - built-up area, sq.ft._
_P/sf - price per sq.ft._
_B - bedrooms; O - office_
_M - million, K- thousand_
_S - studio, R - shop_
_*20 latest contracts_
www.trydatabot.com</t>
  </si>
  <si>
    <t>1016184, *SALES*</t>
  </si>
  <si>
    <t>*SALES*
*TRANSACTIONS**
*VIDA RESIDENCE DOWNTOWN*
_Area: Downtown_
_Type: 5 bedroom apartment_
```Date   Price  BUA Type P/sf```
```------------2023-----------```
```17Apr    24M 6699 XX01 3583```
```------------2022-----------```
```27Jul  19.5M 5053 XX02 3859```
```------------2021-----------```
```08Jul    18M 6699 XXXX 2687```
```27May 26.88M 6699 XXXX 4012```
_Source: DLD, Databot_
_BUA - built-up area, sq.ft._
_P/sf - price per sq.ft._
_B - bedrooms; O - office_
_M - million, K- thousand_
_S - studio, R - shop_
_*Max 30 latest transactions_
www.trydatabot.com</t>
  </si>
  <si>
    <t>1016185, *MARKET</t>
  </si>
  <si>
    <t>*MARKET*
*SNAPSHOT*
*VIDA RESIDENCE DOWNTOWN*
_Area: Downtown_
_Type: 5 bedroom apartment_
*Price dynamics, Dirham/sq.ft.*
_(M - median value)_
```4012|                  *   ```
```    |                    * ```
```3721|---------------------M```
```    |                      ```
```    |                     *```
```    |                      ```
```    |                      ```
```    |                      ```
```    |                      ```
```    |                      ```
```2687|                   *  ```
```____|______________________```
```    |May2021        Apr2023```
_Source: see table below_
*Latest sales transactions*
```Date   Price  BUA Type P/sf```
```------------2023-----------```
```17Apr    24M 6699 XX01 3583```
```------------2022-----------```
```27Jul  19.5M 5053 XX02 3859```
```------------2021-----------```
```08Jul    18M 6699 XXXX 2687```
```27May 26.88M 6699 XXXX 4012```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</si>
  <si>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1016186, *NEW RE</t>
  </si>
  <si>
    <t>*NEW RENT*
*CONTRACTS**
_(renewals are not included)_
*VIDA RESIDENCE DOWNTOWN*
_Area: Downtown_
_Type: 5 bedroom apartment_
```Date  Price   BUA  Type D/s```
```------------2025-----------```
```01Mar 1.25M  5360  XXXX 233```
```------------2023-----------```
```10Dec 1.45M  5360  XXXX 271```
```------------2022-----------```
```20Oct 1.35M  5360  XXXX 252```
```------------2021-----------```
```10Oct  775K  5360  XXXX 145```
```01Sep  750K  5048  XXXX 149```
```30Jul    2M  6695  XXXX 299```
```------------2020-----------```
```01Oct  700K  5360  XXXX 131```
_Source: DLD, Databot_
_BUA - built-up area, sq.ft._
_P/sf - price per sq.ft._
_B - bedrooms; O - office_
_M - million, K- thousand_
_S - studio, R - shop_
_*20 latest contracts_
www.trydatabot.com</t>
  </si>
  <si>
    <t>1016212, *NEW RE</t>
  </si>
  <si>
    <t>*NEW RENT*
*CONTRACTS**
_(renewals are not included)_
*VIDA RESIDENCE DOWNTOWN*
_Area: Downtown_
_All types/bedrooms_
```Date    Price   BUA Type  B```
```------------2026-----------```
```24Jan    320K  1636 XXXX  check```
```13Jan    150K   753 XXXX  1```
```06Jan  367.5K  1981 XXXX  3```
```------------2025-----------```
```29Dec    400K  2013 XXXX  3```
```27Dec    260K  1367 XXXX  check```
```21Nov    270K  1389 XXXX  2```
```20Nov    165K   732 XXXX  1```
```04Nov    152K   764 XXXX  check```
```15Oct    245K  1389 XXXX  2```
```01Oct    430K  2013 XXXX  check```
```01Oct    150K   764 XXXX  1```
```25Sep    140K   732 XXXX  1```
```14Sep  588.6K  2799 XXXX  4```
```12Sep    260K  1389 XXXX  2```
```12Sep    260K  1389 XXXX  2```
```12Sep    260K  1389 XXXX  2```
```26Aug    250K  1389 XXXX  2```
```25Aug    135K   753 XXXX  1```
```22Aug    140K   764 XXXX  1```
```21Aug  136.5K   764 XXXX  1```
_Source: DLD, Databot_
_BUA - built-up area, sq.ft._
_P/sf - price per sq.ft._
_B - bedrooms; O - office_
_M - million, K- thousand_
_S - studio, R - shop_
_*20 latest contracts_
www.trydatabot.com</t>
  </si>
  <si>
    <t>1016213, *SALES*</t>
  </si>
  <si>
    <t>*SALES*
*TRANSACTIONS (RESALE)**
*VIDA RESIDENCE DOWNTOWN*
_Area: Downtown_
_All types/bedrooms_
```Date    Price   BUA  Type B```
```------------2026-----------```
```22Jan   6.15M  2012  XX02 3```
```13Jan    4.6M  1641  XX04 2```
```08Jan    7.6M  2012  XX02 3```
```05Jan    4.5M  1386  XX01 2```
```------------2025-----------```
```30Dec   12.5M  2800  XX01 4```
```25Dec    4.5M  1389  XX03 2```
```22Dec    7.5M  2014  XX02 3```
```19Dec   2.35M   752  XX06 1```
```26Nov    2.4M   767  XX07 1```
```13Nov    7.5M  1641  XX04 2```
```10Nov    2.4M   752  XX06 1```
```06Nov   2.45M   774  XX05 1```
```05Nov    4.7M  1386  XX01 2```
```20Oct   4.85M  1386  XX01 2```
```13Oct    2.4M   767  XX07 1```
```06Oct    3.7M  1372  XX08 2```
```02Oct   4.15M  1389  XX03 2```
```01Oct      8M  2316  XX04 3```
```25Sep    4.7M  1641  XX04 2```
```25Sep   6.75M  2012  XX02 3```
```15Sep   4.03M  1372  XX08 2```
```15Sep   2.42M   774  XX05 1```
```10Sep      6M  2012  XX02 3```
```04Sep    9.8M  2807  XX03 4```
```29Aug    5.7M  2012  XX02 3```
```26Aug   2.36M   731  XX06 1```
```21Aug   4.66M  1372  XX04 2```
```13Aug   4.74M  1372  XX08 2```
```07Aug   10.3M  2812  XX03 4```
```25Jul   2.35M   774  XX05 1```
_Source: DLD, Databot_
_BUA - built-up area, sq.ft._
_P/sf - price per sq.ft._
_B - bedrooms; O - office_
_M - million, K- thousand_
_S - studio, R - shop_
_*Max 30 latest transactions_
www.trydatabot.com</t>
  </si>
  <si>
    <t>1016214, by code - other areas, *BUILDI</t>
  </si>
  <si>
    <t xml:space="preserve">*BUILDING*
*PROFILE*
*VIDA RESIDENCE DOWNTOWN*
_Area: Downtown_
_Tap&amp;hold to copy a reply_
```-------------------------```
```Report              Reply```
```-------------------------```
*1 B/R*
```Resell, ROI       1016168```
```Primary sales     1016216```
```Price chart       1016169```
```Rentals           1016170```
```Appreciation      1016171```
*2 B/R*
```Resell, ROI       1016172```
```Primary sales     1016217```
```Price chart       1016173```
```Rentals           1016174```
```Appreciation      1016175```
*3 B/R*
```Resell, ROI       1016176```
```Primary sales     1016218```
```Price chart       1016177```
```Rentals           1016178```
```Appreciation      1016179```
*4 B/R*
```Sales, ROI        1016180```
```Price chart       1016181```
```Rentals           1016182```
*5 B/R*
```Sales, ROI        1016184```
```Price chart       1016185```
```Rentals           1016186```
*All types/bedrooms*
```Resell, ROI       1016213```
```Primary sales     1016227```
```Rentals           1016212```
</t>
  </si>
  <si>
    <t>1016216, *SALES*</t>
  </si>
  <si>
    <t>*SALES*
*TRANSACTIONS (PRIMARY)**
*VIDA RESIDENCE DOWNTOWN*
_Area: Downtown_
_Type: 1 bedroom apartment_
```Date   Price  BUA Type P/sf```
```------------2025-----------```
```03Feb 2.828M  731 XX06 3869```
_Source: DLD, Databot_
_BUA - built-up area, sq.ft._
_P/sf - price per sq.ft._
_B - bedrooms; O - office_
_M - million, K- thousand_
_S - studio, R - shop_
_*Max 20 latest transactions_
www.trydatabot.com</t>
  </si>
  <si>
    <t>1016217, *SALES*</t>
  </si>
  <si>
    <t>*SALES*
*TRANSACTIONS (PRIMARY)**
*VIDA RESIDENCE DOWNTOWN*
_Area: Downtown_
_Type: 2 bedroom apartment_
```Date   Price  BUA Type P/sf```
```------------2024-----------```
```01Jul 5.054M 2177 XX04 2321```
_Source: DLD, Databot_
_BUA - built-up area, sq.ft._
_P/sf - price per sq.ft._
_B - bedrooms; O - office_
_M - million, K- thousand_
_S - studio, R - shop_
_*Max 20 latest transactions_
www.trydatabot.com</t>
  </si>
  <si>
    <t>1016218, *SALES*</t>
  </si>
  <si>
    <t>*SALES*
*TRANSACTIONS (PRIMARY)**
*VIDA RESIDENCE DOWNTOWN*
_Area: Downtown_
_Type: 3 bedroom apartment_
```Date   Price  BUA Type P/sf```
```------------2025-----------```
```01Aug 7.791M 1979 XX01 3937```
_Source: DLD, Databot_
_BUA - built-up area, sq.ft._
_P/sf - price per sq.ft._
_B - bedrooms; O - office_
_M - million, K- thousand_
_S - studio, R - shop_
_*Max 20 latest transactions_
www.trydatabot.com</t>
  </si>
  <si>
    <t>1016227, *SALES*</t>
  </si>
  <si>
    <t>*SALES*
*TRANSACTIONS (PRIMARY)**
*VIDA RESIDENCE DOWNTOWN*
_Area: Downtown_
_All types/bedrooms_
```Date    Price   BUA  Type B```
```------------2025-----------```
```01Aug  7.791M  1979  XX01 3```
```03Feb  2.828M   731  XX06 1```
```------------2024-----------```
```01Jul  5.054M  2177  XX04 2```
_Source: DLD, Databot_
_BUA - built-up area, sq.ft._
_P/sf - price per sq.ft._
_B - bedrooms; O - office_
_M - million, K- thousand_
_S - studio, R - shop_
_*Max 20 latest transactions_
www.trydatabot.com</t>
  </si>
  <si>
    <t>1016232, *SALES*</t>
  </si>
  <si>
    <t>*SALES*
*TRANSACTIONS (RESALE)**
*VOLTA TOWER*
_Area: Downtown_
_Type: 1 bedroom apartment_
```Date   Price  BUA Type P/sf```
```------------2025-----------```
```25Dec 2.021M  694 XXXX 2912```
```19Nov     2M  696 XXXX 2874```
```25Aug  1.74M  685 XXXX 2540```
```19Aug 1.693M  691 XX02 2450```
```16Apr  2.07M  688 XX03 3009```
```10Apr  1.75M  684 XXXX 2558```
```02Apr 1.739M  691 XX02 2516```
```------------2024-----------```
```20Dec  1.71M  701 XX07 2439```
```19Nov 1.693M  691 XX02 2450```
_Source: DLD, Databot_
_BUA - built-up area, sq.ft._
_P/sf - price per sq.ft._
_B - bedrooms; O - office_
_M - million, K- thousand_
_S - studio, R - shop_
_*Max 30 latest transactions_
www.trydatabot.com</t>
  </si>
  <si>
    <t>Volta Tower</t>
  </si>
  <si>
    <t>1016233, *MARKET</t>
  </si>
  <si>
    <t>*MARKET*
*SNAPSHOT*
*VOLTA TOWER*
_Area: Downtown_
_Type: 1 bedroom apartment_
*Price dynamics, Dirham/sq.ft.*
_(M - median value)_
```3009|                 *    ```
```    |                      ```
```    |                    **```
```    |                      ```
```    |                      ```
```    |                      ```
```    |                      ```
```    |                      ```
```2540|---------------------M```
```    |               **  *  ```
```2439|             **   *   ```
```____|______________________```
```    |Nov2024        Dec2025```
_Source: see table below_
*Latest sales transactions*
```Date   Price  BUA Type P/sf```
```------------2025-----------```
```25Dec 2.021M  694 XXXX 2912```
```19Nov     2M  696 XXXX 2874```
```25Aug  1.74M  685 XXXX 2540```
```19Aug 1.693M  691 XX02 2450```
```16Apr  2.07M  688 XX03 3009```
```10Apr  1.75M  684 XXXX 2558```
```02Apr 1.739M  691 XX02 2516```
```------------2024-----------```
```20Dec  1.71M  701 XX07 2439```
```19Nov 1.693M  691 XX02 2450```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</si>
  <si>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1016235, *RESELL</t>
  </si>
  <si>
    <t>*RESELL*
*VS PRIMARY*
*VOLTA TOWER*
_Area: Downtown_
_Type: 1 bedroom apartment_
*Price dynamics, Dirham/sq.ft.*
_(x - primary; * - resell)_
```3009|                 *    ```
```    |                     *```
```    |                    * ```
```    |                      ```
```2729|                      ```
```    |                      ```
```    |                *     ```
```    |               *   *  ```
```    |             **   *   ```
```2308|         xx           ```
```____|______________________```
```    |Dec1899        Dec2025```
_Source: see a table below_
*Latest resell transactions*
```Date   Price  BUA Type P/sf```
```------------2025-----------```
```25Dec 2.021M  694 XXXX 2912```
```19Nov     2M  696 XXXX 2874```
```25Aug  1.74M  685 XXXX 2540```
```19Aug 1.693M  691 XX02 2450```
```16Apr  2.07M  688 XX03 3009```
```10Apr  1.75M  684 XXXX 2558```
```02Apr 1.739M  691 XX02 2516```
```------------2024-----------```
```20Dec  1.71M  701 XX07 2439```
```19Nov 1.693M  691 XX02 2450```
*Latest primary transactions*
```------------2025-----------```
```29Oct 2.418M 1039 XX05 2327```
```13Oct 2.474M 1072 XX01 2308```
_Source: DLD, Databot_
_BUA - built-up area, sq.ft._
_P/sf - price per sq.ft._
_B - bedrooms; O - office_
_M - million, K- thousand_
_S - studio, R - shop_
www.trydatabot.com</t>
  </si>
  <si>
    <t>1016236, *SALES*</t>
  </si>
  <si>
    <t>*SALES*
*TRANSACTIONS (RESALE)**
*VOLTA TOWER*
_Area: Downtown_
_Type: 2 bedroom apartment_
```Date   Price  BUA Type P/sf```
```------------2025-----------```
```17Dec 3.719M 1411 XXXX 2636```
```27Aug 2.925M 1407 XX04 2079```
```28Apr  3.93M 1401 XX01 2805```
```23Jan   500K    71 XXXX 7042```
```16Jan 3.481M 1412 XX05 2465```
_Source: DLD, Databot_
_BUA - built-up area, sq.ft._
_P/sf - price per sq.ft._
_B - bedrooms; O - office_
_M - million, K- thousand_
_S - studio, R - shop_
_*Max 30 latest transactions_
www.trydatabot.com</t>
  </si>
  <si>
    <t>1016237, *MARKET</t>
  </si>
  <si>
    <t>*MARKET*
*SNAPSHOT*
*VOLTA TOWER*
_Area: Downtown_
_Type: 2 bedroom apartment_
*Price dynamics, Dirham/sq.ft.*
_(M - median value)_
```7042|                  *   ```
```    |                      ```
```    |                      ```
```    |                      ```
```    |                      ```
```    |                      ```
```    |                      ```
```    |                      ```
```2636|---------------------M```
```    |                   * *```
```2079|                 *  * ```
```____|______________________```
```    |Jan2025        Dec2025```
_Source: see table below_
*Latest sales transactions*
```Date   Price  BUA Type P/sf```
```------------2025-----------```
```17Dec 3.719M 1411 XXXX 2636```
```27Aug 2.925M 1407 XX04 2079```
```28Apr  3.93M 1401 XX01 2805```
```23Jan   500K    71 XXXX 7042```
```16Jan 3.481M 1412 XX05 2465```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</si>
  <si>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1016239, *RESELL</t>
  </si>
  <si>
    <t>*RESELL*
*VS PRIMARY*
*VOLTA TOWER*
_Area: Downtown_
_Type: 2 bedroom apartment_
*Price dynamics, Dirham/sq.ft.*
_(x - primary; * - resell)_
```7042|                  *   ```
```    |                      ```
```    |                      ```
```    |                      ```
```5046|                      ```
```    |                      ```
```    |                      ```
```    |                      ```
```    |                   * *```
```2057|xxxxxxxxxxx      *  * ```
```____|______________________```
```    |Dec1899        Dec2025```
_Source: see a table below_
*Latest resell transactions*
```Date   Price  BUA Type P/sf```
```------------2025-----------```
```17Dec 3.719M 1411 XXXX 2636```
```27Aug 2.925M 1407 XX04 2079```
```28Apr  3.93M 1401 XX01 2805```
```23Jan   500K    71 XXXX 7042```
```16Jan 3.481M 1412 XX05 2465```
*Latest primary transactions*
```------------2025-----------```
```26Dec 3.017M 1400 XXXX 2155```
```04Dec 3.095M 1442 XXXX 2146```
```17Nov 2.971M 1394 XXXX 2132```
```23Oct 3.012M 1442 XXXX 2088```
```15Oct  2.88M 1400 XX09 2057```
```29Sep 3.111M 1444 XX06 2154```
```15Sep  3.16M 1440 XX03 2194```
```03Sep 3.002M 1402 XX09 2141```
```18Aug 2.982M 1396 XX02 2136```
```02Jun   3.6M 1428 XX01 2521```
```28May 3.187M 1439 XX02 2215```
```26Mar 3.077M 1402 XX06 2195```
```29Jan 3.585M 1425 XX05 2516```
```------------2024-----------```
```25Dec 3.045M 1413 XX04 2155```
_Source: DLD, Databot_
_BUA - built-up area, sq.ft._
_P/sf - price per sq.ft._
_B - bedrooms; O - office_
_M - million, K- thousand_
_S - studio, R - shop_
www.trydatabot.com</t>
  </si>
  <si>
    <t>1016244, *SALES*</t>
  </si>
  <si>
    <t>*SALES*
*TRANSACTIONS (RESALE)**
*VOLTA TOWER*
_Area: Downtown_
_Type: 4 bedroom apartment_
```Date   Price  BUA Type P/sf```
```------------2025-----------```
```14Jul 5.369M 2272 XX03 2363```
_Source: DLD, Databot_
_BUA - built-up area, sq.ft._
_P/sf - price per sq.ft._
_B - bedrooms; O - office_
_M - million, K- thousand_
_S - studio, R - shop_
_*Max 30 latest transactions_
www.trydatabot.com</t>
  </si>
  <si>
    <t>1016245, *MARKET</t>
  </si>
  <si>
    <t>*MARKET*
*SNAPSHOT*
*VOLTA TOWER*
_Area: Downtown_
_Type: 4 bedroom apartment_
*Price dynamics, Dirham/sq.ft.*
_(M - median value)_
```2363|                     *```
```2363|----------------------```
```    |                     *```
```2363|---------------------M```
```    |                     *```
```2363|---------------------M```
```    |                     *```
```2363|---------------------M```
```    |                     *```
```2363|---------------------M```
```    |                     *```
```____|______________________```
```    |Jul2025        Jul2025```
_Source: see table below_
*Latest sales transactions*
```Date   Price  BUA Type P/sf```
```------------2025-----------```
```14Jul 5.369M 2272 XX03 2363```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</si>
  <si>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1016247, *RESELL</t>
  </si>
  <si>
    <t>*RESELL*
*VS PRIMARY*
*VOLTA TOWER*
_Area: Downtown_
_Type: 4 bedroom apartment_
*Price dynamics, Dirham/sq.ft.*
_(x - primary; * - resell)_
```2820|      x  x            ```
```    |    xx                ```
```    |                      ```
```    |                      ```
```2632|          x           ```
```    |                      ```
```    |                      ```
```    |                      ```
```    |       x              ```
```2354|        x            *```
```____|______________________```
```    |Dec1899        Nov2025```
_Source: see a table below_
*Latest resell transactions*
```Date   Price  BUA Type P/sf```
```------------2025-----------```
```14Jul 5.369M 2272 XX03 2363```
*Latest primary transactions*
```------------2025-----------```
```25Nov  6.24M 2370 XXXX 2633```
```29Sep 6.684M 2370 XX04 2820```
```04Aug 5.443M 2312 XX03 2354```
```07Jul 5.655M 2310 XXXX 2448```
```14May 6.659M 2370 XX04 2810```
```14Apr 6.583M 2368 XX04 2780```
```------------2024-----------```
```20Nov 6.355M 2303 XX03 2759```
_Source: DLD, Databot_
_BUA - built-up area, sq.ft._
_P/sf - price per sq.ft._
_B - bedrooms; O - office_
_M - million, K- thousand_
_S - studio, R - shop_
www.trydatabot.com</t>
  </si>
  <si>
    <t>1016277, *SALES*</t>
  </si>
  <si>
    <t>*SALES*
*TRANSACTIONS (RESALE)**
*VOLTA TOWER*
_Area: Downtown_
_All types/bedrooms_
```Date    Price   BUA  Type B```
```------------2025-----------```
```25Dec  2.021M   694  XXXX 1```
```17Dec  3.719M  1411  XXXX 2```
```19Nov      2M   696  XXXX 1```
```27Aug  2.925M  1407  XX04 2```
```25Aug   1.74M   685  XXXX 1```
```19Aug  1.693M   691  XX02 1```
```14Jul  5.369M  2272  XX03 4```
```28Apr   3.93M  1401  XX01 2```
```16Apr   2.07M   688  XX03 1```
```10Apr   1.75M   684  XXXX 1```
```02Apr  1.739M   691  XX02 1```
```23Jan    500K     71  XXXX 2```
```16Jan  3.481M  1412  XX05 2```
```------------2024-----------```
```20Dec   1.71M   701  XX07 1```
```19Nov  1.693M   691  XX02 1```
_Source: DLD, Databot_
_BUA - built-up area, sq.ft._
_P/sf - price per sq.ft._
_B - bedrooms; O - office_
_M - million, K- thousand_
_S - studio, R - shop_
_*Max 30 latest transactions_
www.trydatabot.com</t>
  </si>
  <si>
    <t>1016278, Volta, *BUILDI</t>
  </si>
  <si>
    <t xml:space="preserve">*BUILDING*
*PROFILE*
*VOLTA TOWER*
_Area: Downtown_
_Tap&amp;hold to copy a reply_
```-------------------------```
```Report              Reply```
```-------------------------```
*1 B/R*
```Resell, ROI       1016232```
```Primary sales     1016280```
```Price chart       1016233```
```Rentals               n/a```
```Appreciation      1016235```
*2 B/R*
```Resell, ROI       1016236```
```Primary sales     1016281```
```Price chart       1016237```
```Rentals               n/a```
```Appreciation      1016239```
*4 B/R*
```Resell, ROI       1016244```
```Primary sales     1016283```
```Price chart       1016245```
```Rentals               n/a```
```Appreciation      1016247```
*All types/bedrooms*
```Resell, ROI       1016277```
```Primary sales     1016291```
```Rentals               n/a```
</t>
  </si>
  <si>
    <t>1016280, *SALES*</t>
  </si>
  <si>
    <t>*SALES*
*TRANSACTIONS (PRIMARY)**
*VOLTA TOWER*
_Area: Downtown_
_Type: 1 bedroom apartment_
```Date   Price  BUA Type P/sf```
```------------2025-----------```
```29Oct 2.418M 1039 XX05 2327```
```13Oct 2.474M 1072 XX01 2308```
_Source: DLD, Databot_
_BUA - built-up area, sq.ft._
_P/sf - price per sq.ft._
_B - bedrooms; O - office_
_M - million, K- thousand_
_S - studio, R - shop_
_*Max 20 latest transactions_
www.trydatabot.com</t>
  </si>
  <si>
    <t>1016281, *SALES*</t>
  </si>
  <si>
    <t>*SALES*
*TRANSACTIONS (PRIMARY)**
*VOLTA TOWER*
_Area: Downtown_
_Type: 2 bedroom apartment_
```Date   Price  BUA Type P/sf```
```------------2025-----------```
```26Dec 3.017M 1400 XXXX 2155```
```04Dec 3.095M 1442 XXXX 2146```
```17Nov 2.971M 1394 XXXX 2132```
```23Oct 3.012M 1442 XXXX 2088```
```15Oct  2.88M 1400 XX09 2057```
```29Sep 3.111M 1444 XX06 2154```
```15Sep  3.16M 1440 XX03 2194```
```03Sep 3.002M 1402 XX09 2141```
```18Aug 2.982M 1396 XX02 2136```
```02Jun   3.6M 1428 XX01 2521```
```28May 3.187M 1439 XX02 2215```
```26Mar 3.077M 1402 XX06 2195```
```29Jan 3.585M 1425 XX05 2516```
```------------2024-----------```
```25Dec 3.045M 1413 XX04 2155```
```20Nov   3.2M 1432 XX01 2235```
```07Nov 3.567M 1408 XXXX 2534```
```04Nov 3.642M 1417 XX05 2570```
```04Nov 3.647M 1414 XXXX 2579```
```24Oct 3.211M 1424 XX01 2255```
```24Oct 3.785M 1441 XX08 2627```
_Source: DLD, Databot_
_BUA - built-up area, sq.ft._
_P/sf - price per sq.ft._
_B - bedrooms; O - office_
_M - million, K- thousand_
_S - studio, R - shop_
_*Max 20 latest transactions_
www.trydatabot.com</t>
  </si>
  <si>
    <t>1016283, *SALES*</t>
  </si>
  <si>
    <t>*SALES*
*TRANSACTIONS (PRIMARY)**
*VOLTA TOWER*
_Area: Downtown_
_Type: 4 bedroom apartment_
```Date   Price  BUA Type P/sf```
```------------2025-----------```
```25Nov  6.24M 2370 XXXX 2633```
```29Sep 6.684M 2370 XX04 2820```
```04Aug 5.443M 2312 XX03 2354```
```07Jul 5.655M 2310 XXXX 2448```
```14May 6.659M 2370 XX04 2810```
```14Apr 6.583M 2368 XX04 2780```
```------------2024-----------```
```20Nov 6.355M 2303 XX03 2759```
_Source: DLD, Databot_
_BUA - built-up area, sq.ft._
_P/sf - price per sq.ft._
_B - bedrooms; O - office_
_M - million, K- thousand_
_S - studio, R - shop_
_*Max 20 latest transactions_
www.trydatabot.com</t>
  </si>
  <si>
    <t>1016291, *SALES*</t>
  </si>
  <si>
    <t>*SALES*
*TRANSACTIONS (PRIMARY)**
*VOLTA TOWER*
_Area: Downtown_
_All types/bedrooms_
```Date    Price   BUA  Type B```
```------------2025-----------```
```26Dec  3.017M  1400  XXXX 2```
```04Dec  3.095M  1442  XXXX 2```
```25Nov   6.24M  2370  XXXX 4```
```17Nov  2.971M  1394  XXXX 2```
```29Oct  2.418M  1039  XX05 1```
```23Oct  3.012M  1442  XXXX 2```
```15Oct   2.88M  1400  XX09 2```
```13Oct  2.474M  1072  XX01 1```
```29Sep  3.111M  1444  XX06 2```
```29Sep  6.684M  2370  XX04 4```
```15Sep   3.16M  1440  XX03 2```
```03Sep  3.002M  1402  XX09 2```
```18Aug  2.982M  1396  XX02 2```
```04Aug  5.443M  2312  XX03 4```
```07Jul  5.655M  2310  XXXX 4```
```02Jun    3.6M  1428  XX01 2```
```28May  3.187M  1439  XX02 2```
```14May  6.659M  2370  XX04 4```
```14Apr  6.583M  2368  XX04 4```
```26Mar  3.077M  1402  XX06 2```
_Source: DLD, Databot_
_BUA - built-up area, sq.ft._
_P/sf - price per sq.ft._
_B - bedrooms; O - office_
_M - million, K- thousand_
_S - studio, R - shop_
_*Max 20 latest transactions_
www.trydatabot.com</t>
  </si>
  <si>
    <t>1016296, *SALES*</t>
  </si>
  <si>
    <t>*SALES*
*TRANSACTIONS**
*YANSOON 1*
_Area: Downtown_
_Type: 1 bedroom apartment_
```Date   Price  BUA Type P/sf```
```------------2019-----------```
```24Oct   1.2M 1015 XX06 1182```
_Source: DLD, Databot_
_BUA - built-up area, sq.ft._
_P/sf - price per sq.ft._
_B - bedrooms; O - office_
_M - million, K- thousand_
_S - studio, R - shop_
_*Max 30 latest transactions_
www.trydatabot.com</t>
  </si>
  <si>
    <t>Yansoon 1</t>
  </si>
  <si>
    <t>1016297, *MARKET</t>
  </si>
  <si>
    <t>*MARKET*
*SNAPSHOT*
*YANSOON 1*
_Area: Downtown_
_Type: 1 bedroom apartment_
*Price dynamics, Dirham/sq.ft.*
_(M - median value)_
```1182|                     *```
```1182|----------------------```
```    |                     *```
```1182|---------------------M```
```    |                     *```
```1182|---------------------M```
```    |                     *```
```1182|---------------------M```
```    |                     *```
```1182|---------------------M```
```    |                     *```
```____|______________________```
```    |Oct2019        Oct2019```
_Source: see table below_
*Latest sales transactions*
```Date   Price  BUA Type P/sf```
```------------2019-----------```
```24Oct   1.2M 1015 XX06 1182```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</si>
  <si>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1016300, *SALES*</t>
  </si>
  <si>
    <t>*SALES*
*TRANSACTIONS**
*YANSOON 1*
_Area: Downtown_
_Type: 2 bedroom apartment_
```Date   Price  BUA Type P/sf```
```------------2024-----------```
```25Jul  2.75M 1271 XX07 2164```
```27May  2.85M 1331 XX07 2141```
```20May 2.898M 1331 XX07 2177```
```------------2023-----------```
```14Jul 528.1K 1271 XX03  415```
```07Jun   880K 1271 XX03  692```
```------------2022-----------```
```11Feb  1.95M 1272 XX02 1533```
```------------2021-----------```
```21Jun   2.1M 1269 XXXX 1655```
_Source: DLD, Databot_
_BUA - built-up area, sq.ft._
_P/sf - price per sq.ft._
_B - bedrooms; O - office_
_M - million, K- thousand_
_S - studio, R - shop_
_*Max 30 latest transactions_
www.trydatabot.com</t>
  </si>
  <si>
    <t>1016301, *MARKET</t>
  </si>
  <si>
    <t>*MARKET*
*SNAPSHOT*
*YANSOON 1*
_Area: Downtown_
_Type: 2 bedroom apartment_
*Price dynamics, Dirham/sq.ft.*
_(M - median value)_
```2177|                   ***```
```    |                      ```
```    |                      ```
```1655|---------------------M```
```    |               *      ```
```    |                *     ```
```    |                      ```
```    |                      ```
```    |                      ```
```    |                 *    ```
```415 |                  *   ```
```____|______________________```
```    |Jun2021        Jul2024```
_Source: see table below_
*Latest sales transactions*
```Date   Price  BUA Type P/sf```
```------------2024-----------```
```25Jul  2.75M 1271 XX07 2164```
```27May  2.85M 1331 XX07 2141```
```20May 2.898M 1331 XX07 2177```
```------------2023-----------```
```14Jul 528.1K 1271 XX03  415```
```07Jun   880K 1271 XX03  692```
```------------2022-----------```
```11Feb  1.95M 1272 XX02 1533```
```------------2021-----------```
```21Jun   2.1M 1269 XXXX 1655```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</si>
  <si>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1016304, *SALES*</t>
  </si>
  <si>
    <t>*SALES*
*TRANSACTIONS**
*YANSOON 1*
_Area: Downtown_
_Type: 3 bedroom apartment_
```Date   Price  BUA Type P/sf```
```------------2026-----------```
```07Jan   5.8M 2044 XXXX 2838```
```------------2025-----------```
```26Nov     6M 2154 XXXX 2786```
```23Oct   4.2M 2044 XXXX 2055```
```------------2023-----------```
```04Oct   3.6M 1774 XX09 2029```
```13Jun   2.4M 2044 XX04 1174```
```------------2021-----------```
```21Nov   4.3M 2154 XX08 1996```
```23May   3.2M 2096 XX05 1527```
```------------2018-----------```
```12Aug  6.15M 2154 XXXX 2855```
_Source: DLD, Databot_
_BUA - built-up area, sq.ft._
_P/sf - price per sq.ft._
_B - bedrooms; O - office_
_M - million, K- thousand_
_S - studio, R - shop_
_*Max 30 latest transactions_
www.trydatabot.com</t>
  </si>
  <si>
    <t>1016305, *MARKET</t>
  </si>
  <si>
    <t>*MARKET*
*SNAPSHOT*
*YANSOON 1*
_Area: Downtown_
_Type: 3 bedroom apartment_
*Price dynamics, Dirham/sq.ft.*
_(M - median value)_
```2855|              *     **```
```    |                      ```
```    |                      ```
```    |                      ```
```    |                      ```
```2042|---------------------M```
```    |                * **  ```
```    |                      ```
```    |                      ```
```    |               *      ```
```1174|                 *    ```
```____|______________________```
```    |Aug2018        Jan2026```
_Source: see table below_
*Latest sales transactions*
```Date   Price  BUA Type P/sf```
```------------2026-----------```
```07Jan   5.8M 2044 XXXX 2838```
```------------2025-----------```
```26Nov     6M 2154 XXXX 2786```
```23Oct   4.2M 2044 XXXX 2055```
```------------2023-----------```
```04Oct   3.6M 1774 XX09 2029```
```13Jun   2.4M 2044 XX04 1174```
```------------2021-----------```
```21Nov   4.3M 2154 XX08 1996```
```23May   3.2M 2096 XX05 1527```
```------------2018-----------```
```12Aug  6.15M 2154 XXXX 2855```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</si>
  <si>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1016341, *SALES*</t>
  </si>
  <si>
    <t>*SALES*
*TRANSACTIONS**
*YANSOON 1*
_Area: Downtown_
_All types/bedrooms_
```Date    Price   BUA  Type B```
```------------2026-----------```
```07Jan    5.8M  2044  XXXX 3```
```------------2025-----------```
```26Nov      6M  2154  XXXX 3```
```23Oct    4.2M  2044  XXXX 3```
```------------2024-----------```
```25Jul   2.75M  1271  XX07 2```
```27May   2.85M  1331  XX07 2```
```20May  2.898M  1331  XX07 2```
```------------2023-----------```
```04Oct    3.6M  1774  XX09 3```
```14Jul  528.1K  1271  XX03 2```
```13Jun    2.4M  2044  XX04 3```
```07Jun    880K  1271  XX03 2```
```------------2022-----------```
```11Feb   1.95M  1272  XX02 2```
```------------2021-----------```
```21Nov    4.3M  2154  XX08 3```
```21Jun    2.1M  1269  XXXX 2```
```23May    3.2M  2096  XX05 3```
```------------2019-----------```
```24Oct    1.2M  1015  XX06 1```
```------------2018-----------```
```12Aug   6.15M  2154  XXXX 3```
_Source: DLD, Databot_
_BUA - built-up area, sq.ft._
_P/sf - price per sq.ft._
_B - bedrooms; O - office_
_M - million, K- thousand_
_S - studio, R - shop_
_*Max 30 latest transactions_
www.trydatabot.com</t>
  </si>
  <si>
    <t>1016342, by code, *BUILDI</t>
  </si>
  <si>
    <t xml:space="preserve">*BUILDING*
*PROFILE*
*YANSOON 1*
_Area: Downtown_
_Tap&amp;hold to copy a reply_
```-------------------------```
```Report              Reply```
```-------------------------```
*1 B/R*
```Sales, ROI        1016296```
```Price chart       1016297```
```Rentals               n/a```
*2 B/R*
```Sales, ROI        1016300```
```Price chart       1016301```
```Rentals               n/a```
*3 B/R*
```Sales, ROI        1016304```
```Price chart       1016305```
```Rentals               n/a```
*All types/bedrooms*
```Sales, ROI        1016341```
```Rentals               n/a```
</t>
  </si>
  <si>
    <t>1016360, *SALES*</t>
  </si>
  <si>
    <t>*SALES*
*TRANSACTIONS**
*YANSOON 2*
_Area: Downtown_
_Type: 1 bedroom apartment_
```Date   Price  BUA Type P/sf```
```------------2024-----------```
```02Dec  2.16M 1282 XXXX 1685```
```06Aug   1.4M  806 XXXX 1737```
```28May  1.63M  806 XX04 2022```
```------------2023-----------```
```05Jan  2.18M  767 XXXX 2842```
```------------2022-----------```
```17Nov   1.6M  767 XXXX 2086```
```01Jul 1.325M  806 XX04 1644```
```------------2021-----------```
```05Jan  1.25M  767 XXXX 1630```
_Source: DLD, Databot_
_BUA - built-up area, sq.ft._
_P/sf - price per sq.ft._
_B - bedrooms; O - office_
_M - million, K- thousand_
_S - studio, R - shop_
_*Max 30 latest transactions_
www.trydatabot.com</t>
  </si>
  <si>
    <t>Yansoon 2</t>
  </si>
  <si>
    <t>1016361, *MARKET</t>
  </si>
  <si>
    <t>*MARKET*
*SNAPSHOT*
*YANSOON 2*
_Area: Downtown_
_Type: 1 bedroom apartment_
*Price dynamics, Dirham/sq.ft.*
_(M - median value)_
```2842|                  *   ```
```    |                      ```
```    |                      ```
```    |                      ```
```    |                      ```
```    |                      ```
```    |                 *    ```
```    |                   *  ```
```    |                      ```
```1630|               **   **```
```1630|               **   **```
```____|______________________```
```    |Jan2021        Dec2024```
_Source: see table below_
*Latest sales transactions*
```Date   Price  BUA Type P/sf```
```------------2024-----------```
```02Dec  2.16M 1282 XXXX 1685```
```06Aug   1.4M  806 XXXX 1737```
```28May  1.63M  806 XX04 2022```
```------------2023-----------```
```05Jan  2.18M  767 XXXX 2842```
```------------2022-----------```
```17Nov   1.6M  767 XXXX 2086```
```01Jul 1.325M  806 XX04 1644```
```------------2021-----------```
```05Jan  1.25M  767 XXXX 1630```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</si>
  <si>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1016364, *SALES*</t>
  </si>
  <si>
    <t>*SALES*
*TRANSACTIONS**
*YANSOON 2*
_Area: Downtown_
_Type: 2 bedroom apartment_
```Date   Price  BUA Type P/sf```
```------------2026-----------```
```16Jan 3.375M 1258 XXXX 2683```
```------------2025-----------```
```15Oct   2.8M 1221 XXXX 2293```
```22Apr 3.193M 1517 XXXX 2105```
```13Mar   2.8M 1517 XXXX 1846```
```08Jan  3.79M 1517 XXXX 2498```
```------------2024-----------```
```29May 2.963M 1517 XX02 1953```
```29May 3.507M 1517 XX02 2312```
```21May 2.906M 1405 XX07 2068```
```29Apr  3.35M 1221 XX03 2744```
```------------2023-----------```
```15Feb  3.14M 1221 XX03 2572```
```02Feb   2.7M 1221 XX03 2211```
```------------2022-----------```
```26Dec   3.2M 1405 XX07 2278```
```07Nov  2.72M 1517 XX02 1793```
```10May  1.82M 1221 XX03 1491```
```------------2021-----------```
```14Nov   2.5M 1405 XX07 1779```
```05Sep  2.21M 1405 XX07 1573```
```17Jun   1.8M 1353 XX01 1330```
```------------2019-----------```
```07Nov   3.3M 2946 XX02 1120```
```28Jan  1.97M 1353 XX01 1456```
```------------2018-----------```
```16Oct   2.4M 1405 XX07 1708```
_Source: DLD, Databot_
_BUA - built-up area, sq.ft._
_P/sf - price per sq.ft._
_B - bedrooms; O - office_
_M - million, K- thousand_
_S - studio, R - shop_
_*Max 30 latest transactions_
www.trydatabot.com</t>
  </si>
  <si>
    <t>1016365, *MARKET</t>
  </si>
  <si>
    <t>*MARKET*
*SNAPSHOT*
*YANSOON 2*
_Area: Downtown_
_Type: 2 bedroom apartment_
*Price dynamics, Dirham/sq.ft.*
_(M - median value)_
```2744|             *       *```
```    |            *         ```
```    |                 *    ```
```    |          **   *    * ```
```    |              *    *  ```
```2011|---------------------M```
```    |                *     ```
```    |  *    * *        *   ```
```    |      *               ```
```    |   * *  *             ```
```1120|    *                 ```
```____|______________________```
```    |Oct2018        Jan2026```
_Source: see table below_
*Latest sales transactions*
```Date   Price  BUA Type P/sf```
```------------2026-----------```
```16Jan 3.375M 1258 XXXX 2683```
```------------2025-----------```
```15Oct   2.8M 1221 XXXX 2293```
```22Apr 3.193M 1517 XXXX 2105```
```13Mar   2.8M 1517 XXXX 1846```
```08Jan  3.79M 1517 XXXX 2498```
```------------2024-----------```
```29May 2.963M 1517 XX02 1953```
```29May 3.507M 1517 XX02 2312```
```21May 2.906M 1405 XX07 2068```
```29Apr  3.35M 1221 XX03 2744```
```------------2023-----------```
```15Feb  3.14M 1221 XX03 2572```
```02Feb   2.7M 1221 XX03 2211```
```------------2022-----------```
```26Dec   3.2M 1405 XX07 2278```
```07Nov  2.72M 1517 XX02 1793```
```10May  1.82M 1221 XX03 1491```
```------------2021-----------```
```14Nov   2.5M 1405 XX07 1779```
```05Sep  2.21M 1405 XX07 1573```
```17Jun   1.8M 1353 XX01 1330```
```------------2019-----------```
```07Nov   3.3M 2946 XX02 1120```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</si>
  <si>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1016405, *SALES*</t>
  </si>
  <si>
    <t>*SALES*
*TRANSACTIONS**
*YANSOON 2*
_Area: Downtown_
_All types/bedrooms_
```Date    Price   BUA  Type B```
```------------2026-----------```
```16Jan  3.375M  1258  XXXX 2```
```------------2025-----------```
```15Oct    2.8M  1221  XXXX 2```
```22Apr  3.193M  1517  XXXX 2```
```13Mar    2.8M  1517  XXXX 2```
```08Jan   3.79M  1517  XXXX 2```
```------------2024-----------```
```02Dec   2.16M  1282  XXXX 1```
```06Aug    1.4M   806  XXXX 1```
```29May  2.963M  1517  XX02 2```
```29May  3.507M  1517  XX02 2```
```28May   1.63M   806  XX04 1```
```21May  2.906M  1405  XX07 2```
```29Apr   3.35M  1221  XX03 2```
```------------2023-----------```
```15Feb   3.14M  1221  XX03 2```
```02Feb    2.7M  1221  XX03 2```
```05Jan   2.18M   767  XXXX 1```
```------------2022-----------```
```26Dec    3.2M  1405  XX07 2```
```17Nov    1.6M   767  XXXX 1```
```07Nov   2.72M  1517  XX02 2```
```01Jul  1.325M   806  XX04 1```
```10May   1.82M  1221  XX03 2```
```------------2021-----------```
```14Nov    2.5M  1405  XX07 2```
```05Sep   2.21M  1405  XX07 2```
```17Jun    1.8M  1353  XX01 2```
```05Jan   1.25M   767  XXXX 1```
```------------2019-----------```
```07Nov    3.3M  2946  XX02 2```
```28Jan   1.97M  1353  XX01 2```
```------------2018-----------```
```16Oct    2.4M  1405  XX07 2```
_Source: DLD, Databot_
_BUA - built-up area, sq.ft._
_P/sf - price per sq.ft._
_B - bedrooms; O - office_
_M - million, K- thousand_
_S - studio, R - shop_
_*Max 30 latest transactions_
www.trydatabot.com</t>
  </si>
  <si>
    <t>1016406, by code, *BUILDI</t>
  </si>
  <si>
    <t xml:space="preserve">*BUILDING*
*PROFILE*
*YANSOON 2*
_Area: Downtown_
_Tap&amp;hold to copy a reply_
```-------------------------```
```Report              Reply```
```-------------------------```
*1 B/R*
```Sales, ROI        1016360```
```Price chart       1016361```
```Rentals               n/a```
*2 B/R*
```Sales, ROI        1016364```
```Price chart       1016365```
```Rentals               n/a```
*All types/bedrooms*
```Sales, ROI        1016405```
```Rentals               n/a```
</t>
  </si>
  <si>
    <t>1016424, *SALES*</t>
  </si>
  <si>
    <t>*SALES*
*TRANSACTIONS**
*YANSOON 3*
_Area: Downtown_
_Type: 1 bedroom apartment_
```Date   Price  BUA Type P/sf```
```------------2025-----------```
```16May  2.45M 1521 XXXX 1611```
```------------2024-----------```
```12Dec  2.52M 1491 XX02 1690```
```07Oct   1.7M  773 XXXX 2199```
```26Jun  1.75M  773 XXXX 2264```
```------------2023-----------```
```03Aug   1.9M  773 XX05 2458```
```11May   1.3M  773 XX05 1682```
```28Apr  1.62M  826 XX04 1961```
```28Feb  1.35M  826 XX04 1634```
```09Jan  1.17M  826 XX04 1416```
```------------2021-----------```
```31Mar  1.05M  826 XX04 1271```
```------------2020-----------```
```09Dec   900K  826 XX04 1090```
```------------2019-----------```
```30Oct 1.375M 1113 XXXX 1235```
_Source: DLD, Databot_
_BUA - built-up area, sq.ft._
_P/sf - price per sq.ft._
_B - bedrooms; O - office_
_M - million, K- thousand_
_S - studio, R - shop_
_*Max 30 latest transactions_
www.trydatabot.com</t>
  </si>
  <si>
    <t>Yansoon 3</t>
  </si>
  <si>
    <t>1016425, *MARKET</t>
  </si>
  <si>
    <t>*MARKET*
*SNAPSHOT*
*YANSOON 3*
_Area: Downtown_
_Type: 1 bedroom apartment_
*Price dynamics, Dirham/sq.ft.*
_(M - median value)_
```2458|                 *    ```
```    |                  *   ```
```    |                   *  ```
```    |                      ```
```    |               *      ```
```    |                      ```
```1658|---------------------M```
```    |              * *   **```
```    |                      ```
```    |          * **        ```
```1090|           *          ```
```____|______________________```
```    |Oct2019        May2025```
_Source: see table below_
*Latest sales transactions*
```Date   Price  BUA Type P/sf```
```------------2025-----------```
```16May  2.45M 1521 XXXX 1611```
```------------2024-----------```
```12Dec  2.52M 1491 XX02 1690```
```07Oct   1.7M  773 XXXX 2199```
```26Jun  1.75M  773 XXXX 2264```
```------------2023-----------```
```03Aug   1.9M  773 XX05 2458```
```11May   1.3M  773 XX05 1682```
```28Apr  1.62M  826 XX04 1961```
```28Feb  1.35M  826 XX04 1634```
```09Jan  1.17M  826 XX04 1416```
```------------2021-----------```
```31Mar  1.05M  826 XX04 1271```
```------------2020-----------```
```09Dec   900K  826 XX04 1090```
```------------2019-----------```
```30Oct 1.375M 1113 XXXX 1235```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</si>
  <si>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1016428, *SALES*</t>
  </si>
  <si>
    <t>*SALES*
*TRANSACTIONS**
*YANSOON 3*
_Area: Downtown_
_Type: 2 bedroom apartment_
```Date   Price  BUA Type P/sf```
```------------2025-----------```
```15Aug   3.3M 1517 XXXX 2175```
```10Apr   2.9M 1353 XXXX 2143```
```------------2024-----------```
```07May   2.7M 1258 XX06 2146```
```27Mar  2.65M 1423 XXXX 1862```
```------------2023-----------```
```28Nov  3.05M 1258 XX06 2424```
```24Apr  1.95M 1221 XX03 1597```
```------------2022-----------```
```12Aug     2M 1221 XX03 1638```
```21Apr  1.95M 1221 XX03 1597```
```------------2021-----------```
```25Jul 1.755M 1221 XX03 1437```
```18Mar  2.05M 1248 XXXX 1643```
```25Feb   1.5M 1248 XXXX 1202```
```------------2020-----------```
```17Dec   1.6M 1405 XX07 1139```
```05Nov   1.4M 1405 XX07  996```
```------------2019-----------```
```11Jul 1.675M 1353 XX01 1238```
```11Feb   1.5M 1248 XXXX 1202```
```------------2018-----------```
```08Nov   2.5M 1517 XX02 1648```
_Source: DLD, Databot_
_BUA - built-up area, sq.ft._
_P/sf - price per sq.ft._
_B - bedrooms; O - office_
_M - million, K- thousand_
_S - studio, R - shop_
_*Max 30 latest transactions_
www.trydatabot.com</t>
  </si>
  <si>
    <t>1016429, *MARKET</t>
  </si>
  <si>
    <t>*MARKET*
*SNAPSHOT*
*YANSOON 3*
_Area: Downtown_
_Type: 2 bedroom apartment_
*Price dynamics, Dirham/sq.ft.*
_(M - median value)_
```2424|                 *    ```
```    |                      ```
```    |                   ***```
```    |                      ```
```    |                  *   ```
```    |      *     *  *      ```
```1618|---------------------M```
```    |              * *     ```
```    |             *        ```
```    |       ** **          ```
```996 |         *            ```
```____|______________________```
```    |Nov2018        Aug2025```
_Source: see table below_
*Latest sales transactions*
```Date   Price  BUA Type P/sf```
```------------2025-----------```
```15Aug   3.3M 1517 XXXX 2175```
```10Apr   2.9M 1353 XXXX 2143```
```------------2024-----------```
```07May   2.7M 1258 XX06 2146```
```27Mar  2.65M 1423 XXXX 1862```
```------------2023-----------```
```28Nov  3.05M 1258 XX06 2424```
```24Apr  1.95M 1221 XX03 1597```
```------------2022-----------```
```12Aug     2M 1221 XX03 1638```
```21Apr  1.95M 1221 XX03 1597```
```------------2021-----------```
```25Jul 1.755M 1221 XX03 1437```
```18Mar  2.05M 1248 XXXX 1643```
```25Feb   1.5M 1248 XXXX 1202```
```------------2020-----------```
```17Dec   1.6M 1405 XX07 1139```
```05Nov   1.4M 1405 XX07  996```
```------------2019-----------```
```11Jul 1.675M 1353 XX01 1238```
```11Feb   1.5M 1248 XXXX 1202```
```------------2018-----------```
```08Nov   2.5M 1517 XX02 1648```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</si>
  <si>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1016469, *SALES*</t>
  </si>
  <si>
    <t>*SALES*
*TRANSACTIONS**
*YANSOON 3*
_Area: Downtown_
_All types/bedrooms_
```Date    Price   BUA  Type B```
```------------2025-----------```
```15Aug    3.3M  1517  XXXX 2```
```16May   2.45M  1521  XXXX 1```
```10Apr    2.9M  1353  XXXX 2```
```------------2024-----------```
```12Dec   2.52M  1491  XX02 1```
```07Oct    1.7M   773  XXXX 1```
```26Jun   1.75M   773  XXXX 1```
```07May    2.7M  1258  XX06 2```
```27Mar   2.65M  1423  XXXX 2```
```------------2023-----------```
```28Nov   3.05M  1258  XX06 2```
```03Aug    1.9M   773  XX05 1```
```11May    1.3M   773  XX05 1```
```28Apr   1.62M   826  XX04 1```
```24Apr   1.95M  1221  XX03 2```
```28Feb   1.35M   826  XX04 1```
```09Jan   1.17M   826  XX04 1```
```------------2022-----------```
```12Aug      2M  1221  XX03 2```
```21Apr   1.95M  1221  XX03 2```
```------------2021-----------```
```25Jul  1.755M  1221  XX03 2```
```31Mar   1.05M   826  XX04 1```
```18Mar   2.05M  1248  XXXX 2```
```25Feb    1.5M  1248  XXXX 2```
```------------2020-----------```
```17Dec    1.6M  1405  XX07 2```
```09Dec    900K   826  XX04 1```
```05Nov    1.4M  1405  XX07 2```
```------------2019-----------```
```30Oct  1.375M  1113  XXXX 1```
```11Jul  1.675M  1353  XX01 2```
```11Feb    1.5M  1248  XXXX 2```
```------------2018-----------```
```08Nov    2.5M  1517  XX02 2```
_Source: DLD, Databot_
_BUA - built-up area, sq.ft._
_P/sf - price per sq.ft._
_B - bedrooms; O - office_
_M - million, K- thousand_
_S - studio, R - shop_
_*Max 30 latest transactions_
www.trydatabot.com</t>
  </si>
  <si>
    <t>1016470, by code, *BUILDI</t>
  </si>
  <si>
    <t xml:space="preserve">*BUILDING*
*PROFILE*
*YANSOON 3*
_Area: Downtown_
_Tap&amp;hold to copy a reply_
```-------------------------```
```Report              Reply```
```-------------------------```
*1 B/R*
```Sales, ROI        1016424```
```Price chart       1016425```
```Rentals               n/a```
*2 B/R*
```Sales, ROI        1016428```
```Price chart       1016429```
```Rentals               n/a```
*All types/bedrooms*
```Sales, ROI        1016469```
```Rentals               n/a```
</t>
  </si>
  <si>
    <t>1016488, *SALES*</t>
  </si>
  <si>
    <t>*SALES*
*TRANSACTIONS**
*YANSOON 4*
_Area: Downtown_
_Type: 1 bedroom apartment_
```Date   Price  BUA Type P/sf```
```------------2026-----------```
```07Jan   2.5M 1225 XXXX 2041```
```------------2025-----------```
```15Jul  1.95M  785 XX55 2484```
```------------2024-----------```
```23Aug   1.7M  815 XXXX 2086```
```------------2023-----------```
```22Nov  1.65M  947 XX01 1742```
```06Jul   1.7M  785 XX03 2166```
```------------2022-----------```
```24Nov  1.45M  735 XXXX 1973```
```21Oct   1.4M  782 XX02 1790```
```29Sep  1.26M  729 XX07 1728```
```27Jul  1.09M  824 XX09 1323```
```06Jul  1.75M  815 XXXX 2147```
```01Jul   1.4M  947 XX01 1478```
```13May 1.175M  785 XX03 1497```
```------------2021-----------```
```06Oct 1.375M  815 XXXX 1687```
```------------2020-----------```
```05Nov   950K  815 XXXX 1166```
```28Sep   850K  735 XXXX 1156```
```01Sep   950K  782 XX02 1215```
```------------2019-----------```
```27Nov 874.1K  782 XX02 1118```
_Source: DLD, Databot_
_BUA - built-up area, sq.ft._
_P/sf - price per sq.ft._
_B - bedrooms; O - office_
_M - million, K- thousand_
_S - studio, R - shop_
_*Max 30 latest transactions_
www.trydatabot.com</t>
  </si>
  <si>
    <t>Yansoon 4</t>
  </si>
  <si>
    <t>1016489, *MARKET</t>
  </si>
  <si>
    <t>*MARKET*
*SNAPSHOT*
*YANSOON 4*
_Area: Downtown_
_Type: 1 bedroom apartment_
*Price dynamics, Dirham/sq.ft.*
_(M - median value)_
```2484|                    * ```
```    |                      ```
```    |            *    *    ```
```    |                   * *```
```    |                *     ```
```    |               *  *   ```
```1728|---------------------M```
```    |         *    *       ```
```    |          **          ```
```    |             *        ```
```1118|     ****             ```
```____|______________________```
```    |Nov2019        Jan2026```
_Source: see table below_
*Latest sales transactions*
```Date   Price  BUA Type P/sf```
```------------2026-----------```
```07Jan   2.5M 1225 XXXX 2041```
```------------2025-----------```
```15Jul  1.95M  785 XX55 2484```
```------------2024-----------```
```23Aug   1.7M  815 XXXX 2086```
```------------2023-----------```
```22Nov  1.65M  947 XX01 1742```
```06Jul   1.7M  785 XX03 2166```
```------------2022-----------```
```24Nov  1.45M  735 XXXX 1973```
```21Oct   1.4M  782 XX02 1790```
```29Sep  1.26M  729 XX07 1728```
```27Jul  1.09M  824 XX09 1323```
```06Jul  1.75M  815 XXXX 2147```
```01Jul   1.4M  947 XX01 1478```
```13May 1.175M  785 XX03 1497```
```------------2021-----------```
```06Oct 1.375M  815 XXXX 1687```
```------------2020-----------```
```05Nov   950K  815 XXXX 1166```
```28Sep   850K  735 XXXX 1156```
```01Sep   950K  782 XX02 1215```
```------------2019-----------```
```27Nov 874.1K  782 XX02 1118```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</si>
  <si>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1016492, *SALES*</t>
  </si>
  <si>
    <t>*SALES*
*TRANSACTIONS**
*YANSOON 4*
_Area: Downtown_
_Type: 2 bedroom apartment_
```Date   Price  BUA Type P/sf```
```------------2025-----------```
```13Jun   4.7M 3067 XXXX 1532```
```31Jan  3.65M 1475 XXXX 2475```
```------------2024-----------```
```20Sep   2.6M 1475 XXXX 1763```
```------------2023-----------```
```24Apr   2.4M 1475 XX04 1627```
```22Mar     2M 1480 XXXX 1351```
```03Mar 2.275M 1480 XXXX 1537```
```------------2022-----------```
```21Jul 1.998M 1434 XX05 1393```
```------------2020-----------```
```28Oct  2.15M 1433 XXXX 1500```
```30Jan   2.1M 1480 XXXX 1419```
```------------2018-----------```
```10Jun 2.047M 1433 XXXX 1428```
_Source: DLD, Databot_
_BUA - built-up area, sq.ft._
_P/sf - price per sq.ft._
_B - bedrooms; O - office_
_M - million, K- thousand_
_S - studio, R - shop_
_*Max 30 latest transactions_
www.trydatabot.com</t>
  </si>
  <si>
    <t>1016493, *MARKET</t>
  </si>
  <si>
    <t>*MARKET*
*SNAPSHOT*
*YANSOON 4*
_Area: Downtown_
_Type: 2 bedroom apartment_
*Price dynamics, Dirham/sq.ft.*
_(M - median value)_
```2475|                    * ```
```    |                      ```
```    |                      ```
```    |                      ```
```    |                      ```
```    |                      ```
```    |                   *  ```
```    |                      ```
```1516|---------------------M```
```    |              * * *  *```
```1351|            ** * *    ```
```____|______________________```
```    |Jun2018        Jun2025```
_Source: see table below_
*Latest sales transactions*
```Date   Price  BUA Type P/sf```
```------------2025-----------```
```13Jun   4.7M 3067 XXXX 1532```
```31Jan  3.65M 1475 XXXX 2475```
```------------2024-----------```
```20Sep   2.6M 1475 XXXX 1763```
```------------2023-----------```
```24Apr   2.4M 1475 XX04 1627```
```22Mar     2M 1480 XXXX 1351```
```03Mar 2.275M 1480 XXXX 1537```
```------------2022-----------```
```21Jul 1.998M 1434 XX05 1393```
```------------2020-----------```
```28Oct  2.15M 1433 XXXX 1500```
```30Jan   2.1M 1480 XXXX 1419```
```------------2018-----------```
```10Jun 2.047M 1433 XXXX 1428```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</si>
  <si>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1016496, *SALES*</t>
  </si>
  <si>
    <t>*SALES*
*TRANSACTIONS**
*YANSOON 4*
_Area: Downtown_
_Type: 3 bedroom apartment_
```Date   Price  BUA Type P/sf```
```------------2025-----------```
```28Oct  4.95M 1892 XXXX 2616```
```------------2023-----------```
```25Dec  4.95M 2068 XX12 2394```
_Source: DLD, Databot_
_BUA - built-up area, sq.ft._
_P/sf - price per sq.ft._
_B - bedrooms; O - office_
_M - million, K- thousand_
_S - studio, R - shop_
_*Max 30 latest transactions_
www.trydatabot.com</t>
  </si>
  <si>
    <t>1016497, *MARKET</t>
  </si>
  <si>
    <t>*MARKET*
*SNAPSHOT*
*YANSOON 4*
_Area: Downtown_
_Type: 3 bedroom apartment_
*Price dynamics, Dirham/sq.ft.*
_(M - median value)_
```2616|                     *```
```    |                      ```
```    |                      ```
```    |                      ```
```    |                      ```
```2505|---------------------M```
```    |                      ```
```    |                      ```
```    |                      ```
```    |                      ```
```2394|                    * ```
```____|______________________```
```    |Dec2023        Oct2025```
_Source: see table below_
*Latest sales transactions*
```Date   Price  BUA Type P/sf```
```------------2025-----------```
```28Oct  4.95M 1892 XXXX 2616```
```------------2023-----------```
```25Dec  4.95M 2068 XX12 2394```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</si>
  <si>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1016533, *SALES*</t>
  </si>
  <si>
    <t>*SALES*
*TRANSACTIONS**
*YANSOON 4*
_Area: Downtown_
_All types/bedrooms_
```Date    Price   BUA  Type B```
```------------2026-----------```
```07Jan    2.5M  1225  XXXX 1```
```------------2025-----------```
```28Oct   4.95M  1892  XXXX 3```
```15Jul   1.95M   785  XX55 1```
```13Jun    4.7M  3067  XXXX 2```
```31Jan   3.65M  1475  XXXX 2```
```------------2024-----------```
```20Sep    2.6M  1475  XXXX 2```
```23Aug    1.7M   815  XXXX 1```
```------------2023-----------```
```25Dec   4.95M  2068  XX12 3```
```22Nov   1.65M   947  XX01 1```
```06Jul    1.7M   785  XX03 1```
```24Apr    2.4M  1475  XX04 2```
```22Mar      2M  1480  XXXX 2```
```03Mar  2.275M  1480  XXXX 2```
```------------2022-----------```
```24Nov   1.45M   735  XXXX 1```
```21Oct    1.4M   782  XX02 1```
```29Sep   1.26M   729  XX07 1```
```27Jul   1.09M   824  XX09 1```
```21Jul  1.998M  1434  XX05 2```
```06Jul   1.75M   815  XXXX 1```
```01Jul    1.4M   947  XX01 1```
```13May  1.175M   785  XX03 1```
```------------2021-----------```
```06Oct  1.375M   815  XXXX 1```
```------------2020-----------```
```05Nov    950K   815  XXXX 1```
```28Oct   2.15M  1433  XXXX 2```
```28Sep    850K   735  XXXX 1```
```01Sep    950K   782  XX02 1```
```30Jan    2.1M  1480  XXXX 2```
```------------2019-----------```
```27Nov  874.1K   782  XX02 1```
```------------2018-----------```
```10Jun  2.047M  1433  XXXX 2```
_Source: DLD, Databot_
_BUA - built-up area, sq.ft._
_P/sf - price per sq.ft._
_B - bedrooms; O - office_
_M - million, K- thousand_
_S - studio, R - shop_
_*Max 30 latest transactions_
www.trydatabot.com</t>
  </si>
  <si>
    <t>1016534, by code, *BUILDI</t>
  </si>
  <si>
    <t xml:space="preserve">*BUILDING*
*PROFILE*
*YANSOON 4*
_Area: Downtown_
_Tap&amp;hold to copy a reply_
```-------------------------```
```Report              Reply```
```-------------------------```
*1 B/R*
```Sales, ROI        1016488```
```Price chart       1016489```
```Rentals               n/a```
*2 B/R*
```Sales, ROI        1016492```
```Price chart       1016493```
```Rentals               n/a```
*3 B/R*
```Sales, ROI        1016496```
```Price chart       1016497```
```Rentals               n/a```
*All types/bedrooms*
```Sales, ROI        1016533```
```Rentals               n/a```
</t>
  </si>
  <si>
    <t>1016552, *SALES*</t>
  </si>
  <si>
    <t>*SALES*
*TRANSACTIONS**
*YANSOON 5*
_Area: Downtown_
_Type: 1 bedroom apartment_
```Date   Price  BUA Type P/sf```
```------------2025-----------```
```06Oct   1.8M  752 XXXX 2394```
```24Mar  1.65M  752 XXXX 2194```
```------------2024-----------```
```24Jul   1.5M  752 XXXX 1995```
```08Mar  1.55M  807 XX04 1921```
```09Feb  1.64M  807 XX04 2032```
```------------2023-----------```
```21Nov   1.5M  752 XXXX 1995```
```25Sep 1.485M  807 XX04 1840```
```14Aug  1.55M  807 XX04 1921```
```------------2022-----------```
```16Dec   1.2M  807 XX04 1487```
```07Oct   1.6M  807 XX04 1983```
```------------2021-----------```
```25Apr   980K  807 XX04 1214```
```------------2020-----------```
```19Nov   1.2M  828 XXXX 1449```
```------------2019-----------```
```04Mar  1.05M  807 XX04 1301```
```14Jan 942.8K  807 XX04 1168```
_Source: DLD, Databot_
_BUA - built-up area, sq.ft._
_P/sf - price per sq.ft._
_B - bedrooms; O - office_
_M - million, K- thousand_
_S - studio, R - shop_
_*Max 30 latest transactions_
www.trydatabot.com</t>
  </si>
  <si>
    <t>Yansoon 5</t>
  </si>
  <si>
    <t>1016553, *MARKET</t>
  </si>
  <si>
    <t>*MARKET*
*SNAPSHOT*
*YANSOON 5*
_Area: Downtown_
_Type: 1 bedroom apartment_
*Price dynamics, Dirham/sq.ft.*
_(M - median value)_
```2394|                     *```
```    |                      ```
```    |                    * ```
```    |            *   ** *  ```
```1921|---------------------M```
```    |              *   *   ```
```    |               *      ```
```    |                      ```
```    |             *        ```
```    |         **           ```
```1168|        *  *          ```
```____|______________________```
```    |Jan2019        Oct2025```
_Source: see table below_
*Latest sales transactions*
```Date   Price  BUA Type P/sf```
```------------2025-----------```
```06Oct   1.8M  752 XXXX 2394```
```24Mar  1.65M  752 XXXX 2194```
```------------2024-----------```
```24Jul   1.5M  752 XXXX 1995```
```08Mar  1.55M  807 XX04 1921```
```09Feb  1.64M  807 XX04 2032```
```------------2023-----------```
```21Nov   1.5M  752 XXXX 1995```
```25Sep 1.485M  807 XX04 1840```
```14Aug  1.55M  807 XX04 1921```
```------------2022-----------```
```16Dec   1.2M  807 XX04 1487```
```07Oct   1.6M  807 XX04 1983```
```------------2021-----------```
```25Apr   980K  807 XX04 1214```
```------------2020-----------```
```19Nov   1.2M  828 XXXX 1449```
```------------2019-----------```
```04Mar  1.05M  807 XX04 1301```
```14Jan 942.8K  807 XX04 1168```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</si>
  <si>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1016556, *SALES*</t>
  </si>
  <si>
    <t>*SALES*
*TRANSACTIONS (RESALE)**
*YANSOON 5*
_Area: Downtown_
_Type: 2 bedroom apartment_
```Date   Price  BUA Type P/sf```
```------------2026-----------```
```08Jan  3.35M 1210 XXXX 2769```
```------------2024-----------```
```05Dec   3.1M 1383 XXXX 2242```
```27Jun  3.35M 1318 XXXX 2542```
```24Jun  3.15M 1481 XXXX 2127```
```------------2023-----------```
```02Jan 2.401M 1210 XX03 1985```
```------------2022-----------```
```23Nov   2.3M 1210 XX03 1901```
```20Oct  2.85M 1318 XX01 2162```
```31Aug 1.962M 1210 XX03 1621```
```10Aug  2.98M 1383 XX07 2155```
```14Jun     2M 1238 XX06 1616```
```13May   4.6M 1318 XX01 3490```
```13May   4.6M 1481 XX02 3106```
```------------2021-----------```
```16Sep  1.85M 1238 XX06 1494```
```29Jun   1.7M 1238 XX06 1373```
```------------2019-----------```
```07Apr   2.1M 1567 XX01 1340```
```------------2018-----------```
```25Nov 1.067M 1210 XX03  882```
```25Nov 1.267M 1481 XX02  855```
```01Oct   2.3M 1383 XX07 1663```
```29Jan   2.5M 1318 XX01 1897```
_Source: DLD, Databot_
_BUA - built-up area, sq.ft._
_P/sf - price per sq.ft._
_B - bedrooms; O - office_
_M - million, K- thousand_
_S - studio, R - shop_
_*Max 30 latest transactions_
www.trydatabot.com</t>
  </si>
  <si>
    <t>1016557, *MARKET</t>
  </si>
  <si>
    <t>*MARKET*
*SNAPSHOT*
*YANSOON 5*
_Area: Downtown_
_Type: 2 bedroom apartment_
*Price dynamics, Dirham/sq.ft.*
_(M - median value)_
```3490|           *          ```
```    |          *           ```
```    |                      ```
```    |                     *```
```    |                   *  ```
```    |             * *  * * ```
```1901|---------------------M```
```    |   *            **    ```
```    |    *       * *       ```
```    |       ***            ```
```855 |     **               ```
```____|______________________```
```    |Jan2018        Jan2026```
_Source: see table below_
*Latest sales transactions*
```Date   Price  BUA Type P/sf```
```------------2026-----------```
```08Jan  3.35M 1210 XXXX 2769```
```------------2024-----------```
```05Dec   3.1M 1383 XXXX 2242```
```27Jun  3.35M 1318 XXXX 2542```
```24Jun  3.15M 1481 XXXX 2127```
```------------2023-----------```
```02Jan 2.401M 1210 XX03 1985```
```------------2022-----------```
```23Nov   2.3M 1210 XX03 1901```
```20Oct  2.85M 1318 XX01 2162```
```31Aug 1.962M 1210 XX03 1621```
```10Aug  2.98M 1383 XX07 2155```
```14Jun     2M 1238 XX06 1616```
```13May   4.6M 1318 XX01 3490```
```13May   4.6M 1481 XX02 3106```
```------------2021-----------```
```16Sep  1.85M 1238 XX06 1494```
```29Jun   1.7M 1238 XX06 1373```
```------------2019-----------```
```07Apr   2.1M 1567 XX01 1340```
```------------2018-----------```
```25Nov 1.067M 1210 XX03  882```
```25Nov 1.267M 1481 XX02  855```
```01Oct   2.3M 1383 XX07 1663```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</si>
  <si>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1016559, *RESELL</t>
  </si>
  <si>
    <t>*RESELL*
*VS PRIMARY*
*YANSOON 5*
_Area: Downtown_
_Type: 2 bedroom apartment_
*Price dynamics, Dirham/sq.ft.*
_(x - primary; * - resell)_
```3490|           *          ```
```    |                      ```
```    |                      ```
```    |                      ```
```2742|                     *```
```    |          x        *  ```
```    |                      ```
```    |             * *  * * ```
```    |                **    ```
```1616|            * *       ```
```____|______________________```
```    |Dec1899        Jan2026```
_Source: see a table below_
*Latest resell transactions*
```Date   Price  BUA Type P/sf```
```------------2026-----------```
```08Jan  3.35M 1210 XXXX 2769```
```------------2024-----------```
```05Dec   3.1M 1383 XXXX 2242```
```27Jun  3.35M 1318 XXXX 2542```
```24Jun  3.15M 1481 XXXX 2127```
```------------2023-----------```
```02Jan 2.401M 1210 XX03 1985```
```------------2022-----------```
```23Nov   2.3M 1210 XX03 1901```
```20Oct  2.85M 1318 XX01 2162```
```31Aug 1.962M 1210 XX03 1621```
```10Aug  2.98M 1383 XX07 2155```
```14Jun     2M 1238 XX06 1616```
```13May   4.6M 1318 XX01 3490```
```13May   4.6M 1481 XX02 3106```
```------------2021-----------```
```16Sep  1.85M 1238 XX06 1494```
```29Jun   1.7M 1238 XX06 1373```
*Latest primary transactions*
```------------2025-----------```
```18Aug   3.4M 1318 XXXX 2580```</t>
  </si>
  <si>
    <t>1016560, *SALES*</t>
  </si>
  <si>
    <t>*SALES*
*TRANSACTIONS**
*YANSOON 5*
_Area: Downtown_
_Type: 3 bedroom apartment_
```Date   Price  BUA Type P/sf```
```------------2023-----------```
```31May    10M 3050 XX03 3279```
```------------2020-----------```
```16Sep  3.25M 1832 XXXX 1774```
_Source: DLD, Databot_
_BUA - built-up area, sq.ft._
_P/sf - price per sq.ft._
_B - bedrooms; O - office_
_M - million, K- thousand_
_S - studio, R - shop_
_*Max 30 latest transactions_
www.trydatabot.com</t>
  </si>
  <si>
    <t>1016561, *MARKET</t>
  </si>
  <si>
    <t>*MARKET*
*SNAPSHOT*
*YANSOON 5*
_Area: Downtown_
_Type: 3 bedroom apartment_
*Price dynamics, Dirham/sq.ft.*
_(M - median value)_
```3279|                     *```
```    |                      ```
```    |                      ```
```    |                      ```
```    |                      ```
```2527|---------------------M```
```    |                      ```
```    |                      ```
```    |                      ```
```    |                      ```
```1774|                    * ```
```____|______________________```
```    |Sep2020        May2023```
_Source: see table below_
*Latest sales transactions*
```Date   Price  BUA Type P/sf```
```------------2023-----------```
```31May    10M 3050 XX03 3279```
```------------2020-----------```
```16Sep  3.25M 1832 XXXX 1774```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</si>
  <si>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1016597, *SALES*</t>
  </si>
  <si>
    <t>*SALES*
*TRANSACTIONS (RESALE)**
*YANSOON 5*
_Area: Downtown_
_All types/bedrooms_
```Date    Price   BUA  Type B```
```------------2026-----------```
```08Jan   3.35M  1210  XXXX 2```
```------------2025-----------```
```06Oct    1.8M   752  XXXX 1```
```24Mar   1.65M   752  XXXX 1```
```------------2024-----------```
```05Dec    3.1M  1383  XXXX 2```
```24Jul    1.5M   752  XXXX 1```
```27Jun   3.35M  1318  XXXX 2```
```24Jun   3.15M  1481  XXXX 2```
```08Mar   1.55M   807  XX04 1```
```09Feb   1.64M   807  XX04 1```
```------------2023-----------```
```21Nov    1.5M   752  XXXX 1```
```25Sep  1.485M   807  XX04 1```
```14Aug   1.55M   807  XX04 1```
```31May     10M  3050  XX03 3```
```02Jan  2.401M  1210  XX03 2```
```------------2022-----------```
```16Dec    1.2M   807  XX04 1```
```23Nov    2.3M  1210  XX03 2```
```20Oct   2.85M  1318  XX01 2```
```07Oct    1.6M   807  XX04 1```
```31Aug  1.962M  1210  XX03 2```
```10Aug   2.98M  1383  XX07 2```
```14Jun      2M  1238  XX06 2```
```13May    4.6M  1318  XX01 2```
```13May    4.6M  1481  XX02 2```
```------------2021-----------```
```16Sep   1.85M  1238  XX06 2```
```29Jun    1.7M  1238  XX06 2```
```25Apr    980K   807  XX04 1```
```------------2020-----------```
```19Nov    1.2M   828  XXXX 1```
```16Sep   3.25M  1832  XXXX 3```
```------------2019-----------```
```07Apr    2.1M  1567  XX01 2```
```04Mar   1.05M   807  XX04 1```
_Source: DLD, Databot_
_BUA - built-up area, sq.ft._
_P/sf - price per sq.ft._
_B - bedrooms; O - office_
_M - million, K- thousand_
_S - studio, R - shop_
_*Max 30 latest transactions_
www.trydatabot.com</t>
  </si>
  <si>
    <t>1016598, by code, *BUILDI</t>
  </si>
  <si>
    <t xml:space="preserve">*BUILDING*
*PROFILE*
*YANSOON 5*
_Area: Downtown_
_Tap&amp;hold to copy a reply_
```-------------------------```
```Report              Reply```
```-------------------------```
*1 B/R*
```Sales, ROI        1016552```
```Price chart       1016553```
```Rentals               n/a```
*2 B/R*
```Resell, ROI       1016556```
```Primary sales     1016601```
```Price chart       1016557```
```Rentals               n/a```
```Appreciation      1016559```
*3 B/R*
```Sales, ROI        1016560```
```Price chart       1016561```
```Rentals               n/a```
*All types/bedrooms*
```Resell, ROI       1016597```
```Primary sales     1016611```
```Rentals               n/a```
</t>
  </si>
  <si>
    <t>1016601, *SALES*</t>
  </si>
  <si>
    <t>*SALES*
*TRANSACTIONS (PRIMARY)**
*YANSOON 5*
_Area: Downtown_
_Type: 2 bedroom apartment_
```Date   Price  BUA Type P/sf```
```------------2025-----------```
```18Aug   3.4M 1318 XXXX 2580```
_Source: DLD, Databot_
_BUA - built-up area, sq.ft._
_P/sf - price per sq.ft._
_B - bedrooms; O - office_
_M - million, K- thousand_
_S - studio, R - shop_
_*Max 20 latest transactions_
www.trydatabot.com</t>
  </si>
  <si>
    <t>1016611, *SALES*</t>
  </si>
  <si>
    <t>*SALES*
*TRANSACTIONS (PRIMARY)**
*YANSOON 5*
_Area: Downtown_
_All types/bedrooms_
```Date    Price   BUA  Type B```
```------------2025-----------```
```18Aug    3.4M  1318  XXXX 2```
_Source: DLD, Databot_
_BUA - built-up area, sq.ft._
_P/sf - price per sq.ft._
_B - bedrooms; O - office_
_M - million, K- thousand_
_S - studio, R - shop_
_*Max 20 latest transactions_
www.trydatabot.com</t>
  </si>
  <si>
    <t>1016616, *SALES*</t>
  </si>
  <si>
    <t>*SALES*
*TRANSACTIONS**
*YANSOON 6*
_Area: Downtown_
_Type: 1 bedroom apartment_
```Date   Price  BUA Type P/sf```
```------------2025-----------```
```15Dec   2.1M  785 XX55 2675```
```------------2024-----------```
```23Aug   2.3M 1538 XXXX 1495```
```30Apr  1.85M  803 XX02 2304```
```11Mar   2.4M 1003 XX06 2393```
```------------2023-----------```
```25May   2.2M 1011 XXXX 2176```
```23May 1.635M  785 XX01 2083```
```------------2022-----------```
```07Oct   1.9M  957 XX11 1985```
```23Sep 1.525M 1003 XX06 1520```
```31Mar   1.1M  803 XX02 1370```
```------------2021-----------```
```20Dec  1.35M 1003 XX06 1346```
```27Apr   1.2M  803 XX02 1494```
```------------2020-----------```
```14Dec  1.25M  957 XX11 1306```
```04Mar  1.25M  957 XX11 1306```
```------------2019-----------```
```27Jan     1M 1003 XX06  997```
```------------2018-----------```
```21Feb     2M  968 XXXX 2066```
_Source: DLD, Databot_
_BUA - built-up area, sq.ft._
_P/sf - price per sq.ft._
_B - bedrooms; O - office_
_M - million, K- thousand_
_S - studio, R - shop_
_*Max 30 latest transactions_
www.trydatabot.com</t>
  </si>
  <si>
    <t>Yansoon 6</t>
  </si>
  <si>
    <t>1016617, *MARKET</t>
  </si>
  <si>
    <t>*MARKET*
*SNAPSHOT*
*YANSOON 6*
_Area: Downtown_
_Type: 1 bedroom apartment_
*Price dynamics, Dirham/sq.ft.*
_(M - median value)_
```2675|                     *```
```    |                      ```
```    |                  **  ```
```    |                 *    ```
```    |       *       **     ```
```    |                      ```
```    |                      ```
```1520|---------------------M```
```    |           *  *     * ```
```    |         ** **        ```
```997 |        *             ```
```____|______________________```
```    |Feb2018        Dec2025```
_Source: see table below_
*Latest sales transactions*
```Date   Price  BUA Type P/sf```
```------------2025-----------```
```15Dec   2.1M  785 XX55 2675```
```------------2024-----------```
```23Aug   2.3M 1538 XXXX 1495```
```30Apr  1.85M  803 XX02 2304```
```11Mar   2.4M 1003 XX06 2393```
```------------2023-----------```
```25May   2.2M 1011 XXXX 2176```
```23May 1.635M  785 XX01 2083```
```------------2022-----------```
```07Oct   1.9M  957 XX11 1985```
```23Sep 1.525M 1003 XX06 1520```
```31Mar   1.1M  803 XX02 1370```
```------------2021-----------```
```20Dec  1.35M 1003 XX06 1346```
```27Apr   1.2M  803 XX02 1494```
```------------2020-----------```
```14Dec  1.25M  957 XX11 1306```
```04Mar  1.25M  957 XX11 1306```
```------------2019-----------```
```27Jan     1M 1003 XX06  997```
```------------2018-----------```
```21Feb     2M  968 XXXX 2066```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</si>
  <si>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1016620, *SALES*</t>
  </si>
  <si>
    <t>*SALES*
*TRANSACTIONS**
*YANSOON 6*
_Area: Downtown_
_Type: 2 bedroom apartment_
```Date   Price  BUA Type P/sf```
```------------2026-----------```
```13Jan  3.15M 1326 XXXX 2376```
```------------2025-----------```
```16Jul     5M 2828 XXXX 1768```
```18Apr  3.25M 1394 XXXX 2331```
```27Mar  4.05M 1281 XXXX 3162```
```------------2024-----------```
```17Dec   2.8M 1394 XXXX 2009```
```29Nov  3.65M 1281 XXXX 2849```
```14Nov   2.6M 1332 XXXX 1952```
```------------2023-----------```
```28Feb 3.344M 1405 XXXX 2380```
```------------2022-----------```
```23Dec   2.5M 1394 XX04 1793```
```30Mar  2.45M 1504 XX01 1629```
```------------2021-----------```
```22Dec  1.82M 1326 XX03 1373```
```25Nov   2.5M 1394 XX04 1793```
```07Jul 2.925M 1284 XXXX 2278```
```28Mar 1.715M 1326 XX03 1293```
```03Jan   1.7M 1280 XX10 1328```
```------------2019-----------```
```04Nov 1.336M 1280 XX10 1044```
_Source: DLD, Databot_
_BUA - built-up area, sq.ft._
_P/sf - price per sq.ft._
_B - bedrooms; O - office_
_M - million, K- thousand_
_S - studio, R - shop_
_*Max 30 latest transactions_
www.trydatabot.com</t>
  </si>
  <si>
    <t>1016621, *MARKET</t>
  </si>
  <si>
    <t>*MARKET*
*SNAPSHOT*
*YANSOON 6*
_Area: Downtown_
_Type: 2 bedroom apartment_
*Price dynamics, Dirham/sq.ft.*
_(M - median value)_
```3162|                  *   ```
```    |                *     ```
```    |                      ```
```    |                      ```
```    |         *    *    * *```
```    |                 *    ```
```1873|---------------------M```
```    |          *  * *      ```
```    |            *       * ```
```    |       **  *          ```
```1044|      *               ```
```____|______________________```
```    |Nov2019        Jan2026```
_Source: see table below_
*Latest sales transactions*
```Date   Price  BUA Type P/sf```
```------------2026-----------```
```13Jan  3.15M 1326 XXXX 2376```
```------------2025-----------```
```16Jul     5M 2828 XXXX 1768```
```18Apr  3.25M 1394 XXXX 2331```
```27Mar  4.05M 1281 XXXX 3162```
```------------2024-----------```
```17Dec   2.8M 1394 XXXX 2009```
```29Nov  3.65M 1281 XXXX 2849```
```14Nov   2.6M 1332 XXXX 1952```
```------------2023-----------```
```28Feb 3.344M 1405 XXXX 2380```
```------------2022-----------```
```23Dec   2.5M 1394 XX04 1793```
```30Mar  2.45M 1504 XX01 1629```
```------------2021-----------```
```22Dec  1.82M 1326 XX03 1373```
```25Nov   2.5M 1394 XX04 1793```
```07Jul 2.925M 1284 XXXX 2278```
```28Mar 1.715M 1326 XX03 1293```
```03Jan   1.7M 1280 XX10 1328```
```------------2019-----------```
```04Nov 1.336M 1280 XX10 1044```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</si>
  <si>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1016624, *SALES*</t>
  </si>
  <si>
    <t>*SALES*
*TRANSACTIONS**
*YANSOON 6*
_Area: Downtown_
_Type: 3 bedroom apartment_
```Date   Price  BUA Type P/sf```
```------------2025-----------```
```02Jan   5.9M 2139 XXXX 2758```
```------------2024-----------```
```01Apr   4.9M 2139 XX09 2291```
```------------2022-----------```
```04Jul   3.5M 2139 XX09 1636```
```------------2019-----------```
```21Jul  2.75M 2139 XX09 1286```
```------------2018-----------```
```07Jun  3.81M 2139 XX09 1781```
_Source: DLD, Databot_
_BUA - built-up area, sq.ft._
_P/sf - price per sq.ft._
_B - bedrooms; O - office_
_M - million, K- thousand_
_S - studio, R - shop_
_*Max 30 latest transactions_
www.trydatabot.com</t>
  </si>
  <si>
    <t>1016625, *MARKET</t>
  </si>
  <si>
    <t>*MARKET*
*SNAPSHOT*
*YANSOON 6*
_Area: Downtown_
_Type: 3 bedroom apartment_
*Price dynamics, Dirham/sq.ft.*
_(M - median value)_
```2758|                     *```
```    |                      ```
```    |                      ```
```    |                    * ```
```    |                      ```
```    |                      ```
```    |                      ```
```1781|---------------------M```
```    |                 *    ```
```    |                   *  ```
```1286|                  *   ```
```____|______________________```
```    |Jun2018        Jan2025```
_Source: see table below_
*Latest sales transactions*
```Date   Price  BUA Type P/sf```
```------------2025-----------```
```02Jan   5.9M 2139 XXXX 2758```
```------------2024-----------```
```01Apr   4.9M 2139 XX09 2291```
```------------2022-----------```
```04Jul   3.5M 2139 XX09 1636```
```------------2019-----------```
```21Jul  2.75M 2139 XX09 1286```
```------------2018-----------```
```07Jun  3.81M 2139 XX09 1781```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</si>
  <si>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1016661, *SALES*</t>
  </si>
  <si>
    <t>*SALES*
*TRANSACTIONS**
*YANSOON 6*
_Area: Downtown_
_All types/bedrooms_
```Date    Price   BUA  Type B```
```------------2026-----------```
```13Jan   3.15M  1326  XXXX 2```
```------------2025-----------```
```15Dec    2.1M   785  XX55 1```
```16Jul      5M  2828  XXXX 2```
```18Apr   3.25M  1394  XXXX 2```
```27Mar   4.05M  1281  XXXX 2```
```02Jan    5.9M  2139  XXXX 3```
```------------2024-----------```
```17Dec    2.8M  1394  XXXX 2```
```29Nov   3.65M  1281  XXXX 2```
```14Nov    2.6M  1332  XXXX 2```
```23Aug    2.3M  1538  XXXX 1```
```30Apr   1.85M   803  XX02 1```
```01Apr    4.9M  2139  XX09 3```
```11Mar    2.4M  1003  XX06 1```
```------------2023-----------```
```25May    2.2M  1011  XXXX 1```
```23May  1.635M   785  XX01 1```
```28Feb  3.344M  1405  XXXX 2```
```------------2022-----------```
```23Dec    2.5M  1394  XX04 2```
```07Oct    1.9M   957  XX11 1```
```23Sep  1.525M  1003  XX06 1```
```04Jul    3.5M  2139  XX09 3```
```31Mar    1.1M   803  XX02 1```
```30Mar   2.45M  1504  XX01 2```
```------------2021-----------```
```22Dec   1.82M  1326  XX03 2```
```20Dec   1.35M  1003  XX06 1```
```25Nov    2.5M  1394  XX04 2```
```07Jul  2.925M  1284  XXXX 2```
```27Apr    1.2M   803  XX02 1```
```28Mar  1.715M  1326  XX03 2```
```03Jan    1.7M  1280  XX10 2```
```------------2020-----------```
```14Dec   1.25M   957  XX11 1```
_Source: DLD, Databot_
_BUA - built-up area, sq.ft._
_P/sf - price per sq.ft._
_B - bedrooms; O - office_
_M - million, K- thousand_
_S - studio, R - shop_
_*Max 30 latest transactions_
www.trydatabot.com</t>
  </si>
  <si>
    <t>1016662, by code, *BUILDI</t>
  </si>
  <si>
    <t xml:space="preserve">*BUILDING*
*PROFILE*
*YANSOON 6*
_Area: Downtown_
_Tap&amp;hold to copy a reply_
```-------------------------```
```Report              Reply```
```-------------------------```
*1 B/R*
```Sales, ROI        1016616```
```Price chart       1016617```
```Rentals               n/a```
*2 B/R*
```Sales, ROI        1016620```
```Price chart       1016621```
```Rentals               n/a```
*3 B/R*
```Sales, ROI        1016624```
```Price chart       1016625```
```Rentals               n/a```
*All types/bedrooms*
```Sales, ROI        1016661```
```Rentals               n/a```
</t>
  </si>
  <si>
    <t>1016680, *SALES*</t>
  </si>
  <si>
    <t>*SALES*
*TRANSACTIONS**
*YANSOON 7*
_Area: Downtown_
_Type: 1 bedroom apartment_
```Date   Price  BUA Type P/sf```
```------------2025-----------```
```17Jun  2.44M 1235 XXXX 1976```
```------------2023-----------```
```27Jul  1.65M  815 XX08 2025```
```------------2022-----------```
```07Jul   1.2M  815 XX08 1472```
```------------2021-----------```
```17Nov 1.006M  816 XX09 1232```
```27Jul 1.315M  733 XXXX 1794```
_Source: DLD, Databot_
_BUA - built-up area, sq.ft._
_P/sf - price per sq.ft._
_B - bedrooms; O - office_
_M - million, K- thousand_
_S - studio, R - shop_
_*Max 30 latest transactions_
www.trydatabot.com</t>
  </si>
  <si>
    <t>Yansoon 7</t>
  </si>
  <si>
    <t>1016681, *MARKET</t>
  </si>
  <si>
    <t>*MARKET*
*SNAPSHOT*
*YANSOON 7*
_Area: Downtown_
_Type: 1 bedroom apartment_
*Price dynamics, Dirham/sq.ft.*
_(M - median value)_
```2025|                    * ```
```    |                     *```
```    |                      ```
```1794|---------------------M```
```    |                 *    ```
```    |                      ```
```    |                      ```
```    |                      ```
```    |                   *  ```
```    |                      ```
```1232|                  *   ```
```____|______________________```
```    |Jul2021        Jun2025```
_Source: see table below_
*Latest sales transactions*
```Date   Price  BUA Type P/sf```
```------------2025-----------```
```17Jun  2.44M 1235 XXXX 1976```
```------------2023-----------```
```27Jul  1.65M  815 XX08 2025```
```------------2022-----------```
```07Jul   1.2M  815 XX08 1472```
```------------2021-----------```
```17Nov 1.006M  816 XX09 1232```
```27Jul 1.315M  733 XXXX 1794```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</si>
  <si>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1016684, *SALES*</t>
  </si>
  <si>
    <t>*SALES*
*TRANSACTIONS**
*YANSOON 7*
_Area: Downtown_
_Type: 2 bedroom apartment_
```Date   Price  BUA Type P/sf```
```------------2025-----------```
```18Sep   3.4M 1486 XXXX 2288```
```11Mar 3.625M 1407 XXXX 2576```
```------------2024-----------```
```27Aug   3.1M 1464 XXXX 2117```
```------------2023-----------```
```27Jul  2.55M 1442 XX04 1768```
```------------2021-----------```
```09Aug  2.35M 1442 XX04 1630```
```17Feb 1.715M 1442 XX04 1189```
```------------2020-----------```
```06Apr   1.6M 1442 XX04 1110```
```------------2019-----------```
```02Jan   2.8M 1474 XX05 1900```
_Source: DLD, Databot_
_BUA - built-up area, sq.ft._
_P/sf - price per sq.ft._
_B - bedrooms; O - office_
_M - million, K- thousand_
_S - studio, R - shop_
_*Max 30 latest transactions_
www.trydatabot.com</t>
  </si>
  <si>
    <t>1016685, *MARKET</t>
  </si>
  <si>
    <t>*MARKET*
*SNAPSHOT*
*YANSOON 7*
_Area: Downtown_
_Type: 2 bedroom apartment_
*Price dynamics, Dirham/sq.ft.*
_(M - median value)_
```2576|                    * ```
```    |                      ```
```    |                     *```
```    |                   *  ```
```    |                      ```
```1834|---------------------M```
```    |              *   *   ```
```    |                 *    ```
```    |                      ```
```    |                      ```
```1110|               **     ```
```____|______________________```
```    |Jan2019        Sep2025```
_Source: see table below_
*Latest sales transactions*
```Date   Price  BUA Type P/sf```
```------------2025-----------```
```18Sep   3.4M 1486 XXXX 2288```
```11Mar 3.625M 1407 XXXX 2576```
```------------2024-----------```
```27Aug   3.1M 1464 XXXX 2117```
```------------2023-----------```
```27Jul  2.55M 1442 XX04 1768```
```------------2021-----------```
```09Aug  2.35M 1442 XX04 1630```
```17Feb 1.715M 1442 XX04 1189```
```------------2020-----------```
```06Apr   1.6M 1442 XX04 1110```
```------------2019-----------```
```02Jan   2.8M 1474 XX05 1900```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</si>
  <si>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1016688, *SALES*</t>
  </si>
  <si>
    <t>*SALES*
*TRANSACTIONS**
*YANSOON 7*
_Area: Downtown_
_Type: 3 bedroom apartment_
```Date   Price  BUA Type P/sf```
```------------2025-----------```
```18Nov   6.4M 3452 XXXX 1854```
```23Oct     5M 1944 XXXX 2572```
```------------2021-----------```
```11Jul     3M 1895 XX10 1583```
```30Mar   3.2M 2044 XX11 1566```
```------------2019-----------```
```24Mar   2.9M 1937 XX02 1497```
_Source: DLD, Databot_
_BUA - built-up area, sq.ft._
_P/sf - price per sq.ft._
_B - bedrooms; O - office_
_M - million, K- thousand_
_S - studio, R - shop_
_*Max 30 latest transactions_
www.trydatabot.com</t>
  </si>
  <si>
    <t>1016689, *MARKET</t>
  </si>
  <si>
    <t>*MARKET*
*SNAPSHOT*
*YANSOON 7*
_Area: Downtown_
_Type: 3 bedroom apartment_
*Price dynamics, Dirham/sq.ft.*
_(M - median value)_
```2572|                    * ```
```    |                      ```
```    |                      ```
```    |                      ```
```    |                      ```
```    |                      ```
```    |                      ```
```    |                     *```
```    |                      ```
```1497|                 ***  ```
```1497|                 ***  ```
```____|______________________```
```    |Mar2019        Nov2025```
_Source: see table below_
*Latest sales transactions*
```Date   Price  BUA Type P/sf```
```------------2025-----------```
```18Nov   6.4M 3452 XXXX 1854```
```23Oct     5M 1944 XXXX 2572```
```------------2021-----------```
```11Jul     3M 1895 XX10 1583```
```30Mar   3.2M 2044 XX11 1566```
```------------2019-----------```
```24Mar   2.9M 1937 XX02 1497```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</si>
  <si>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1016725, *SALES*</t>
  </si>
  <si>
    <t>*SALES*
*TRANSACTIONS**
*YANSOON 7*
_Area: Downtown_
_All types/bedrooms_
```Date    Price   BUA  Type B```
```------------2025-----------```
```18Nov    6.4M  3452  XXXX 3```
```23Oct      5M  1944  XXXX 3```
```18Sep    3.4M  1486  XXXX 2```
```17Jun   2.44M  1235  XXXX 1```
```11Mar  3.625M  1407  XXXX 2```
```------------2024-----------```
```27Aug    3.1M  1464  XXXX 2```
```------------2023-----------```
```27Jul   1.65M   815  XX08 1```
```27Jul   2.55M  1442  XX04 2```
```------------2022-----------```
```07Jul    1.2M   815  XX08 1```
```------------2021-----------```
```17Nov  1.006M   816  XX09 1```
```09Aug   2.35M  1442  XX04 2```
```27Jul  1.315M   733  XXXX 1```
```11Jul      3M  1895  XX10 3```
```30Mar    3.2M  2044  XX11 3```
```17Feb  1.715M  1442  XX04 2```
```------------2020-----------```
```06Apr    1.6M  1442  XX04 2```
```------------2019-----------```
```24Mar    2.9M  1937  XX02 3```
```02Jan    2.8M  1474  XX05 2```
_Source: DLD, Databot_
_BUA - built-up area, sq.ft._
_P/sf - price per sq.ft._
_B - bedrooms; O - office_
_M - million, K- thousand_
_S - studio, R - shop_
_*Max 30 latest transactions_
www.trydatabot.com</t>
  </si>
  <si>
    <t>1016726, by code, *BUILDI</t>
  </si>
  <si>
    <t xml:space="preserve">*BUILDING*
*PROFILE*
*YANSOON 7*
_Area: Downtown_
_Tap&amp;hold to copy a reply_
```-------------------------```
```Report              Reply```
```-------------------------```
*1 B/R*
```Sales, ROI        1016680```
```Price chart       1016681```
```Rentals               n/a```
*2 B/R*
```Sales, ROI        1016684```
```Price chart       1016685```
```Rentals               n/a```
*3 B/R*
```Sales, ROI        1016688```
```Price chart       1016689```
```Rentals               n/a```
*All types/bedrooms*
```Sales, ROI        1016725```
```Rentals               n/a```
</t>
  </si>
  <si>
    <t>1016744, *SALES*</t>
  </si>
  <si>
    <t>*SALES*
*TRANSACTIONS**
*YANSOON 8*
_Area: Downtown_
_Type: 1 bedroom apartment_
```Date   Price  BUA Type P/sf```
```------------2025-----------```
```20Aug  1.85M  870 XXXX 2126```
```------------2024-----------```
```16May  1.75M  958 XX04 1827```
```------------2023-----------```
```19Oct   1.6M  870 XX01 1839```
```------------2022-----------```
```28Jan 1.074M  870 XX01 1234```
```------------2021-----------```
```29Jun  1.39M  971 XX05 1432```
```------------2018-----------```
```19Apr  1.65M  958 XX04 1722```
_Source: DLD, Databot_
_BUA - built-up area, sq.ft._
_P/sf - price per sq.ft._
_B - bedrooms; O - office_
_M - million, K- thousand_
_S - studio, R - shop_
_*Max 30 latest transactions_
www.trydatabot.com</t>
  </si>
  <si>
    <t>Yansoon 8</t>
  </si>
  <si>
    <t>1016745, *MARKET</t>
  </si>
  <si>
    <t>*MARKET*
*SNAPSHOT*
*YANSOON 8*
_Area: Downtown_
_Type: 1 bedroom apartment_
*Price dynamics, Dirham/sq.ft.*
_(M - median value)_
```2126|                     *```
```    |                      ```
```    |                      ```
```    |                   ** ```
```1775|---------------------M```
```    |                      ```
```    |                *     ```
```    |                      ```
```    |                      ```
```    |                 *    ```
```1234|                  *   ```
```____|______________________```
```    |Apr2018        Aug2025```
_Source: see table below_
*Latest sales transactions*
```Date   Price  BUA Type P/sf```
```------------2025-----------```
```20Aug  1.85M  870 XXXX 2126```
```------------2024-----------```
```16May  1.75M  958 XX04 1827```
```------------2023-----------```
```19Oct   1.6M  870 XX01 1839```
```------------2022-----------```
```28Jan 1.074M  870 XX01 1234```
```------------2021-----------```
```29Jun  1.39M  971 XX05 1432```
```------------2018-----------```
```19Apr  1.65M  958 XX04 1722```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</si>
  <si>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1016748, *SALES*</t>
  </si>
  <si>
    <t>*SALES*
*TRANSACTIONS**
*YANSOON 8*
_Area: Downtown_
_Type: 2 bedroom apartment_
```Date   Price  BUA Type P/sf```
```------------2024-----------```
```30Aug   3.1M 1445 XXXX 2145```
```13May  3.75M 2081 XXXX 1802```
_Source: DLD, Databot_
_BUA - built-up area, sq.ft._
_P/sf - price per sq.ft._
_B - bedrooms; O - office_
_M - million, K- thousand_
_S - studio, R - shop_
_*Max 30 latest transactions_
www.trydatabot.com</t>
  </si>
  <si>
    <t>1016749, *MARKET</t>
  </si>
  <si>
    <t>*MARKET*
*SNAPSHOT*
*YANSOON 8*
_Area: Downtown_
_Type: 2 bedroom apartment_
*Price dynamics, Dirham/sq.ft.*
_(M - median value)_
```2145|                     *```
```    |                      ```
```    |                      ```
```    |                      ```
```    |                      ```
```1974|---------------------M```
```    |                      ```
```    |                      ```
```    |                      ```
```    |                      ```
```1802|                    * ```
```____|______________________```
```    |May2024        Aug2024```
_Source: see table below_
*Latest sales transactions*
```Date   Price  BUA Type P/sf```
```------------2024-----------```
```30Aug   3.1M 1445 XXXX 2145```
```13May  3.75M 2081 XXXX 1802```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</si>
  <si>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1016752, *SALES*</t>
  </si>
  <si>
    <t>*SALES*
*TRANSACTIONS**
*YANSOON 8*
_Area: Downtown_
_Type: 3 bedroom apartment_
```Date   Price  BUA Type P/sf```
```------------2025-----------```
```05Mar     6M 3020 XXXX 1987```
```19Feb  4.35M 1766 XXXX 2463```
```------------2024-----------```
```26Aug   4.1M 1764 XXXX 2324```
```10May 5.325M 1766 XX03 3015```
```------------2023-----------```
```17May  3.78M 1770 XX02 2136```
```------------2020-----------```
```11Feb  2.55M 1755 XX07 1453```
_Source: DLD, Databot_
_BUA - built-up area, sq.ft._
_P/sf - price per sq.ft._
_B - bedrooms; O - office_
_M - million, K- thousand_
_S - studio, R - shop_
_*Max 30 latest transactions_
www.trydatabot.com</t>
  </si>
  <si>
    <t>1016753, *MARKET</t>
  </si>
  <si>
    <t>*MARKET*
*SNAPSHOT*
*YANSOON 8*
_Area: Downtown_
_Type: 3 bedroom apartment_
*Price dynamics, Dirham/sq.ft.*
_(M - median value)_
```3015|                  *   ```
```    |                      ```
```    |                      ```
```    |                      ```
```    |                   ** ```
```2230|---------------------M```
```    |                      ```
```    |                 *    ```
```    |                     *```
```    |                      ```
```1453|                *     ```
```____|______________________```
```    |Feb2020        Mar2025```
_Source: see table below_
*Latest sales transactions*
```Date   Price  BUA Type P/sf```
```------------2025-----------```
```05Mar     6M 3020 XXXX 1987```
```19Feb  4.35M 1766 XXXX 2463```
```------------2024-----------```
```26Aug   4.1M 1764 XXXX 2324```
```10May 5.325M 1766 XX03 3015```
```------------2023-----------```
```17May  3.78M 1770 XX02 2136```
```------------2020-----------```
```11Feb  2.55M 1755 XX07 1453```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</si>
  <si>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1016789, *SALES*</t>
  </si>
  <si>
    <t>*SALES*
*TRANSACTIONS**
*YANSOON 8*
_Area: Downtown_
_All types/bedrooms_
```Date    Price   BUA  Type B```
```------------2025-----------```
```20Aug   1.85M   870  XXXX 1```
```05Mar      6M  3020  XXXX 3```
```19Feb   4.35M  1766  XXXX 3```
```------------2024-----------```
```30Aug    3.1M  1445  XXXX 2```
```26Aug    4.1M  1764  XXXX 3```
```16May   1.75M   958  XX04 1```
```13May   3.75M  2081  XXXX 2```
```10May  5.325M  1766  XX03 3```
```------------2023-----------```
```19Oct    1.6M   870  XX01 1```
```17May   3.78M  1770  XX02 3```
```------------2022-----------```
```28Jan  1.074M   870  XX01 1```
```------------2021-----------```
```29Jun   1.39M   971  XX05 1```
```------------2020-----------```
```11Feb   2.55M  1755  XX07 3```
```------------2018-----------```
```19Apr   1.65M   958  XX04 1```
_Source: DLD, Databot_
_BUA - built-up area, sq.ft._
_P/sf - price per sq.ft._
_B - bedrooms; O - office_
_M - million, K- thousand_
_S - studio, R - shop_
_*Max 30 latest transactions_
www.trydatabot.com</t>
  </si>
  <si>
    <t>1016790, by code, *BUILDI</t>
  </si>
  <si>
    <t xml:space="preserve">*BUILDING*
*PROFILE*
*YANSOON 8*
_Area: Downtown_
_Tap&amp;hold to copy a reply_
```-------------------------```
```Report              Reply```
```-------------------------```
*1 B/R*
```Sales, ROI        1016744```
```Price chart       1016745```
```Rentals               n/a```
*2 B/R*
```Sales, ROI        1016748```
```Price chart       1016749```
```Rentals               n/a```
*3 B/R*
```Sales, ROI        1016752```
```Price chart       1016753```
```Rentals               n/a```
*All types/bedrooms*
```Sales, ROI        1016789```
```Rentals               n/a```
</t>
  </si>
  <si>
    <t>1016808, *SALES*</t>
  </si>
  <si>
    <t>*SALES*
*TRANSACTIONS**
*YANSOON 9*
_Area: Downtown_
_Type: 1 bedroom apartment_
```Date   Price  BUA Type P/sf```
```------------2022-----------```
```14Jul  1.45M  890 XX08 1629```
```07Jul 1.275M  980 XX04 1301```
```17Jan 1.423M  890 XX08 1599```
_Source: DLD, Databot_
_BUA - built-up area, sq.ft._
_P/sf - price per sq.ft._
_B - bedrooms; O - office_
_M - million, K- thousand_
_S - studio, R - shop_
_*Max 30 latest transactions_
www.trydatabot.com</t>
  </si>
  <si>
    <t>Yansoon 9</t>
  </si>
  <si>
    <t>1016809, *MARKET</t>
  </si>
  <si>
    <t>*MARKET*
*SNAPSHOT*
*YANSOON 9*
_Area: Downtown_
_Type: 1 bedroom apartment_
*Price dynamics, Dirham/sq.ft.*
_(M - median value)_
```1629|                     *```
```1599|----------------------```
```    |                   *  ```
```    |                      ```
```    |                      ```
```    |                      ```
```    |                      ```
```    |                      ```
```    |                      ```
```    |                      ```
```1301|                    * ```
```____|______________________```
```    |Jan2022        Jul2022```
_Source: see table below_
*Latest sales transactions*
```Date   Price  BUA Type P/sf```
```------------2022-----------```
```14Jul  1.45M  890 XX08 1629```
```07Jul 1.275M  980 XX04 1301```
```17Jan 1.423M  890 XX08 1599```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</si>
  <si>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1016832, *SALES*</t>
  </si>
  <si>
    <t>*SALES*
*TRANSACTIONS**
*YANSOON 9*
_Area: Downtown_
_Type: office_
```Date   Price  BUA Type P/sf```
```------------2025-----------```
```03Nov    10M 3419 XXXX 2925```
```------------2024-----------```
```13Aug     9M 3419 XXXX 2632```
```30May    11M 3419 XX05 3217```
```20May     9M 3419 XX05 2632```
```------------2020-----------```
```03Sep  2.84M 3523 XX04  806```
_Source: DLD, Databot_
_BUA - built-up area, sq.ft._
_P/sf - price per sq.ft._
_B - bedrooms; O - office_
_M - million, K- thousand_
_S - studio, R - shop_
_*Max 30 latest transactions_
www.trydatabot.com</t>
  </si>
  <si>
    <t>1016833, *MARKET</t>
  </si>
  <si>
    <t>*MARKET*
*SNAPSHOT*
*YANSOON 9*
_Area: Downtown_
_Type: office_
*Price dynamics, Dirham/sq.ft.*
_(M - median value)_
```3217|                   *  ```
```    |                     *```
```2632|---------------------M```
```    |                  * * ```
```    |                      ```
```    |                      ```
```    |                      ```
```    |                      ```
```    |                      ```
```    |                      ```
```806 |                 *    ```
```____|______________________```
```    |Sep2020        Nov2025```
_Source: see table below_
*Latest sales transactions*
```Date   Price  BUA Type P/sf```
```------------2025-----------```
```03Nov    10M 3419 XXXX 2925```
```------------2024-----------```
```13Aug     9M 3419 XXXX 2632```
```30May    11M 3419 XX05 3217```
```20May     9M 3419 XX05 2632```
```------------2020-----------```
```03Sep  2.84M 3523 XX04  806```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</si>
  <si>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1016853, *SALES*</t>
  </si>
  <si>
    <t>*SALES*
*TRANSACTIONS**
*YANSOON 9*
_Area: Downtown_
_All types/bedrooms_
```Date    Price   BUA  Type B```
```------------2025-----------```
```03Nov     10M  3419  XXXX O```
```------------2024-----------```
```13Aug      9M  3419  XXXX O```
```30May     11M  3419  XX05 O```
```20May      9M  3419  XX05 O```
```------------2022-----------```
```14Jul   1.45M   890  XX08 1```
```07Jul  1.275M   980  XX04 1```
```17Jan  1.423M   890  XX08 1```
```------------2020-----------```
```03Sep   2.84M  3523  XX04 O```
_Source: DLD, Databot_
_BUA - built-up area, sq.ft._
_P/sf - price per sq.ft._
_B - bedrooms; O - office_
_M - million, K- thousand_
_S - studio, R - shop_
_*Max 30 latest transactions_
www.trydatabot.com</t>
  </si>
  <si>
    <t>1016854, by code, *BUILDI</t>
  </si>
  <si>
    <t xml:space="preserve">*BUILDING*
*PROFILE*
*YANSOON 9*
_Area: Downtown_
_Tap&amp;hold to copy a reply_
```-------------------------```
```Report              Reply```
```-------------------------```
*1 B/R*
```Sales, ROI        1016808```
```Price chart       1016809```
```Rentals               n/a```
*Office*
```Sales, ROI        1016832```
```Price chart       1016833```
```Rentals               n/a```
*All types/bedrooms*
```Sales, ROI        1016853```
```Rentals               n/a```
</t>
  </si>
  <si>
    <t>1016872, *SALES*</t>
  </si>
  <si>
    <t>*SALES*
*TRANSACTIONS**
*YANSOON 1-9*
_Area: Downtown_
_Type: 1 bedroom apartment_
```Date   Price  BUA Type P/sf```
```------------2026-----------```
```07Jan   2.5M 1225 XXXX 2041```
```------------2025-----------```
```15Dec   2.1M  785 XX55 2675```
```06Oct   1.8M  752 XXXX 2394```
```20Aug  1.85M  870 XXXX 2126```
```15Jul  1.95M  785 XX55 2484```
```17Jun  2.44M 1235 XXXX 1976```
```16May  2.45M 1521 XXXX 1611```
```24Mar  1.65M  752 XXXX 2194```
```------------2024-----------```
```12Dec  2.52M 1491 XX02 1690```
```02Dec  2.16M 1282 XXXX 1685```
```07Oct   1.7M  773 XXXX 2199```
```23Aug   1.7M  815 XXXX 2086```
```23Aug   2.3M 1538 XXXX 1495```
```06Aug   1.4M  806 XXXX 1737```
```24Jul   1.5M  752 XXXX 1995```
```26Jun  1.75M  773 XXXX 2264```
```28May  1.63M  806 XX04 2022```
```16May  1.75M  958 XX04 1827```
```30Apr  1.85M  803 XX02 2304```
```11Mar   2.4M 1003 XX06 2393```
```08Mar  1.55M  807 XX04 1921```
```09Feb  1.64M  807 XX04 2032```
```------------2023-----------```
```22Nov  1.65M  947 XX01 1742```
```21Nov   1.5M  752 XXXX 1995```
```19Oct   1.6M  870 XX01 1839```
```25Sep 1.485M  807 XX04 1840```
```14Aug  1.55M  807 XX04 1921```
```03Aug   1.9M  773 XX05 2458```
```27Jul  1.65M  815 XX08 2025```
```06Jul   1.7M  785 XX03 2166```
_Source: DLD, Databot_
_BUA - built-up area, sq.ft._
_P/sf - price per sq.ft._
_B - bedrooms; O - office_
_M - million, K- thousand_
_S - studio, R - shop_
_*Max 30 latest transactions_
www.trydatabot.com</t>
  </si>
  <si>
    <t>Yansoon 1-9</t>
  </si>
  <si>
    <t>1016873, *MARKET</t>
  </si>
  <si>
    <t>*MARKET*
*SNAPSHOT*
*YANSOON 1-9*
_Area: Downtown_
_Type: 1 bedroom apartment_
*Price dynamics, Dirham/sq.ft.*
_(M - median value)_
```2675|                    * ```
```    |                      ```
```    |  *              * *  ```
```    |   *  *               ```
```    |           *  *       ```
```2037|---------------------M```
```    |*         *       *  *```
```    | *   * *        *     ```
```    |    *                 ```
```    |        *   **        ```
```1495|         *     *      ```
```____|______________________```
```    |Feb2024        Jan2026```
_Source: see table below_
*Latest sales transactions*
```Date   Price  BUA Type P/sf```
```------------2026-----------```
```07Jan   2.5M 1225 XXXX 2041```
```------------2025-----------```
```15Dec   2.1M  785 XX55 2675```
```06Oct   1.8M  752 XXXX 2394```
```20Aug  1.85M  870 XXXX 2126```
```15Jul  1.95M  785 XX55 2484```
```17Jun  2.44M 1235 XXXX 1976```
```16May  2.45M 1521 XXXX 1611```
```24Mar  1.65M  752 XXXX 2194```
```------------2024-----------```
```12Dec  2.52M 1491 XX02 1690```
```02Dec  2.16M 1282 XXXX 1685```
```07Oct   1.7M  773 XXXX 2199```
```23Aug   1.7M  815 XXXX 2086```
```23Aug   2.3M 1538 XXXX 1495```
```06Aug   1.4M  806 XXXX 1737```
```24Jul   1.5M  752 XXXX 1995```
```26Jun  1.75M  773 XXXX 2264```
```28May  1.63M  806 XX04 2022```
```16May  1.75M  958 XX04 1827```
```30Apr  1.85M  803 XX02 2304```
```11Mar   2.4M 1003 XX06 2393```
```08Mar  1.55M  807 XX04 1921```
```09Feb  1.64M  807 XX04 2032```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</si>
  <si>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1016876, *SALES*</t>
  </si>
  <si>
    <t>*SALES*
*TRANSACTIONS (RESALE)**
*YANSOON 1-9*
_Area: Downtown_
_Type: 2 bedroom apartment_
```Date   Price  BUA Type P/sf```
```------------2026-----------```
```16Jan 3.375M 1258 XXXX 2683```
```13Jan  3.15M 1326 XXXX 2376```
```08Jan  3.35M 1210 XXXX 2769```
```------------2025-----------```
```15Oct   2.8M 1221 XXXX 2293```
```18Sep   3.4M 1486 XXXX 2288```
```15Aug   3.3M 1517 XXXX 2175```
```16Jul     5M 2828 XXXX 1768```
```13Jun   4.7M 3067 XXXX 1532```
```22Apr 3.193M 1517 XXXX 2105```
```18Apr  3.25M 1394 XXXX 2331```
```10Apr   2.9M 1353 XXXX 2143```
```27Mar  4.05M 1281 XXXX 3162```
```13Mar   2.8M 1517 XXXX 1846```
```11Mar 3.625M 1407 XXXX 2576```
```31Jan  3.65M 1475 XXXX 2475```
```08Jan  3.79M 1517 XXXX 2498```
```------------2024-----------```
```17Dec   2.8M 1394 XXXX 2009```
```05Dec   3.1M 1383 XXXX 2242```
```29Nov  3.65M 1281 XXXX 2849```
```14Nov   2.6M 1332 XXXX 1952```
```20Sep   2.6M 1475 XXXX 1763```
```30Aug   3.1M 1445 XXXX 2145```
```27Aug   3.1M 1464 XXXX 2117```
```25Jul  2.75M 1271 XX07 2164```
```27Jun  3.35M 1318 XXXX 2542```
```24Jun  3.15M 1481 XXXX 2127```
```29May 2.963M 1517 XX02 1953```
```29May 3.507M 1517 XX02 2312```
```27May  2.85M 1331 XX07 2141```
```21May 2.906M 1405 XX07 2068```
_Source: DLD, Databot_
_BUA - built-up area, sq.ft._
_P/sf - price per sq.ft._
_B - bedrooms; O - office_
_M - million, K- thousand_
_S - studio, R - shop_
_*Max 30 latest transactions_
www.trydatabot.com</t>
  </si>
  <si>
    <t>1016877, *MARKET</t>
  </si>
  <si>
    <t>*MARKET*
*SNAPSHOT*
*YANSOON 1-9*
_Area: Downtown_
_Type: 2 bedroom apartment_
*Price dynamics, Dirham/sq.ft.*
_(M - median value)_
```3162|          *           ```
```    |                      ```
```    |   *               *  ```
```    |                     *```
```    |      ***             ```
```    |            *    ** * ```
```2265|---------------------M```
```    |*   *      * *  *     ```
```    |  *  *                ```
```    | *       *     *      ```
```1532|              *       ```
```____|______________________```
```    |Aug2024        Jan2026```
_Source: see table below_
*Latest sales transactions*
```Date   Price  BUA Type P/sf```
```------------2026-----------```
```16Jan 3.375M 1258 XXXX 2683```
```13Jan  3.15M 1326 XXXX 2376```
```08Jan  3.35M 1210 XXXX 2769```
```------------2025-----------```
```15Oct   2.8M 1221 XXXX 2293```
```18Sep   3.4M 1486 XXXX 2288```
```15Aug   3.3M 1517 XXXX 2175```
```16Jul     5M 2828 XXXX 1768```
```13Jun   4.7M 3067 XXXX 1532```
```22Apr 3.193M 1517 XXXX 2105```
```18Apr  3.25M 1394 XXXX 2331```
```10Apr   2.9M 1353 XXXX 2143```
```27Mar  4.05M 1281 XXXX 3162```
```13Mar   2.8M 1517 XXXX 1846```
```11Mar 3.625M 1407 XXXX 2576```
```31Jan  3.65M 1475 XXXX 2475```
```08Jan  3.79M 1517 XXXX 2498```
```------------2024-----------```
```17Dec   2.8M 1394 XXXX 2009```
```05Dec   3.1M 1383 XXXX 2242```
```29Nov  3.65M 1281 XXXX 2849```
```14Nov   2.6M 1332 XXXX 1952```
```20Sep   2.6M 1475 XXXX 1763```
```30Aug   3.1M 1445 XXXX 2145```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</si>
  <si>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1016879, *RESELL</t>
  </si>
  <si>
    <t>*RESELL*
*VS PRIMARY*
*YANSOON 1-9*
_Area: Downtown_
_Type: 2 bedroom apartment_
*Price dynamics, Dirham/sq.ft.*
_(x - primary; * - resell)_
```2769|                   *  ```
```    |                     *```
```    |          x           ```
```    |                    * ```
```2273|            *    **   ```
```    |           * *  *     ```
```    |                      ```
```    |                      ```
```    |               *      ```
```1532|              *       ```
```____|______________________```
```    |Dec1899        Jan2026```
_Source: see a table below_
*Latest resell transactions*
```Date   Price  BUA Type P/sf```
```------------2026-----------```
```16Jan 3.375M 1258 XXXX 2683```
```13Jan  3.15M 1326 XXXX 2376```
```08Jan  3.35M 1210 XXXX 2769```
```------------2025-----------```
```15Oct   2.8M 1221 XXXX 2293```
```18Sep   3.4M 1486 XXXX 2288```
```15Aug   3.3M 1517 XXXX 2175```
```16Jul     5M 2828 XXXX 1768```
```13Jun   4.7M 3067 XXXX 1532```
```22Apr 3.193M 1517 XXXX 2105```
```18Apr  3.25M 1394 XXXX 2331```
```10Apr   2.9M 1353 XXXX 2143```
```27Mar  4.05M 1281 XXXX 3162```
```13Mar   2.8M 1517 XXXX 1846```
```11Mar 3.625M 1407 XXXX 2576```
```31Jan  3.65M 1475 XXXX 2475```
```08Jan  3.79M 1517 XXXX 2498```
```------------2024-----------```
*Latest primary transactions*
```------------2025-----------```
```18Aug   3.4M 1318 XXXX 2580```</t>
  </si>
  <si>
    <t>1016880, *SALES*</t>
  </si>
  <si>
    <t>*SALES*
*TRANSACTIONS**
*YANSOON 1-9*
_Area: Downtown_
_Type: 3 bedroom apartment_
```Date   Price  BUA Type P/sf```
```------------2026-----------```
```07Jan   5.8M 2044 XXXX 2838```
```------------2025-----------```
```26Nov     6M 2154 XXXX 2786```
```18Nov   6.4M 3452 XXXX 1854```
```28Oct  4.95M 1892 XXXX 2616```
```23Oct   4.2M 2044 XXXX 2055```
```23Oct     5M 1944 XXXX 2572```
```05Mar     6M 3020 XXXX 1987```
```19Feb  4.35M 1766 XXXX 2463```
```02Jan   5.9M 2139 XXXX 2758```
```------------2024-----------```
```26Aug   4.1M 1764 XXXX 2324```
```10May 5.325M 1766 XX03 3015```
```01Apr   4.9M 2139 XX09 2291```
```------------2023-----------```
```25Dec  4.95M 2068 XX12 2394```
```04Oct   3.6M 1774 XX09 2029```
```13Jun   2.4M 2044 XX04 1174```
```31May    10M 3050 XX03 3279```
```17May  3.78M 1770 XX02 2136```
```------------2022-----------```
```04Jul   3.5M 2139 XX09 1636```
```------------2021-----------```
```21Nov   4.3M 2154 XX08 1996```
```11Jul     3M 1895 XX10 1583```
```23May   3.2M 2096 XX05 1527```
```30Mar   3.2M 2044 XX11 1566```
```------------2020-----------```
```16Sep  3.25M 1832 XXXX 1774```
```11Feb  2.55M 1755 XX07 1453```
```------------2019-----------```
```21Jul  2.75M 2139 XX09 1286```
```24Mar   2.9M 1937 XX02 1497```
```------------2018-----------```
```12Aug  6.15M 2154 XXXX 2855```
```07Jun  3.81M 2139 XX09 1781```
_Source: DLD, Databot_
_BUA - built-up area, sq.ft._
_P/sf - price per sq.ft._
_B - bedrooms; O - office_
_M - million, K- thousand_
_S - studio, R - shop_
_*Max 30 latest transactions_
www.trydatabot.com</t>
  </si>
  <si>
    <t>1016881, *MARKET</t>
  </si>
  <si>
    <t>*MARKET*
*SNAPSHOT*
*YANSOON 1-9*
_Area: Downtown_
_Type: 3 bedroom apartment_
*Price dynamics, Dirham/sq.ft.*
_(M - median value)_
```3279|      *               ```
```    |           *          ```
```    |             *      **```
```    |                * *   ```
```    |         *    *       ```
```2214|---------------------M```
```    |     *    * *         ```
```    |   *    *      * *    ```
```    |                   *  ```
```    |*** *                 ```
```1174|       *              ```
```____|______________________```
```    |Mar2021        Jan2026```
_Source: see table below_
*Latest sales transactions*
```Date   Price  BUA Type P/sf```
```------------2026-----------```
```07Jan   5.8M 2044 XXXX 2838```
```------------2025-----------```
```26Nov     6M 2154 XXXX 2786```
```18Nov   6.4M 3452 XXXX 1854```
```28Oct  4.95M 1892 XXXX 2616```
```23Oct   4.2M 2044 XXXX 2055```
```23Oct     5M 1944 XXXX 2572```
```05Mar     6M 3020 XXXX 1987```
```19Feb  4.35M 1766 XXXX 2463```
```02Jan   5.9M 2139 XXXX 2758```
```------------2024-----------```
```26Aug   4.1M 1764 XXXX 2324```
```10May 5.325M 1766 XX03 3015```
```01Apr   4.9M 2139 XX09 2291```
```------------2023-----------```
```25Dec  4.95M 2068 XX12 2394```
```04Oct   3.6M 1774 XX09 2029```
```13Jun   2.4M 2044 XX04 1174```
```31May    10M 3050 XX03 3279```
```17May  3.78M 1770 XX02 2136```
```------------2022-----------```
```04Jul   3.5M 2139 XX09 1636```
```------------2021-----------```
```21Nov   4.3M 2154 XX08 1996```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</si>
  <si>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1016896, *SALES*</t>
  </si>
  <si>
    <t>*SALES*
*TRANSACTIONS**
*YANSOON 1-9*
_Area: Downtown_
_Type: office_
```Date   Price  BUA Type P/sf```
```------------2025-----------```
```03Nov    10M 3419 XXXX 2925```
```------------2024-----------```
```13Aug     9M 3419 XXXX 2632```
```30May    11M 3419 XX05 3217```
```20May     9M 3419 XX05 2632```
```------------2020-----------```
```03Sep  2.84M 3523 XX04  806```
_Source: DLD, Databot_
_BUA - built-up area, sq.ft._
_P/sf - price per sq.ft._
_B - bedrooms; O - office_
_M - million, K- thousand_
_S - studio, R - shop_
_*Max 30 latest transactions_
www.trydatabot.com</t>
  </si>
  <si>
    <t>1016897, *MARKET</t>
  </si>
  <si>
    <t>*MARKET*
*SNAPSHOT*
*YANSOON 1-9*
_Area: Downtown_
_Type: office_
*Price dynamics, Dirham/sq.ft.*
_(M - median value)_
```3217|                   *  ```
```    |                     *```
```2632|---------------------M```
```    |                  * * ```
```    |                      ```
```    |                      ```
```    |                      ```
```    |                      ```
```    |                      ```
```    |                      ```
```806 |                 *    ```
```____|______________________```
```    |Sep2020        Nov2025```
_Source: see table below_
*Latest sales transactions*
```Date   Price  BUA Type P/sf```
```------------2025-----------```
```03Nov    10M 3419 XXXX 2925```
```------------2024-----------```
```13Aug     9M 3419 XXXX 2632```
```30May    11M 3419 XX05 3217```
```20May     9M 3419 XX05 2632```
```------------2020-----------```
```03Sep  2.84M 3523 XX04  806```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</si>
  <si>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1016917, *SALES*</t>
  </si>
  <si>
    <t>*SALES*
*TRANSACTIONS (RESALE)**
*YANSOON 1-9*
_Area: Downtown_
_All types/bedrooms_
```Date    Price   BUA  Type B```
```------------2026-----------```
```16Jan  3.375M  1258  XXXX 2```
```13Jan   3.15M  1326  XXXX 2```
```08Jan   3.35M  1210  XXXX 2```
```07Jan    5.8M  2044  XXXX 3```
```07Jan    2.5M  1225  XXXX 1```
```------------2025-----------```
```15Dec    2.1M   785  XX55 1```
```26Nov      6M  2154  XXXX 3```
```18Nov    6.4M  3452  XXXX 3```
```03Nov     10M  3419  XXXX O```
```28Oct   4.95M  1892  XXXX 3```
```23Oct    4.2M  2044  XXXX 3```
```23Oct      5M  1944  XXXX 3```
```15Oct    2.8M  1221  XXXX 2```
```06Oct    1.8M   752  XXXX 1```
```18Sep    3.4M  1486  XXXX 2```
```20Aug   1.85M   870  XXXX 1```
```15Aug    3.3M  1517  XXXX 2```
```16Jul      5M  2828  XXXX 2```
```15Jul   1.95M   785  XX55 1```
```17Jun   2.44M  1235  XXXX 1```
```13Jun    4.7M  3067  XXXX 2```
```16May   2.45M  1521  XXXX 1```
```22Apr  3.193M  1517  XXXX 2```
```18Apr   3.25M  1394  XXXX 2```
```10Apr    2.9M  1353  XXXX 2```
```27Mar   4.05M  1281  XXXX 2```
```24Mar   1.65M   752  XXXX 1```
```13Mar    2.8M  1517  XXXX 2```
```11Mar  3.625M  1407  XXXX 2```
```05Mar      6M  3020  XXXX 3```
_Source: DLD, Databot_
_BUA - built-up area, sq.ft._
_P/sf - price per sq.ft._
_B - bedrooms; O - office_
_M - million, K- thousand_
_S - studio, R - shop_
_*Max 30 latest transactions_
www.trydatabot.com</t>
  </si>
  <si>
    <t>1016918, by code, *BUILDI</t>
  </si>
  <si>
    <t xml:space="preserve">*BUILDING*
*PROFILE*
*YANSOON 1-9*
_Area: Downtown_
_Tap&amp;hold to copy a reply_
```-------------------------```
```Report              Reply```
```-------------------------```
*1 B/R*
```Sales, ROI        1016872```
```Price chart       1016873```
```Rentals               n/a```
*2 B/R*
```Resell, ROI       1016876```
```Primary sales     1016921```
```Price chart       1016877```
```Rentals               n/a```
```Appreciation      1016879```
*3 B/R*
```Sales, ROI        1016880```
```Price chart       1016881```
```Rentals               n/a```
*Office*
```Sales, ROI        1016896```
```Price chart       1016897```
```Rentals               n/a```
*All types/bedrooms*
```Resell, ROI       1016917```
```Primary sales     1016931```
```Rentals               n/a```
</t>
  </si>
  <si>
    <t>1016921, *SALES*</t>
  </si>
  <si>
    <t>*SALES*
*TRANSACTIONS (PRIMARY)**
*YANSOON 1-9*
_Area: Downtown_
_Type: 2 bedroom apartment_
```Date   Price  BUA Type P/sf```
```------------2025-----------```
```18Aug   3.4M 1318 XXXX 2580```
_Source: DLD, Databot_
_BUA - built-up area, sq.ft._
_P/sf - price per sq.ft._
_B - bedrooms; O - office_
_M - million, K- thousand_
_S - studio, R - shop_
_*Max 20 latest transactions_
www.trydatabot.com</t>
  </si>
  <si>
    <t>1016931, *SALES*</t>
  </si>
  <si>
    <t>*SALES*
*TRANSACTIONS (PRIMARY)**
*YANSOON 1-9*
_Area: Downtown_
_All types/bedrooms_
```Date    Price   BUA  Type B```
```------------2025-----------```
```18Aug    3.4M  1318  XXXX 2```
_Source: DLD, Databot_
_BUA - built-up area, sq.ft._
_P/sf - price per sq.ft._
_B - bedrooms; O - office_
_M - million, K- thousand_
_S - studio, R - shop_
_*Max 20 latest transactions_
www.trydatabot.com</t>
  </si>
  <si>
    <t>1016936, *SALES*</t>
  </si>
  <si>
    <t>*SALES*
*TRANSACTIONS**
*ZAAFARAN 1*
_Area: Downtown_
_Type: 1 bedroom apartment_
```Date   Price  BUA Type P/sf```
```------------2024-----------```
```11Dec 1.785M  785 XX55 2274```
```19Nov  2.55M 1231 XXXX 2071```
```------------2023-----------```
```06Jul 1.925M 1231 XX06 1564```
```23Jun  1.89M 1014 XXXX 1864```
```------------2022-----------```
```31Jan  1.85M  946 XXXX 1956```
```------------2021-----------```
```24Feb   965K  785 XX01 1229```
```------------2019-----------```
```10Jan   1.6M 1231 XX06 1300```
```------------2018-----------```
```22Mar  1.69M 1014 XX07 1667```
_Source: DLD, Databot_
_BUA - built-up area, sq.ft._
_P/sf - price per sq.ft._
_B - bedrooms; O - office_
_M - million, K- thousand_
_S - studio, R - shop_
_*Max 30 latest transactions_
www.trydatabot.com</t>
  </si>
  <si>
    <t>Zaafaran 1</t>
  </si>
  <si>
    <t>1016937, *MARKET</t>
  </si>
  <si>
    <t>*MARKET*
*SNAPSHOT*
*ZAAFARAN 1*
_Area: Downtown_
_Type: 1 bedroom apartment_
*Price dynamics, Dirham/sq.ft.*
_(M - median value)_
```2274|                     *```
```    |                      ```
```    |                    * ```
```    |                 *    ```
```    |                  *   ```
```1766|---------------------M```
```    |                      ```
```    |              *       ```
```    |                   *  ```
```    |                      ```
```1229|               **     ```
```____|______________________```
```    |Mar2018        Dec2024```
_Source: see table below_
*Latest sales transactions*
```Date   Price  BUA Type P/sf```
```------------2024-----------```
```11Dec 1.785M  785 XX55 2274```
```19Nov  2.55M 1231 XXXX 2071```
```------------2023-----------```
```06Jul 1.925M 1231 XX06 1564```
```23Jun  1.89M 1014 XXXX 1864```
```------------2022-----------```
```31Jan  1.85M  946 XXXX 1956```
```------------2021-----------```
```24Feb   965K  785 XX01 1229```
```------------2019-----------```
```10Jan   1.6M 1231 XX06 1300```
```------------2018-----------```
```22Mar  1.69M 1014 XX07 1667```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</si>
  <si>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1016940, *SALES*</t>
  </si>
  <si>
    <t>*SALES*
*TRANSACTIONS**
*ZAAFARAN 1*
_Area: Downtown_
_Type: 2 bedroom apartment_
```Date   Price  BUA Type P/sf```
```------------2025-----------```
```22Jul   3.4M 1632 XXXX 2083```
```------------2024-----------```
```05Dec   3.2M 1335 XXXX 2397```
```08May  2.55M 1338 XXXX 1906```
```22Feb   3.7M 2394 XXXX 1546```
```------------2023-----------```
```24Nov 2.625M 1335 XX03 1966```
```22Mar   2.5M 1282 XXXX 1950```
```09Feb  2.63M 1410 XX04 1865```
```------------2022-----------```
```11Mar  1.95M 1338 XX08 1457```
```------------2020-----------```
```26Jul   1.5M 1410 XX04 1064```
```------------2019-----------```
```20Jun   1.8M 1338 XX08 1345```
```------------2018-----------```
```05Mar  1.65M 1259 XX10 1311```
_Source: DLD, Databot_
_BUA - built-up area, sq.ft._
_P/sf - price per sq.ft._
_B - bedrooms; O - office_
_M - million, K- thousand_
_S - studio, R - shop_
_*Max 30 latest transactions_
www.trydatabot.com</t>
  </si>
  <si>
    <t>1016941, *MARKET</t>
  </si>
  <si>
    <t>*MARKET*
*SNAPSHOT*
*ZAAFARAN 1*
_Area: Downtown_
_Type: 2 bedroom apartment_
*Price dynamics, Dirham/sq.ft.*
_(M - median value)_
```2397|                    * ```
```    |                      ```
```    |                     *```
```    |                **    ```
```1865|---------------------M```
```    |               *   *  ```
```    |                      ```
```    |                  *   ```
```    |              *       ```
```    |           **         ```
```1064|             *        ```
```____|______________________```
```    |Mar2018        Jul2025```
_Source: see table below_
*Latest sales transactions*
```Date   Price  BUA Type P/sf```
```------------2025-----------```
```22Jul   3.4M 1632 XXXX 2083```
```------------2024-----------```
```05Dec   3.2M 1335 XXXX 2397```
```08May  2.55M 1338 XXXX 1906```
```22Feb   3.7M 2394 XXXX 1546```
```------------2023-----------```
```24Nov 2.625M 1335 XX03 1966```
```22Mar   2.5M 1282 XXXX 1950```
```09Feb  2.63M 1410 XX04 1865```
```------------2022-----------```
```11Mar  1.95M 1338 XX08 1457```
```------------2020-----------```
```26Jul   1.5M 1410 XX04 1064```
```------------2019-----------```
```20Jun   1.8M 1338 XX08 1345```
```------------2018-----------```
```05Mar  1.65M 1259 XX10 1311```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</si>
  <si>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1016944, *SALES*</t>
  </si>
  <si>
    <t>*SALES*
*TRANSACTIONS**
*ZAAFARAN 1*
_Area: Downtown_
_Type: 3 bedroom apartment_
```Date   Price  BUA Type P/sf```
```------------2023-----------```
```25May   3.8M 1887 XX05 2014```
```------------2022-----------```
```04Jul   6.1M 2155 XX09 2831```
_Source: DLD, Databot_
_BUA - built-up area, sq.ft._
_P/sf - price per sq.ft._
_B - bedrooms; O - office_
_M - million, K- thousand_
_S - studio, R - shop_
_*Max 30 latest transactions_
www.trydatabot.com</t>
  </si>
  <si>
    <t>1016945, *MARKET</t>
  </si>
  <si>
    <t>*MARKET*
*SNAPSHOT*
*ZAAFARAN 1*
_Area: Downtown_
_Type: 3 bedroom apartment_
*Price dynamics, Dirham/sq.ft.*
_(M - median value)_
```2831|                    * ```
```    |                      ```
```    |                      ```
```    |                      ```
```    |                      ```
```2423|---------------------M```
```    |                      ```
```    |                      ```
```    |                      ```
```    |                      ```
```2014|                     *```
```____|______________________```
```    |Jul2022        May2023```
_Source: see table below_
*Latest sales transactions*
```Date   Price  BUA Type P/sf```
```------------2023-----------```
```25May   3.8M 1887 XX05 2014```
```------------2022-----------```
```04Jul   6.1M 2155 XX09 2831```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</si>
  <si>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1016981, *SALES*</t>
  </si>
  <si>
    <t>*SALES*
*TRANSACTIONS**
*ZAAFARAN 1*
_Area: Downtown_
_All types/bedrooms_
```Date    Price   BUA  Type B```
```------------2025-----------```
```22Jul    3.4M  1632  XXXX 2```
```------------2024-----------```
```11Dec  1.785M   785  XX55 1```
```05Dec    3.2M  1335  XXXX 2```
```19Nov   2.55M  1231  XXXX 1```
```08May   2.55M  1338  XXXX 2```
```22Feb    3.7M  2394  XXXX 2```
```------------2023-----------```
```24Nov  2.625M  1335  XX03 2```
```06Jul  1.925M  1231  XX06 1```
```23Jun   1.89M  1014  XXXX 1```
```25May    3.8M  1887  XX05 3```
```22Mar    2.5M  1282  XXXX 2```
```09Feb   2.63M  1410  XX04 2```
```------------2022-----------```
```04Jul    6.1M  2155  XX09 3```
```11Mar   1.95M  1338  XX08 2```
```31Jan   1.85M   946  XXXX 1```
```------------2021-----------```
```24Feb    965K   785  XX01 1```
```------------2020-----------```
```26Jul    1.5M  1410  XX04 2```
```------------2019-----------```
```20Jun    1.8M  1338  XX08 2```
```10Jan    1.6M  1231  XX06 1```
```------------2018-----------```
```22Mar   1.69M  1014  XX07 1```
```05Mar   1.65M  1259  XX10 2```
_Source: DLD, Databot_
_BUA - built-up area, sq.ft._
_P/sf - price per sq.ft._
_B - bedrooms; O - office_
_M - million, K- thousand_
_S - studio, R - shop_
_*Max 30 latest transactions_
www.trydatabot.com</t>
  </si>
  <si>
    <t>1016982, by code, *BUILDI</t>
  </si>
  <si>
    <t xml:space="preserve">*BUILDING*
*PROFILE*
*ZAAFARAN 1*
_Area: Downtown_
_Tap&amp;hold to copy a reply_
```-------------------------```
```Report              Reply```
```-------------------------```
*1 B/R*
```Sales, ROI        1016936```
```Price chart       1016937```
```Rentals               n/a```
*2 B/R*
```Sales, ROI        1016940```
```Price chart       1016941```
```Rentals               n/a```
*3 B/R*
```Sales, ROI        1016944```
```Price chart       1016945```
```Rentals               n/a```
*All types/bedrooms*
```Sales, ROI        1016981```
```Rentals               n/a```
</t>
  </si>
  <si>
    <t>1017000, *SALES*</t>
  </si>
  <si>
    <t>*SALES*
*TRANSACTIONS**
*ZAAFARAN 2*
_Area: Downtown_
_Type: 1 bedroom apartment_
```Date   Price  BUA Type P/sf```
```------------2025-----------```
```22Dec     2M  918 XXXX 2179```
```12Feb     3M 1201 XXXX 2498```
```------------2024-----------```
```09Sep   2.3M 1011 XXXX 2275```
```04Sep  1.75M  921 XXXX 1900```
```29Feb   2.4M 1030 XX01 2330```
```------------2023-----------```
```06Dec  2.65M 1201 XX01 2206```
```27Nov  2.65M 2892 XXXX  916```
```22Nov 2.215M 1288 XX07 1720```
```26Oct  2.24M 1258 XX04 1781```
```12Sep   1.8M  969 XX13 1858```
```09May   1.6M  921 XX12 1737```
```------------2022-----------```
```04Nov  2.35M 1281 XXXX 1835```
```24Jun 1.775M  912 XXXX 1946```
```09Feb 1.375M  969 XX13 1419```
```------------2020-----------```
```21Apr 1.415M 1288 XX07 1099```
```12Jan  1.35M  863 XXXX 1564```
_Source: DLD, Databot_
_BUA - built-up area, sq.ft._
_P/sf - price per sq.ft._
_B - bedrooms; O - office_
_M - million, K- thousand_
_S - studio, R - shop_
_*Max 30 latest transactions_
www.trydatabot.com</t>
  </si>
  <si>
    <t>Zaafaran 2</t>
  </si>
  <si>
    <t>1017001, *MARKET</t>
  </si>
  <si>
    <t>*MARKET*
*SNAPSHOT*
*ZAAFARAN 2*
_Area: Downtown_
_Type: 1 bedroom apartment_
*Price dynamics, Dirham/sq.ft.*
_(M - median value)_
```2498|                    * ```
```    |                 * *  ```
```    |                *    *```
```    |         *            ```
```1847|---------------------M```
```    |          * *     *   ```
```    |           * **       ```
```    |      *               ```
```    |        *             ```
```    |       *              ```
```916 |               *      ```
```____|______________________```
```    |Jan2020        Dec2025```
_Source: see table below_
*Latest sales transactions*
```Date   Price  BUA Type P/sf```
```------------2025-----------```
```22Dec     2M  918 XXXX 2179```
```12Feb     3M 1201 XXXX 2498```
```------------2024-----------```
```09Sep   2.3M 1011 XXXX 2275```
```04Sep  1.75M  921 XXXX 1900```
```29Feb   2.4M 1030 XX01 2330```
```------------2023-----------```
```06Dec  2.65M 1201 XX01 2206```
```27Nov  2.65M 2892 XXXX  916```
```22Nov 2.215M 1288 XX07 1720```
```26Oct  2.24M 1258 XX04 1781```
```12Sep   1.8M  969 XX13 1858```
```09May   1.6M  921 XX12 1737```
```------------2022-----------```
```04Nov  2.35M 1281 XXXX 1835```
```24Jun 1.775M  912 XXXX 1946```
```09Feb 1.375M  969 XX13 1419```
```------------2020-----------```
```21Apr 1.415M 1288 XX07 1099```
```12Jan  1.35M  863 XXXX 1564```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</si>
  <si>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1017004, *SALES*</t>
  </si>
  <si>
    <t>*SALES*
*TRANSACTIONS**
*ZAAFARAN 2*
_Area: Downtown_
_Type: 2 bedroom apartment_
```Date   Price  BUA Type P/sf```
```------------2025-----------```
```25Aug   4.3M 2626 XXXX 1637```
```------------2024-----------```
```03Jun 3.075M 1270 XX03 2421```
```16Jan  3.75M 2164 XXXX 1733```
```------------2022-----------```
```07Dec   2.3M 1295 XX10 1776```
```14Apr  1.98M 1295 XX10 1529```
```30Mar 1.468M 1272 XX02 1154```
```------------2021-----------```
```04Mar  2.55M 1331 XXXX 1916```
_Source: DLD, Databot_
_BUA - built-up area, sq.ft._
_P/sf - price per sq.ft._
_B - bedrooms; O - office_
_M - million, K- thousand_
_S - studio, R - shop_
_*Max 30 latest transactions_
www.trydatabot.com</t>
  </si>
  <si>
    <t>1017005, *MARKET</t>
  </si>
  <si>
    <t>*MARKET*
*SNAPSHOT*
*ZAAFARAN 2*
_Area: Downtown_
_Type: 2 bedroom apartment_
*Price dynamics, Dirham/sq.ft.*
_(M - median value)_
```2421|                    * ```
```    |                      ```
```    |                      ```
```    |                      ```
```    |               *      ```
```1733|---------------------M```
```    |                  **  ```
```    |                     *```
```    |                 *    ```
```    |                      ```
```1154|                *     ```
```____|______________________```
```    |Mar2021        Aug2025```
_Source: see table below_
*Latest sales transactions*
```Date   Price  BUA Type P/sf```
```------------2025-----------```
```25Aug   4.3M 2626 XXXX 1637```
```------------2024-----------```
```03Jun 3.075M 1270 XX03 2421```
```16Jan  3.75M 2164 XXXX 1733```
```------------2022-----------```
```07Dec   2.3M 1295 XX10 1776```
```14Apr  1.98M 1295 XX10 1529```
```30Mar 1.468M 1272 XX02 1154```
```------------2021-----------```
```04Mar  2.55M 1331 XXXX 1916```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</si>
  <si>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1017045, *SALES*</t>
  </si>
  <si>
    <t>*SALES*
*TRANSACTIONS**
*ZAAFARAN 2*
_Area: Downtown_
_All types/bedrooms_
```Date    Price   BUA  Type B```
```------------2025-----------```
```22Dec      2M   918  XXXX 1```
```25Aug    4.3M  2626  XXXX 2```
```12Feb      3M  1201  XXXX 1```
```------------2024-----------```
```09Sep    2.3M  1011  XXXX 1```
```04Sep   1.75M   921  XXXX 1```
```03Jun  3.075M  1270  XX03 2```
```29Feb    2.4M  1030  XX01 1```
```16Jan   3.75M  2164  XXXX 2```
```------------2023-----------```
```06Dec   2.65M  1201  XX01 1```
```27Nov   2.65M  2892  XXXX 1```
```22Nov  2.215M  1288  XX07 1```
```26Oct   2.24M  1258  XX04 1```
```12Sep    1.8M   969  XX13 1```
```09May    1.6M   921  XX12 1```
```------------2022-----------```
```07Dec    2.3M  1295  XX10 2```
```04Nov   2.35M  1281  XXXX 1```
```24Jun  1.775M   912  XXXX 1```
```14Apr   1.98M  1295  XX10 2```
```30Mar  1.468M  1272  XX02 2```
```09Feb  1.375M   969  XX13 1```
```------------2021-----------```
```04Mar   2.55M  1331  XXXX 2```
```------------2020-----------```
```21Apr  1.415M  1288  XX07 1```
```12Jan   1.35M   863  XXXX 1```
_Source: DLD, Databot_
_BUA - built-up area, sq.ft._
_P/sf - price per sq.ft._
_B - bedrooms; O - office_
_M - million, K- thousand_
_S - studio, R - shop_
_*Max 30 latest transactions_
www.trydatabot.com</t>
  </si>
  <si>
    <t>1017046, by code, *BUILDI</t>
  </si>
  <si>
    <t xml:space="preserve">*BUILDING*
*PROFILE*
*ZAAFARAN 2*
_Area: Downtown_
_Tap&amp;hold to copy a reply_
```-------------------------```
```Report              Reply```
```-------------------------```
*1 B/R*
```Sales, ROI        1017000```
```Price chart       1017001```
```Rentals               n/a```
*2 B/R*
```Sales, ROI        1017004```
```Price chart       1017005```
```Rentals               n/a```
*All types/bedrooms*
```Sales, ROI        1017045```
```Rentals               n/a```
</t>
  </si>
  <si>
    <t>1017064, *SALES*</t>
  </si>
  <si>
    <t>*SALES*
*TRANSACTIONS**
*ZAAFARAN 3*
_Area: Downtown_
_Type: 1 bedroom apartment_
```Date   Price  BUA Type P/sf```
```------------2023-----------```
```08Nov  1.43M  757 XXXX 1889```
```01Nov  1.14M  757 XXXX 1506```
```------------2021-----------```
```22Apr   800K  757 XXXX 1057```
```22Apr   800K  813 XXXX  984```
```------------2019-----------```
```09Jun 1.478M  757 XX05 1952```
```------------2018-----------```
```09May 1.149M  757 XX05 1518```
_Source: DLD, Databot_
_BUA - built-up area, sq.ft._
_P/sf - price per sq.ft._
_B - bedrooms; O - office_
_M - million, K- thousand_
_S - studio, R - shop_
_*Max 30 latest transactions_
www.trydatabot.com</t>
  </si>
  <si>
    <t>Zaafaran 3</t>
  </si>
  <si>
    <t>1017065, *MARKET</t>
  </si>
  <si>
    <t>*MARKET*
*SNAPSHOT*
*ZAAFARAN 3*
_Area: Downtown_
_Type: 1 bedroom apartment_
*Price dynamics, Dirham/sq.ft.*
_(M - median value)_
```1952|                 *    ```
```    |                     *```
```    |                      ```
```    |                      ```
```    |                *     ```
```1512|---------------------M```
```    |                    * ```
```    |                      ```
```    |                      ```
```    |                      ```
```984 |                  **  ```
```____|______________________```
```    |May2018        Nov2023```
_Source: see table below_
*Latest sales transactions*
```Date   Price  BUA Type P/sf```
```------------2023-----------```
```08Nov  1.43M  757 XXXX 1889```
```01Nov  1.14M  757 XXXX 1506```
```------------2021-----------```
```22Apr   800K  757 XXXX 1057```
```22Apr   800K  813 XXXX  984```
```------------2019-----------```
```09Jun 1.478M  757 XX05 1952```
```------------2018-----------```
```09May 1.149M  757 XX05 1518```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</si>
  <si>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1017068, *SALES*</t>
  </si>
  <si>
    <t>*SALES*
*TRANSACTIONS**
*ZAAFARAN 3*
_Area: Downtown_
_Type: 2 bedroom apartment_
```Date   Price  BUA Type P/sf```
```------------2025-----------```
```17Nov   3.5M 1507 XXXX 2322```
```30Sep  3.65M 1344 XXXX 2716```
```06May   2.7M 1344 XXXX 2009```
```13Mar  3.25M 1439 XXXX 2259```
```13Jan 2.561M 1344 XXXX 1906```
```------------2024-----------```
```14Mar   2.7M 1210 XX03 2231```
```11Mar  3.25M 1348 XX01 2411```
```21Feb  2.61M 1244 XX06 2098```
```------------2023-----------```
```13Jun   2.4M 1348 XX01 1780```
```13Jun   2.4M 1344 XX07 1786```
```17Jan  2.35M 1244 XX06 1889```
```------------2022-----------```
```03Aug   2.8M 1507 XX02 1858```
```------------2021-----------```
```13Sep   2.1M 1344 XX07 1563```
```01Sep     1M 1348 XX01  742```
```17Aug   2.5M 1344 XX07 1860```
```31Mar   1.6M 1244 XX06 1286```
```------------2020-----------```
```01Sep     1M 1348 XX01  742```
```------------2019-----------```
```21Nov   1.4M 1244 XX06 1125```
```17Jul 1.655M 1210 XX03 1368```
```06May   2.7M 1348 XX01 2003```
```------------2018-----------```
```18Oct   2.1M 1348 XX01 1558```
_Source: DLD, Databot_
_BUA - built-up area, sq.ft._
_P/sf - price per sq.ft._
_B - bedrooms; O - office_
_M - million, K- thousand_
_S - studio, R - shop_
_*Max 30 latest transactions_
www.trydatabot.com</t>
  </si>
  <si>
    <t>1017069, *MARKET</t>
  </si>
  <si>
    <t>*MARKET*
*SNAPSHOT*
*ZAAFARAN 3*
_Area: Downtown_
_Type: 2 bedroom apartment_
*Price dynamics, Dirham/sq.ft.*
_(M - median value)_
```2716|                    * ```
```    |                      ```
```    |               ** *  *```
```    |              *       ```
```1860|---------------------M```
```    |  *    *  **     * *  ```
```    |            **        ```
```    | *       *            ```
```    |   *  *               ```
```    |    *                 ```
```742 |     *  *             ```
```____|______________________```
```    |Oct2018        Nov2025```
_Source: see table below_
*Latest sales transactions*
```Date   Price  BUA Type P/sf```
```------------2025-----------```
```17Nov   3.5M 1507 XXXX 2322```
```30Sep  3.65M 1344 XXXX 2716```
```06May   2.7M 1344 XXXX 2009```
```13Mar  3.25M 1439 XXXX 2259```
```13Jan 2.561M 1344 XXXX 1906```
```------------2024-----------```
```14Mar   2.7M 1210 XX03 2231```
```11Mar  3.25M 1348 XX01 2411```
```21Feb  2.61M 1244 XX06 2098```
```------------2023-----------```
```13Jun   2.4M 1348 XX01 1780```
```13Jun   2.4M 1344 XX07 1786```
```17Jan  2.35M 1244 XX06 1889```
```------------2022-----------```
```03Aug   2.8M 1507 XX02 1858```
```------------2021-----------```
```13Sep   2.1M 1344 XX07 1563```
```01Sep     1M 1348 XX01  742```
```17Aug   2.5M 1344 XX07 1860```
```31Mar   1.6M 1244 XX06 1286```
```------------2020-----------```
```01Sep     1M 1348 XX01  742```
```------------2019-----------```
```21Nov   1.4M 1244 XX06 1125```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</si>
  <si>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1017109, *SALES*</t>
  </si>
  <si>
    <t>*SALES*
*TRANSACTIONS**
*ZAAFARAN 3*
_Area: Downtown_
_All types/bedrooms_
```Date    Price   BUA  Type B```
```------------2025-----------```
```17Nov    3.5M  1507  XXXX 2```
```30Sep   3.65M  1344  XXXX 2```
```06May    2.7M  1344  XXXX 2```
```13Mar   3.25M  1439  XXXX 2```
```13Jan  2.561M  1344  XXXX 2```
```------------2024-----------```
```14Mar    2.7M  1210  XX03 2```
```11Mar   3.25M  1348  XX01 2```
```21Feb   2.61M  1244  XX06 2```
```------------2023-----------```
```08Nov   1.43M   757  XXXX 1```
```01Nov   1.14M   757  XXXX 1```
```13Jun    2.4M  1348  XX01 2```
```13Jun    2.4M  1344  XX07 2```
```17Jan   2.35M  1244  XX06 2```
```------------2022-----------```
```03Aug    2.8M  1507  XX02 2```
```------------2021-----------```
```13Sep    2.1M  1344  XX07 2```
```01Sep      1M  1348  XX01 2```
```17Aug    2.5M  1344  XX07 2```
```22Apr    800K   757  XXXX 1```
```22Apr    800K   813  XXXX 1```
```31Mar    1.6M  1244  XX06 2```
```------------2020-----------```
```01Sep      1M  1348  XX01 2```
```------------2019-----------```
```21Nov    1.4M  1244  XX06 2```
```17Jul  1.655M  1210  XX03 2```
```09Jun  1.478M   757  XX05 1```
```06May    2.7M  1348  XX01 2```
```------------2018-----------```
```18Oct    2.1M  1348  XX01 2```
```09May  1.149M   757  XX05 1```
_Source: DLD, Databot_
_BUA - built-up area, sq.ft._
_P/sf - price per sq.ft._
_B - bedrooms; O - office_
_M - million, K- thousand_
_S - studio, R - shop_
_*Max 30 latest transactions_
www.trydatabot.com</t>
  </si>
  <si>
    <t>1017110, by code, *BUILDI</t>
  </si>
  <si>
    <t xml:space="preserve">*BUILDING*
*PROFILE*
*ZAAFARAN 3*
_Area: Downtown_
_Tap&amp;hold to copy a reply_
```-------------------------```
```Report              Reply```
```-------------------------```
*1 B/R*
```Sales, ROI        1017064```
```Price chart       1017065```
```Rentals               n/a```
*2 B/R*
```Sales, ROI        1017068```
```Price chart       1017069```
```Rentals               n/a```
*All types/bedrooms*
```Sales, ROI        1017109```
```Rentals               n/a```
</t>
  </si>
  <si>
    <t>1017128, *SALES*</t>
  </si>
  <si>
    <t>*SALES*
*TRANSACTIONS**
*ZAAFARAN 4*
_Area: Downtown_
_Type: 1 bedroom apartment_
```Date   Price  BUA Type P/sf```
```------------2025-----------```
```30Oct   2.5M  918 XXXX 2723```
```01May  2.65M  896 XXXX 2958```
```15Apr  3.75M 2256 XXXX 1662```
```13Jan   3.6M 1030 XXXX 3495```
```------------2024-----------```
```26Sep  2.05M  921 XXXX 2226```
```02Sep  2.65M 1011 XXXX 2621```
```------------2023-----------```
```17Oct 1.602M  921 XX12 1739```
```03Aug   2.1M 1258 XX04 1669```
```01Aug  1.95M  918 XX06 2124```
```22Jun  1.75M  896 XX05 1953```
```01May   2.2M 1251 XXXX 1759```
```25Apr   2.4M 1281 XXXX 1874```
```17Apr   1.9M  887 XXXX 2142```
```15Mar   1.9M  912 XXXX 2083```
```28Feb 1.125M 1288 XX07  873```
```------------2022-----------```
```27Dec  1.55M  864 XX11 1794```
```23Nov   1.7M 1011 XX08 1682```
```11Oct  1.45M  921 XX12 1574```
```29Sep  1.75M 1011 XX08 1731```
```------------2021-----------```
```28Dec  1.65M  927 XXXX 1780```
```15Aug  1.41M  921 XX12 1531```
```30Jun  1.35M  921 XX12 1466```
```27May  1.54M  863 XXXX 1784```
```15Apr   1.3M  896 XX05 1451```
```------------2020-----------```
```26Aug  1.18M 1201 XX01  983```
```------------2019-----------```
```13May   1.2M  921 XX12 1303```
```------------2018-----------```
```25Jan   1.4M  864 XX11 1620```
_Source: DLD, Databot_
_BUA - built-up area, sq.ft._
_P/sf - price per sq.ft._
_B - bedrooms; O - office_
_M - million, K- thousand_
_S - studio, R - shop_
_*Max 30 latest transactions_
www.trydatabot.com</t>
  </si>
  <si>
    <t>Zaafaran 4</t>
  </si>
  <si>
    <t>1017129, *MARKET</t>
  </si>
  <si>
    <t>*MARKET*
*SNAPSHOT*
*ZAAFARAN 4*
_Area: Downtown_
_Type: 1 bedroom apartment_
*Price dynamics, Dirham/sq.ft.*
_(M - median value)_
```3495|                  *   ```
```    |                      ```
```    |                    * ```
```    |                *    *```
```    |                      ```
```    |        **   *   *    ```
```    |      *   * *         ```
```1787|---------------------M```
```    | *****     *  **   *  ```
```    |*                     ```
```873 |       *              ```
```____|______________________```
```    |Jun2021        Oct2025```
_Source: see table below_
*Latest sales transactions*
```Date   Price  BUA Type P/sf```
```------------2025-----------```
```30Oct   2.5M  918 XXXX 2723```
```01May  2.65M  896 XXXX 2958```
```15Apr  3.75M 2256 XXXX 1662```
```13Jan   3.6M 1030 XXXX 3495```
```------------2024-----------```
```26Sep  2.05M  921 XXXX 2226```
```02Sep  2.65M 1011 XXXX 2621```
```------------2023-----------```
```17Oct 1.602M  921 XX12 1739```
```03Aug   2.1M 1258 XX04 1669```
```01Aug  1.95M  918 XX06 2124```
```22Jun  1.75M  896 XX05 1953```
```01May   2.2M 1251 XXXX 1759```
```25Apr   2.4M 1281 XXXX 1874```
```17Apr   1.9M  887 XXXX 2142```
```15Mar   1.9M  912 XXXX 2083```
```28Feb 1.125M 1288 XX07  873```
```------------2022-----------```
```27Dec  1.55M  864 XX11 1794```
```23Nov   1.7M 1011 XX08 1682```
```11Oct  1.45M  921 XX12 1574```
```29Sep  1.75M 1011 XX08 1731```
```------------2021-----------```
```28Dec  1.65M  927 XXXX 1780```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</si>
  <si>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1017132, *SALES*</t>
  </si>
  <si>
    <t>*SALES*
*TRANSACTIONS**
*ZAAFARAN 4*
_Area: Downtown_
_Type: 2 bedroom apartment_
```Date   Price  BUA Type P/sf```
```------------2025-----------```
```12Dec  3.37M 1329 XXXX 2536```
```19May   3.2M 1295 XXXX 2471```
```------------2023-----------```
```20Jan  2.55M 1272 XX02 2005```
```------------2022-----------```
```05Jan  1.65M 1329 XX09 1242```
```------------2021-----------```
```21Nov  3.15M 1331 XXXX 2367```
```08Nov  1.55M 1329 XX09 1166```
```------------2019-----------```
```08Dec 1.825M 1265 XXXX 1443```
_Source: DLD, Databot_
_BUA - built-up area, sq.ft._
_P/sf - price per sq.ft._
_B - bedrooms; O - office_
_M - million, K- thousand_
_S - studio, R - shop_
_*Max 30 latest transactions_
www.trydatabot.com</t>
  </si>
  <si>
    <t>1017133, *MARKET</t>
  </si>
  <si>
    <t>*MARKET*
*SNAPSHOT*
*ZAAFARAN 4*
_Area: Downtown_
_Type: 2 bedroom apartment_
*Price dynamics, Dirham/sq.ft.*
_(M - median value)_
```2536|                    **```
```    |                 *    ```
```    |                      ```
```    |                      ```
```2005|---------------------M```
```    |                   *  ```
```    |                      ```
```    |                      ```
```    |                      ```
```    |               *      ```
```1166|                * *   ```
```____|______________________```
```    |Dec2019        Dec2025```
_Source: see table below_
*Latest sales transactions*
```Date   Price  BUA Type P/sf```
```------------2025-----------```
```12Dec  3.37M 1329 XXXX 2536```
```19May   3.2M 1295 XXXX 2471```
```------------2023-----------```
```20Jan  2.55M 1272 XX02 2005```
```------------2022-----------```
```05Jan  1.65M 1329 XX09 1242```
```------------2021-----------```
```21Nov  3.15M 1331 XXXX 2367```
```08Nov  1.55M 1329 XX09 1166```
```------------2019-----------```
```08Dec 1.825M 1265 XXXX 1443```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</si>
  <si>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1017173, *SALES*</t>
  </si>
  <si>
    <t>*SALES*
*TRANSACTIONS**
*ZAAFARAN 4*
_Area: Downtown_
_All types/bedrooms_
```Date    Price   BUA  Type B```
```------------2025-----------```
```12Dec   3.37M  1329  XXXX 2```
```30Oct    2.5M   918  XXXX 1```
```19May    3.2M  1295  XXXX 2```
```01May   2.65M   896  XXXX 1```
```15Apr   3.75M  2256  XXXX 1```
```13Jan    3.6M  1030  XXXX 1```
```------------2024-----------```
```26Sep   2.05M   921  XXXX 1```
```02Sep   2.65M  1011  XXXX 1```
```------------2023-----------```
```17Oct  1.602M   921  XX12 1```
```03Aug    2.1M  1258  XX04 1```
```01Aug   1.95M   918  XX06 1```
```22Jun   1.75M   896  XX05 1```
```01May    2.2M  1251  XXXX 1```
```25Apr    2.4M  1281  XXXX 1```
```17Apr    1.9M   887  XXXX 1```
```15Mar    1.9M   912  XXXX 1```
```28Feb  1.125M  1288  XX07 1```
```20Jan   2.55M  1272  XX02 2```
```------------2022-----------```
```27Dec   1.55M   864  XX11 1```
```23Nov    1.7M  1011  XX08 1```
```11Oct   1.45M   921  XX12 1```
```29Sep   1.75M  1011  XX08 1```
```05Jan   1.65M  1329  XX09 2```
```------------2021-----------```
```28Dec   1.65M   927  XXXX 1```
```21Nov   3.15M  1331  XXXX 2```
```08Nov   1.55M  1329  XX09 2```
```15Aug   1.41M   921  XX12 1```
```30Jun   1.35M   921  XX12 1```
```27May   1.54M   863  XXXX 1```
```15Apr    1.3M   896  XX05 1```
_Source: DLD, Databot_
_BUA - built-up area, sq.ft._
_P/sf - price per sq.ft._
_B - bedrooms; O - office_
_M - million, K- thousand_
_S - studio, R - shop_
_*Max 30 latest transactions_
www.trydatabot.com</t>
  </si>
  <si>
    <t>1017174, by code, *BUILDI</t>
  </si>
  <si>
    <t xml:space="preserve">*BUILDING*
*PROFILE*
*ZAAFARAN 4*
_Area: Downtown_
_Tap&amp;hold to copy a reply_
```-------------------------```
```Report              Reply```
```-------------------------```
*1 B/R*
```Sales, ROI        1017128```
```Price chart       1017129```
```Rentals               n/a```
*2 B/R*
```Sales, ROI        1017132```
```Price chart       1017133```
```Rentals               n/a```
*All types/bedrooms*
```Sales, ROI        1017173```
```Rentals               n/a```
</t>
  </si>
  <si>
    <t>1017192, *SALES*</t>
  </si>
  <si>
    <t>*SALES*
*TRANSACTIONS**
*ZAAFARAN 1-4*
_Area: Downtown_
_Type: 1 bedroom apartment_
```Date   Price  BUA Type P/sf```
```------------2025-----------```
```22Dec     2M  918 XXXX 2179```
```30Oct   2.5M  918 XXXX 2723```
```01May  2.65M  896 XXXX 2958```
```15Apr  3.75M 2256 XXXX 1662```
```12Feb     3M 1201 XXXX 2498```
```13Jan   3.6M 1030 XXXX 3495```
```------------2024-----------```
```11Dec 1.785M  785 XX55 2274```
```19Nov  2.55M 1231 XXXX 2071```
```26Sep  2.05M  921 XXXX 2226```
```09Sep   2.3M 1011 XXXX 2275```
```04Sep  1.75M  921 XXXX 1900```
```02Sep  2.65M 1011 XXXX 2621```
```29Feb   2.4M 1030 XX01 2330```
```------------2023-----------```
```06Dec  2.65M 1201 XX01 2206```
```27Nov  2.65M 2892 XXXX  916```
```22Nov 2.215M 1288 XX07 1720```
```08Nov  1.43M  757 XXXX 1889```
```01Nov  1.14M  757 XXXX 1506```
```26Oct  2.24M 1258 XX04 1781```
```17Oct 1.602M  921 XX12 1739```
```12Sep   1.8M  969 XX13 1858```
```03Aug   2.1M 1258 XX04 1669```
```01Aug  1.95M  918 XX06 2124```
```06Jul 1.925M 1231 XX06 1564```
```23Jun  1.89M 1014 XXXX 1864```
```22Jun  1.75M  896 XX05 1953```
```09May   1.6M  921 XX12 1737```
```01May   2.2M 1251 XXXX 1759```
```25Apr   2.4M 1281 XXXX 1874```
```17Apr   1.9M  887 XXXX 2142```
_Source: DLD, Databot_
_BUA - built-up area, sq.ft._
_P/sf - price per sq.ft._
_B - bedrooms; O - office_
_M - million, K- thousand_
_S - studio, R - shop_
_*Max 30 latest transactions_
www.trydatabot.com</t>
  </si>
  <si>
    <t>Zaafaran 1-4</t>
  </si>
  <si>
    <t>1017193, *MARKET</t>
  </si>
  <si>
    <t>*MARKET*
*SNAPSHOT*
*ZAAFARAN 1-4*
_Area: Downtown_
_Type: 1 bedroom apartment_
*Price dynamics, Dirham/sq.ft.*
_(M - median value)_
```3495|                *     ```
```    |                      ```
```    |                   *  ```
```    |          *         * ```
```    |                 *    ```
```2125|---------------------M```
```    |        **  ** *     *```
```    | *   *     *  *       ```
```    |* **  *           *   ```
```    |    *                 ```
```916 |       *              ```
```____|______________________```
```    |Aug2023        Dec2025```
_Source: see table below_
*Latest sales transactions*
```Date   Price  BUA Type P/sf```
```------------2025-----------```
```22Dec     2M  918 XXXX 2179```
```30Oct   2.5M  918 XXXX 2723```
```01May  2.65M  896 XXXX 2958```
```15Apr  3.75M 2256 XXXX 1662```
```12Feb     3M 1201 XXXX 2498```
```13Jan   3.6M 1030 XXXX 3495```
```------------2024-----------```
```11Dec 1.785M  785 XX55 2274```
```19Nov  2.55M 1231 XXXX 2071```
```26Sep  2.05M  921 XXXX 2226```
```09Sep   2.3M 1011 XXXX 2275```
```04Sep  1.75M  921 XXXX 1900```
```02Sep  2.65M 1011 XXXX 2621```
```29Feb   2.4M 1030 XX01 2330```
```------------2023-----------```
```06Dec  2.65M 1201 XX01 2206```
```27Nov  2.65M 2892 XXXX  916```
```22Nov 2.215M 1288 XX07 1720```
```08Nov  1.43M  757 XXXX 1889```
```01Nov  1.14M  757 XXXX 1506```
```26Oct  2.24M 1258 XX04 1781```
```17Oct 1.602M  921 XX12 1739```
```12Sep   1.8M  969 XX13 1858```
```03Aug   2.1M 1258 XX04 1669```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</si>
  <si>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1017196, *SALES*</t>
  </si>
  <si>
    <t>*SALES*
*TRANSACTIONS**
*ZAAFARAN 1-4*
_Area: Downtown_
_Type: 2 bedroom apartment_
```Date   Price  BUA Type P/sf```
```------------2025-----------```
```12Dec  3.37M 1329 XXXX 2536```
```17Nov   3.5M 1507 XXXX 2322```
```30Sep  3.65M 1344 XXXX 2716```
```25Aug   4.3M 2626 XXXX 1637```
```22Jul   3.4M 1632 XXXX 2083```
```19May   3.2M 1295 XXXX 2471```
```06May   2.7M 1344 XXXX 2009```
```13Mar  3.25M 1439 XXXX 2259```
```13Jan 2.561M 1344 XXXX 1906```
```------------2024-----------```
```05Dec   3.2M 1335 XXXX 2397```
```03Jun 3.075M 1270 XX03 2421```
```08May  2.55M 1338 XXXX 1906```
```14Mar   2.7M 1210 XX03 2231```
```11Mar  3.25M 1348 XX01 2411```
```22Feb   3.7M 2394 XXXX 1546```
```21Feb  2.61M 1244 XX06 2098```
```16Jan  3.75M 2164 XXXX 1733```
```------------2023-----------```
```24Nov 2.625M 1335 XX03 1966```
```13Jun   2.4M 1348 XX01 1780```
```13Jun   2.4M 1344 XX07 1786```
```22Mar   2.5M 1282 XXXX 1950```
```09Feb  2.63M 1410 XX04 1865```
```20Jan  2.55M 1272 XX02 2005```
```17Jan  2.35M 1244 XX06 1889```
```------------2022-----------```
```07Dec   2.3M 1295 XX10 1776```
```03Aug   2.8M 1507 XX02 1858```
```14Apr  1.98M 1295 XX10 1529```
```30Mar 1.468M 1272 XX02 1154```
```11Mar  1.95M 1338 XX08 1457```
```05Jan  1.65M 1329 XX09 1242```
_Source: DLD, Databot_
_BUA - built-up area, sq.ft._
_P/sf - price per sq.ft._
_B - bedrooms; O - office_
_M - million, K- thousand_
_S - studio, R - shop_
_*Max 30 latest transactions_
www.trydatabot.com</t>
  </si>
  <si>
    <t>1017197, *MARKET</t>
  </si>
  <si>
    <t>*MARKET*
*SNAPSHOT*
*ZAAFARAN 1-4*
_Area: Downtown_
_Type: 2 bedroom apartment_
*Price dynamics, Dirham/sq.ft.*
_(M - median value)_
```2716|                   *  ```
```    |                      ```
```    |                *    *```
```    |        *  **       * ```
```    |         *    *       ```
```    |      *          *    ```
```2046|---------------------M```
```    |    *          *      ```
```    |**        *  *        ```
```    |  ** *                ```
```1546|       *          *   ```
```____|______________________```
```    |Feb2023        Dec2025```
_Source: see table below_
*Latest sales transactions*
```Date   Price  BUA Type P/sf```
```------------2025-----------```
```12Dec  3.37M 1329 XXXX 2536```
```17Nov   3.5M 1507 XXXX 2322```
```30Sep  3.65M 1344 XXXX 2716```
```25Aug   4.3M 2626 XXXX 1637```
```22Jul   3.4M 1632 XXXX 2083```
```19May   3.2M 1295 XXXX 2471```
```06May   2.7M 1344 XXXX 2009```
```13Mar  3.25M 1439 XXXX 2259```
```13Jan 2.561M 1344 XXXX 1906```
```------------2024-----------```
```05Dec   3.2M 1335 XXXX 2397```
```03Jun 3.075M 1270 XX03 2421```
```08May  2.55M 1338 XXXX 1906```
```14Mar   2.7M 1210 XX03 2231```
```11Mar  3.25M 1348 XX01 2411```
```22Feb   3.7M 2394 XXXX 1546```
```21Feb  2.61M 1244 XX06 2098```
```16Jan  3.75M 2164 XXXX 1733```
```------------2023-----------```
```24Nov 2.625M 1335 XX03 1966```
```13Jun   2.4M 1348 XX01 1780```
```13Jun   2.4M 1344 XX07 1786```
```22Mar   2.5M 1282 XXXX 1950```
```09Feb  2.63M 1410 XX04 1865```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</si>
  <si>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1017200, *SALES*</t>
  </si>
  <si>
    <t>*SALES*
*TRANSACTIONS**
*ZAAFARAN 1-4*
_Area: Downtown_
_Type: 3 bedroom apartment_
```Date   Price  BUA Type P/sf```
```------------2023-----------```
```25May   3.8M 1887 XX05 2014```
```------------2022-----------```
```04Jul   6.1M 2155 XX09 2831```
_Source: DLD, Databot_
_BUA - built-up area, sq.ft._
_P/sf - price per sq.ft._
_B - bedrooms; O - office_
_M - million, K- thousand_
_S - studio, R - shop_
_*Max 30 latest transactions_
www.trydatabot.com</t>
  </si>
  <si>
    <t>1017201, *MARKET</t>
  </si>
  <si>
    <t>*MARKET*
*SNAPSHOT*
*ZAAFARAN 1-4*
_Area: Downtown_
_Type: 3 bedroom apartment_
*Price dynamics, Dirham/sq.ft.*
_(M - median value)_
```2831|                    * ```
```    |                      ```
```    |                      ```
```    |                      ```
```    |                      ```
```2423|---------------------M```
```    |                      ```
```    |                      ```
```    |                      ```
```    |                      ```
```2014|                     *```
```____|______________________```
```    |Jul2022        May2023```
_Source: see table below_
*Latest sales transactions*
```Date   Price  BUA Type P/sf```
```------------2023-----------```
```25May   3.8M 1887 XX05 2014```
```------------2022-----------```
```04Jul   6.1M 2155 XX09 2831```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</si>
  <si>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1017237, *SALES*</t>
  </si>
  <si>
    <t>*SALES*
*TRANSACTIONS**
*ZAAFARAN 1-4*
_Area: Downtown_
_All types/bedrooms_
```Date    Price   BUA  Type B```
```------------2025-----------```
```22Dec      2M   918  XXXX 1```
```12Dec   3.37M  1329  XXXX 2```
```17Nov    3.5M  1507  XXXX 2```
```30Oct    2.5M   918  XXXX 1```
```30Sep   3.65M  1344  XXXX 2```
```25Aug    4.3M  2626  XXXX 2```
```22Jul    3.4M  1632  XXXX 2```
```19May    3.2M  1295  XXXX 2```
```06May    2.7M  1344  XXXX 2```
```01May   2.65M   896  XXXX 1```
```15Apr   3.75M  2256  XXXX 1```
```13Mar   3.25M  1439  XXXX 2```
```12Feb      3M  1201  XXXX 1```
```13Jan  2.561M  1344  XXXX 2```
```13Jan    3.6M  1030  XXXX 1```
```------------2024-----------```
```11Dec  1.785M   785  XX55 1```
```05Dec    3.2M  1335  XXXX 2```
```19Nov   2.55M  1231  XXXX 1```
```26Sep   2.05M   921  XXXX 1```
```09Sep    2.3M  1011  XXXX 1```
```04Sep   1.75M   921  XXXX 1```
```02Sep   2.65M  1011  XXXX 1```
```03Jun  3.075M  1270  XX03 2```
```08May   2.55M  1338  XXXX 2```
```14Mar    2.7M  1210  XX03 2```
```11Mar   3.25M  1348  XX01 2```
```29Feb    2.4M  1030  XX01 1```
```22Feb    3.7M  2394  XXXX 2```
```21Feb   2.61M  1244  XX06 2```
```16Jan   3.75M  2164  XXXX 2```
_Source: DLD, Databot_
_BUA - built-up area, sq.ft._
_P/sf - price per sq.ft._
_B - bedrooms; O - office_
_M - million, K- thousand_
_S - studio, R - shop_
_*Max 30 latest transactions_
www.trydatabot.com</t>
  </si>
  <si>
    <t>1017238, by code, *BUILDI</t>
  </si>
  <si>
    <t xml:space="preserve">*BUILDING*
*PROFILE*
*ZAAFARAN 1-4*
_Area: Downtown_
_Tap&amp;hold to copy a reply_
```-------------------------```
```Report              Reply```
```-------------------------```
*1 B/R*
```Sales, ROI        1017192```
```Price chart       1017193```
```Rentals               n/a```
*2 B/R*
```Sales, ROI        1017196```
```Price chart       1017197```
```Rentals               n/a```
*3 B/R*
```Sales, ROI        1017200```
```Price chart       1017201```
```Rentals               n/a```
*All types/bedrooms*
```Sales, ROI        1017237```
```Rentals               n/a```
</t>
  </si>
  <si>
    <t>1017256, *SALES*</t>
  </si>
  <si>
    <t>*SALES*
*TRANSACTIONS**
*ZANZEBEEL 1*
_Area: Downtown_
_Type: 1 bedroom apartment_
```Date   Price  BUA Type P/sf```
```------------2025-----------```
```30Oct  2.24M 1109 XXXX 2020```
```23Jul   2.1M  965 XXXX 2176```
```27May     2M  973 XXXX 2055```
```------------2024-----------```
```01Nov  2.25M  822 XXXX 2737```
```03Oct   2.2M 1111 XXXX 1980```
```06Feb   2.2M 1092 XX02 2015```
```------------2023-----------```
```08Nov  1.96M 1092 XX02 1795```
```21Jun  2.66M 2419 XXXX 1100```
```21Feb   1.1M  821 XX05 1340```
```------------2022-----------```
```14Dec  1.55M 1105 XX01 1403```
```14Oct   700K  821 XX05  853```
```19Sep   1.4M  892 XX10 1570```
```09Sep  1.37M  888 XX10 1543```
```------------2021-----------```
```10Jan     1M  969 XX06 1032```
```------------2020-----------```
```10Dec 1.393M 1408 XXXX  989```
```14Jul 1.185M 1816 XXXX  653```
```26Mar  1.35M 2419 XXXX  558```
```01Mar   1.1M 1105 XX01  995```
```------------2018-----------```
```16Apr   1.7M 1109 XX01 1533```
```14Mar  1.35M  965 XX09 1399```
_Source: DLD, Databot_
_BUA - built-up area, sq.ft._
_P/sf - price per sq.ft._
_B - bedrooms; O - office_
_M - million, K- thousand_
_S - studio, R - shop_
_*Max 30 latest transactions_
www.trydatabot.com</t>
  </si>
  <si>
    <t>Zanzebeel 1</t>
  </si>
  <si>
    <t>1017257, *MARKET</t>
  </si>
  <si>
    <t>*MARKET*
*SNAPSHOT*
*ZANZEBEEL 1*
_Area: Downtown_
_Type: 1 bedroom apartment_
*Price dynamics, Dirham/sq.ft.*
_(M - median value)_
```2737|                  *   ```
```    |                      ```
```    |                      ```
```    |                ** ***```
```    |               *      ```
```    |         **           ```
```1468|---------------------M```
```    |  **        **        ```
```    |                      ```
```    |    *  **  *  *       ```
```558 |     **               ```
```____|______________________```
```    |Mar2018        Oct2025```
_Source: see table below_
*Latest sales transactions*
```Date   Price  BUA Type P/sf```
```------------2025-----------```
```30Oct  2.24M 1109 XXXX 2020```
```23Jul   2.1M  965 XXXX 2176```
```27May     2M  973 XXXX 2055```
```------------2024-----------```
```01Nov  2.25M  822 XXXX 2737```
```03Oct   2.2M 1111 XXXX 1980```
```06Feb   2.2M 1092 XX02 2015```
```------------2023-----------```
```08Nov  1.96M 1092 XX02 1795```
```21Jun  2.66M 2419 XXXX 1100```
```21Feb   1.1M  821 XX05 1340```
```------------2022-----------```
```14Dec  1.55M 1105 XX01 1403```
```14Oct   700K  821 XX05  853```
```19Sep   1.4M  892 XX10 1570```
```09Sep  1.37M  888 XX10 1543```
```------------2021-----------```
```10Jan     1M  969 XX06 1032```
```------------2020-----------```
```10Dec 1.393M 1408 XXXX  989```
```14Jul 1.185M 1816 XXXX  653```
```26Mar  1.35M 2419 XXXX  558```
```01Mar   1.1M 1105 XX01  995```
```------------2018-----------```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</si>
  <si>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1017260, *SALES*</t>
  </si>
  <si>
    <t>*SALES*
*TRANSACTIONS**
*ZANZEBEEL 1*
_Area: Downtown_
_Type: 2 bedroom apartment_
```Date   Price  BUA Type P/sf```
```------------2026-----------```
```08Jan  3.65M 2123 XXXX 1719```
```------------2025-----------```
```14Jul  3.65M 1414 XXXX 2581```
```21Feb     3M 1528 XXXX 1963```
```------------2024-----------```
```17Sep  2.85M 1414 XXXX 2016```
```04Jul  3.15M 1288 XXXX 2446```
```14Feb  2.95M 1319 XX08 2237```
```------------2023-----------```
```22Dec   2.9M 1413 XX03 2052```
```31Oct 2.401M 1341 XX11 1791```
```19Oct  2.35M 1319 XX08 1782```
```24Jul   2.4M 1423 XX07 1687```
```------------2022-----------```
```05Dec  2.05M 1288 XX04 1592```
```11Nov  1.95M 1313 XX08 1485```
```------------2020-----------```
```03Sep 1.531M 2123 XXXX  721```
```------------2019-----------```
```01May 1.585M 1341 XX11 1182```
_Source: DLD, Databot_
_BUA - built-up area, sq.ft._
_P/sf - price per sq.ft._
_B - bedrooms; O - office_
_M - million, K- thousand_
_S - studio, R - shop_
_*Max 30 latest transactions_
www.trydatabot.com</t>
  </si>
  <si>
    <t>1017261, *MARKET</t>
  </si>
  <si>
    <t>*MARKET*
*SNAPSHOT*
*ZANZEBEEL 1*
_Area: Downtown_
_Type: 2 bedroom apartment_
*Price dynamics, Dirham/sq.ft.*
_(M - median value)_
```2581|                    * ```
```    |                 *    ```
```    |                *     ```
```    |               *  **  ```
```1787|---------------------M```
```    |             **       ```
```    |           **        *```
```    |          *           ```
```    |                      ```
```    |        *             ```
```721 |         *            ```
```____|______________________```
```    |May2019        Jan2026```
_Source: see table below_
*Latest sales transactions*
```Date   Price  BUA Type P/sf```
```------------2026-----------```
```08Jan  3.65M 2123 XXXX 1719```
```------------2025-----------```
```14Jul  3.65M 1414 XXXX 2581```
```21Feb     3M 1528 XXXX 1963```
```------------2024-----------```
```17Sep  2.85M 1414 XXXX 2016```
```04Jul  3.15M 1288 XXXX 2446```
```14Feb  2.95M 1319 XX08 2237```
```------------2023-----------```
```22Dec   2.9M 1413 XX03 2052```
```31Oct 2.401M 1341 XX11 1791```
```19Oct  2.35M 1319 XX08 1782```
```24Jul   2.4M 1423 XX07 1687```
```------------2022-----------```
```05Dec  2.05M 1288 XX04 1592```
```11Nov  1.95M 1313 XX08 1485```
```------------2020-----------```
```03Sep 1.531M 2123 XXXX  721```
```------------2019-----------```
```01May 1.585M 1341 XX11 1182```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</si>
  <si>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1017301, *SALES*</t>
  </si>
  <si>
    <t>*SALES*
*TRANSACTIONS**
*ZANZEBEEL 1*
_Area: Downtown_
_All types/bedrooms_
```Date    Price   BUA  Type B```
```------------2026-----------```
```08Jan   3.65M  2123  XXXX 2```
```------------2025-----------```
```30Oct   2.24M  1109  XXXX 1```
```23Jul    2.1M   965  XXXX 1```
```14Jul   3.65M  1414  XXXX 2```
```27May      2M   973  XXXX 1```
```21Feb      3M  1528  XXXX 2```
```------------2024-----------```
```01Nov   2.25M   822  XXXX 1```
```03Oct    2.2M  1111  XXXX 1```
```17Sep   2.85M  1414  XXXX 2```
```04Jul   3.15M  1288  XXXX 2```
```14Feb   2.95M  1319  XX08 2```
```06Feb    2.2M  1092  XX02 1```
```------------2023-----------```
```22Dec    2.9M  1413  XX03 2```
```08Nov   1.96M  1092  XX02 1```
```31Oct  2.401M  1341  XX11 2```
```19Oct   2.35M  1319  XX08 2```
```24Jul    2.4M  1423  XX07 2```
```21Jun   2.66M  2419  XXXX 1```
```21Feb    1.1M   821  XX05 1```
```------------2022-----------```
```14Dec   1.55M  1105  XX01 1```
```05Dec   2.05M  1288  XX04 2```
```11Nov   1.95M  1313  XX08 2```
```14Oct    700K   821  XX05 1```
```19Sep    1.4M   892  XX10 1```
```09Sep   1.37M   888  XX10 1```
```------------2021-----------```
```10Jan      1M   969  XX06 1```
```------------2020-----------```
```10Dec  1.393M  1408  XXXX 1```
```03Sep  1.531M  2123  XXXX 2```
```14Jul  1.185M  1816  XXXX 1```
```26Mar   1.35M  2419  XXXX 1```
_Source: DLD, Databot_
_BUA - built-up area, sq.ft._
_P/sf - price per sq.ft._
_B - bedrooms; O - office_
_M - million, K- thousand_
_S - studio, R - shop_
_*Max 30 latest transactions_
www.trydatabot.com</t>
  </si>
  <si>
    <t>1017302, by code, *BUILDI</t>
  </si>
  <si>
    <t xml:space="preserve">*BUILDING*
*PROFILE*
*ZANZEBEEL 1*
_Area: Downtown_
_Tap&amp;hold to copy a reply_
```-------------------------```
```Report              Reply```
```-------------------------```
*1 B/R*
```Sales, ROI        1017256```
```Price chart       1017257```
```Rentals               n/a```
*2 B/R*
```Sales, ROI        1017260```
```Price chart       1017261```
```Rentals               n/a```
*All types/bedrooms*
```Sales, ROI        1017301```
```Rentals               n/a```
</t>
  </si>
  <si>
    <t>1017320, *SALES*</t>
  </si>
  <si>
    <t>*SALES*
*TRANSACTIONS**
*ZANZEBEEL 2*
_Area: Downtown_
_Type: 1 bedroom apartment_
```Date   Price  BUA Type P/sf```
```------------2025-----------```
```27Nov   2.7M 2158 XXXX 1251```
```04Sep   2.3M  951 XX06 2419```
```19Aug  2.07M 1008 XXXX 2054```
```09May  2.15M  954 XXXX 2254```
```09Apr   2.4M 2154 XXXX 1114```
```------------2024-----------```
```13Aug 2.025M  965 XXXX 2098```
```26Jul   1.7M  951 XX06 1788```
```27Mar  2.35M 1008 XXXX 2331```
```------------2023-----------```
```20Dec   2.1M  965 XX07 2176```
```17Nov  2.05M  954 XX03 2149```
```31Oct   1.6M  951 XX06 1682```
```27Oct   2.3M 2377 XXXX  968```
```28Aug  1.64M 1008 XXXX 1627```
```25Aug 1.531M  954 XX03 1605```
```17May  1.64M  954 XX03 1719```
```------------2022-----------```
```05Dec 1.607M 1335 XXXX 1204```
```10Aug 1.315M  791 XX01 1662```
```29Jul 1.375M  914 XXXX 1504```
```06Jan  1.35M  965 XX07 1399```
```------------2021-----------```
```19Dec     2M  965 XX07 2073```
```29Mar 1.175M  954 XX03 1232```
```------------2020-----------```
```27Oct 1.083M  914 XXXX 1185```
```09Jul  97.9K  951 XX06  103```
```21Jun 1.413M  965 XX07 1464```
```------------2019-----------```
```19Nov 1.175M 2486 XXXX  473```
```23Oct   950K  965 XX07  984```
```21Oct 1.677M 2486 XXXX  675```
```18Feb     1M  866 XXXX 1155```
```------------2018-----------```
```14Oct  1.15M  965 XX07 1192```
```05Feb  1.69M 1616 XXXX 1046```
_Source: DLD, Databot_
_BUA - built-up area, sq.ft._
_P/sf - price per sq.ft._
_B - bedrooms; O - office_
_M - million, K- thousand_
_S - studio, R - shop_
_*Max 30 latest transactions_
www.trydatabot.com</t>
  </si>
  <si>
    <t>Zanzebeel 2</t>
  </si>
  <si>
    <t>1017321, *MARKET</t>
  </si>
  <si>
    <t>*MARKET*
*SNAPSHOT*
*ZANZEBEEL 2*
_Area: Downtown_
_Type: 1 bedroom apartment_
*Price dynamics, Dirham/sq.ft.*
_(M - median value)_
```2419|                    * ```
```    |              *   *   ```
```    |  *         **  *     ```
```    |                   *  ```
```    |               *      ```
```1672|---------------------M```
```    |     * * * *          ```
```    |    *   *             ```
```    |   *                  ```
```    |**    *          *   *```
```968 |          *           ```
```____|______________________```
```    |Oct2020        Nov2025```
_Source: see table below_
*Latest sales transactions*
```Date   Price  BUA Type P/sf```
```------------2025-----------```
```27Nov   2.7M 2158 XXXX 1251```
```04Sep   2.3M  951 XX06 2419```
```19Aug  2.07M 1008 XXXX 2054```
```09May  2.15M  954 XXXX 2254```
```09Apr   2.4M 2154 XXXX 1114```
```------------2024-----------```
```13Aug 2.025M  965 XXXX 2098```
```26Jul   1.7M  951 XX06 1788```
```27Mar  2.35M 1008 XXXX 2331```
```------------2023-----------```
```20Dec   2.1M  965 XX07 2176```
```17Nov  2.05M  954 XX03 2149```
```31Oct   1.6M  951 XX06 1682```
```27Oct   2.3M 2377 XXXX  968```
```28Aug  1.64M 1008 XXXX 1627```
```25Aug 1.531M  954 XX03 1605```
```17May  1.64M  954 XX03 1719```
```------------2022-----------```
```05Dec 1.607M 1335 XXXX 1204```
```10Aug 1.315M  791 XX01 1662```
```29Jul 1.375M  914 XXXX 1504```
```06Jan  1.35M  965 XX07 1399```
```------------2021-----------```
```19Dec     2M  965 XX07 2073```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</si>
  <si>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1017324, *SALES*</t>
  </si>
  <si>
    <t>*SALES*
*TRANSACTIONS**
*ZANZEBEEL 2*
_Area: Downtown_
_Type: 2 bedroom apartment_
```Date   Price  BUA Type P/sf```
```------------2025-----------```
```29Oct 2.975M 1052 XXXX 2828```
```11Sep   3.8M 2496 XXXX 1522```
```07Aug     3M 1052 XXXX 2852```
```16Jun  2.85M 1449 XXXX 1967```
```12May   3.9M 1848 XXXX 2110```
```28Apr   2.9M 2699 XXXX 1074```
```24Feb  2.58M 1052 XXXX 2452```
```------------2024-----------```
```23Dec   2.5M 1848 XXXX 1353```
```25Nov 3.515M 2212 XXXX 1589```
```10May  2.35M 1352 XX08 1738```
```------------2023-----------```
```06Nov   2.1M 1352 XX08 1553```
```------------2022-----------```
```26May  1.95M 1052 XX11 1854```
```------------2021-----------```
```16Dec     2M 1234 XX12 1621```
```28Jan 1.528M 1449 XX05 1055```
```------------2020-----------```
```28Sep 1.075M 1234 XX12  871```
```08Jun   1.3M 1234 XX12 1053```
```------------2019-----------```
```23Jul 1.925M 2496 XXXX  771```
```12May  2.32M 2212 XXXX 1049```
```------------2018-----------```
```26Apr  2.32M 2212 XXXX 1049```
_Source: DLD, Databot_
_BUA - built-up area, sq.ft._
_P/sf - price per sq.ft._
_B - bedrooms; O - office_
_M - million, K- thousand_
_S - studio, R - shop_
_*Max 30 latest transactions_
www.trydatabot.com</t>
  </si>
  <si>
    <t>1017325, *MARKET</t>
  </si>
  <si>
    <t>*MARKET*
*SNAPSHOT*
*ZANZEBEEL 2*
_Area: Downtown_
_Type: 2 bedroom apartment_
*Price dynamics, Dirham/sq.ft.*
_(M - median value)_
```2852|                   * *```
```    |                      ```
```    |               *      ```
```    |                      ```
```    |                 **   ```
```    |          * *         ```
```1553|---------------------M```
```    |         * * *      * ```
```    |              *       ```
```    |   ** * *       *     ```
```771 |     * *              ```
```____|______________________```
```    |Apr2018        Oct2025```
_Source: see table below_
*Latest sales transactions*
```Date   Price  BUA Type P/sf```
```------------2025-----------```
```29Oct 2.975M 1052 XXXX 2828```
```11Sep   3.8M 2496 XXXX 1522```
```07Aug     3M 1052 XXXX 2852```
```16Jun  2.85M 1449 XXXX 1967```
```12May   3.9M 1848 XXXX 2110```
```28Apr   2.9M 2699 XXXX 1074```
```24Feb  2.58M 1052 XXXX 2452```
```------------2024-----------```
```23Dec   2.5M 1848 XXXX 1353```
```25Nov 3.515M 2212 XXXX 1589```
```10May  2.35M 1352 XX08 1738```
```------------2023-----------```
```06Nov   2.1M 1352 XX08 1553```
```------------2022-----------```
```26May  1.95M 1052 XX11 1854```
```------------2021-----------```
```16Dec     2M 1234 XX12 1621```
```28Jan 1.528M 1449 XX05 1055```
```------------2020-----------```
```28Sep 1.075M 1234 XX12  871```
```08Jun   1.3M 1234 XX12 1053```
```------------2019-----------```
```23Jul 1.925M 2496 XXXX  771```
```12May  2.32M 2212 XXXX 1049```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</si>
  <si>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1017365, *SALES*</t>
  </si>
  <si>
    <t>*SALES*
*TRANSACTIONS**
*ZANZEBEEL 2*
_Area: Downtown_
_All types/bedrooms_
```Date    Price   BUA  Type B```
```------------2025-----------```
```27Nov    2.7M  2158  XXXX 1```
```29Oct  2.975M  1052  XXXX 2```
```11Sep    3.8M  2496  XXXX 2```
```04Sep    2.3M   951  XX06 1```
```19Aug   2.07M  1008  XXXX 1```
```07Aug      3M  1052  XXXX 2```
```16Jun   2.85M  1449  XXXX 2```
```12May    3.9M  1848  XXXX 2```
```09May   2.15M   954  XXXX 1```
```28Apr    2.9M  2699  XXXX 2```
```09Apr    2.4M  2154  XXXX 1```
```24Feb   2.58M  1052  XXXX 2```
```------------2024-----------```
```23Dec    2.5M  1848  XXXX 2```
```25Nov  3.515M  2212  XXXX 2```
```13Aug  2.025M   965  XXXX 1```
```26Jul    1.7M   951  XX06 1```
```10May   2.35M  1352  XX08 2```
```27Mar   2.35M  1008  XXXX 1```
```------------2023-----------```
```20Dec    2.1M   965  XX07 1```
```17Nov   2.05M   954  XX03 1```
```06Nov    2.1M  1352  XX08 2```
```31Oct    1.6M   951  XX06 1```
```27Oct    2.3M  2377  XXXX 1```
```28Aug   1.64M  1008  XXXX 1```
```25Aug  1.531M   954  XX03 1```
```17May   1.64M   954  XX03 1```
```------------2022-----------```
```05Dec  1.607M  1335  XXXX 1```
```10Aug  1.315M   791  XX01 1```
```29Jul  1.375M   914  XXXX 1```
```26May   1.95M  1052  XX11 2```
_Source: DLD, Databot_
_BUA - built-up area, sq.ft._
_P/sf - price per sq.ft._
_B - bedrooms; O - office_
_M - million, K- thousand_
_S - studio, R - shop_
_*Max 30 latest transactions_
www.trydatabot.com</t>
  </si>
  <si>
    <t>1017366, by code, *BUILDI</t>
  </si>
  <si>
    <t xml:space="preserve">*BUILDING*
*PROFILE*
*ZANZEBEEL 2*
_Area: Downtown_
_Tap&amp;hold to copy a reply_
```-------------------------```
```Report              Reply```
```-------------------------```
*1 B/R*
```Sales, ROI        1017320```
```Price chart       1017321```
```Rentals               n/a```
*2 B/R*
```Sales, ROI        1017324```
```Price chart       1017325```
```Rentals               n/a```
*All types/bedrooms*
```Sales, ROI        1017365```
```Rentals               n/a```
</t>
  </si>
  <si>
    <t>1017384, *SALES*</t>
  </si>
  <si>
    <t>*SALES*
*TRANSACTIONS**
*ZANZEBEEL 3*
_Area: Downtown_
_Type: 1 bedroom apartment_
```Date   Price  BUA Type P/sf```
```------------2024-----------```
```29Oct  1.94M  972 XXXX 1996```
```12Jun 1.775M  972 XXXX 1826```
```------------2023-----------```
```18Dec   1.7M 1091 XXXX 1558```
```10Nov  1.58M  888 XXXX 1779```
```29Mar  1.48M  967 XX07 1531```
```------------2022-----------```
```24Nov  1.51M  888 XX11 1700```
```09May   1.4M  972 XX10 1440```
```------------2021-----------```
```06May   1.5M 2573 XXXX  583```
```03May 1.385M 1107 XX02 1251```
```------------2020-----------```
```06Aug   1.3M 2573 XXXX  505```
```------------2018-----------```
```26Apr   1.4M 1447 XXXX  968```
```26Feb 1.885M 1447 XXXX 1303```
_Source: DLD, Databot_
_BUA - built-up area, sq.ft._
_P/sf - price per sq.ft._
_B - bedrooms; O - office_
_M - million, K- thousand_
_S - studio, R - shop_
_*Max 30 latest transactions_
www.trydatabot.com</t>
  </si>
  <si>
    <t>Zanzebeel 3</t>
  </si>
  <si>
    <t>1017385, *MARKET</t>
  </si>
  <si>
    <t>*MARKET*
*SNAPSHOT*
*ZANZEBEEL 3*
_Area: Downtown_
_Type: 1 bedroom apartment_
*Price dynamics, Dirham/sq.ft.*
_(M - median value)_
```1996|                     *```
```    |                  * * ```
```    |                *     ```
```1486|---------------------M```
```    |                 * *  ```
```    |               *      ```
```    |          *  *        ```
```    |                      ```
```    |           *          ```
```    |                      ```
```505 |            * *       ```
```____|______________________```
```    |Feb2018        Oct2024```
_Source: see table below_
*Latest sales transactions*
```Date   Price  BUA Type P/sf```
```------------2024-----------```
```29Oct  1.94M  972 XXXX 1996```
```12Jun 1.775M  972 XXXX 1826```
```------------2023-----------```
```18Dec   1.7M 1091 XXXX 1558```
```10Nov  1.58M  888 XXXX 1779```
```29Mar  1.48M  967 XX07 1531```
```------------2022-----------```
```24Nov  1.51M  888 XX11 1700```
```09May   1.4M  972 XX10 1440```
```------------2021-----------```
```06May   1.5M 2573 XXXX  583```
```03May 1.385M 1107 XX02 1251```
```------------2020-----------```
```06Aug   1.3M 2573 XXXX  505```
```------------2018-----------```
```26Apr   1.4M 1447 XXXX  968```
```26Feb 1.885M 1447 XXXX 1303```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</si>
  <si>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1017388, *SALES*</t>
  </si>
  <si>
    <t>*SALES*
*TRANSACTIONS (RESALE)**
*ZANZEBEEL 3*
_Area: Downtown_
_Type: 2 bedroom apartment_
```Date   Price  BUA Type P/sf```
```------------2026-----------```
```19Jan  2.85M 1335 XXXX 2135```
```------------2025-----------```
```11Apr  2.67M 1309 XXXX 2040```
```06Mar  3.35M 1309 XXXX 2559```
```------------2024-----------```
```29Oct   2.9M 1309 XXXX 2215```
```08Feb  2.25M 1421 XX08 1583```
```------------2023-----------```
```09Oct  2.52M 1421 XX08 1773```
```06Sep 2.448M 1421 XX08 1723```
```------------2022-----------```
```03Feb 1.485M 1335 XX01 1112```
```------------2021-----------```
```11Aug   2.6M 2751 XXXX  945```
```------------2018-----------```
```22Jan    22K 1335 XX01   16```
_Source: DLD, Databot_
_BUA - built-up area, sq.ft._
_P/sf - price per sq.ft._
_B - bedrooms; O - office_
_M - million, K- thousand_
_S - studio, R - shop_
_*Max 30 latest transactions_
www.trydatabot.com</t>
  </si>
  <si>
    <t>1017389, *MARKET</t>
  </si>
  <si>
    <t>*MARKET*
*SNAPSHOT*
*ZANZEBEEL 3*
_Area: Downtown_
_Type: 2 bedroom apartment_
*Price dynamics, Dirham/sq.ft.*
_(M - median value)_
```2559|                   *  ```
```    |                  *   ```
```    |                    **```
```1748|---------------------M```
```    |               **     ```
```    |                 *    ```
```    |                      ```
```    |             **       ```
```    |                      ```
```    |                      ```
```16 |*************         ```
```____|______________________```
```    |Jan2018        Jan2026```
_Source: see table below_
*Latest sales transactions*
```Date   Price  BUA Type P/sf```
```------------2026-----------```
```19Jan  2.85M 1335 XXXX 2135```
```------------2025-----------```
```11Apr  2.67M 1309 XXXX 2040```
```06Mar  3.35M 1309 XXXX 2559```
```------------2024-----------```
```29Oct   2.9M 1309 XXXX 2215```
```08Feb  2.25M 1421 XX08 1583```
```------------2023-----------```
```09Oct  2.52M 1421 XX08 1773```
```06Sep 2.448M 1421 XX08 1723```
```------------2022-----------```
```03Feb 1.485M 1335 XX01 1112```
```------------2021-----------```
```11Aug   2.6M 2751 XXXX  945```
```------------2018-----------```
```22Jan    22K 1335 XX01   16```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</si>
  <si>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1017391, *RESELL</t>
  </si>
  <si>
    <t>*RESELL*
*VS PRIMARY*
*ZANZEBEEL 3*
_Area: Downtown_
_Type: 2 bedroom apartment_
*Price dynamics, Dirham/sq.ft.*
_(x - primary; * - resell)_
```2559|                   *  ```
```    |                  *   ```
```    |          x         **```
```    |               **     ```
```1543|                 *    ```
```    |                      ```
```    |             **       ```
```    |                      ```
```    |                      ```
```16 |xxxxxxxxxx **         ```
```____|______________________```
```    |Dec1899        Jan2026```
_Source: see a table below_
*Latest resell transactions*
```Date   Price  BUA Type P/sf```
```------------2026-----------```
```19Jan  2.85M 1335 XXXX 2135```
```------------2025-----------```
```11Apr  2.67M 1309 XXXX 2040```
```06Mar  3.35M 1309 XXXX 2559```
```------------2024-----------```
```29Oct   2.9M 1309 XXXX 2215```
```08Feb  2.25M 1421 XX08 1583```
```------------2023-----------```
```09Oct  2.52M 1421 XX08 1773```
```06Sep 2.448M 1421 XX08 1723```
```------------2022-----------```
```03Feb 1.485M 1335 XX01 1112```
```------------2021-----------```
```11Aug   2.6M 2751 XXXX  945```
```------------2018-----------```
```22Jan    22K 1335 XX01   16```
*Latest primary transactions*
```------------2025-----------```
```29Aug   2.7M 1308 XXXX 2064```</t>
  </si>
  <si>
    <t>1017429, *SALES*</t>
  </si>
  <si>
    <t>*SALES*
*TRANSACTIONS (RESALE)**
*ZANZEBEEL 3*
_Area: Downtown_
_All types/bedrooms_
```Date    Price   BUA  Type B```
```------------2026-----------```
```19Jan   2.85M  1335  XXXX 2```
```------------2025-----------```
```11Apr   2.67M  1309  XXXX 2```
```06Mar   3.35M  1309  XXXX 2```
```------------2024-----------```
```29Oct    2.9M  1309  XXXX 2```
```29Oct   1.94M   972  XXXX 1```
```12Jun  1.775M   972  XXXX 1```
```08Feb   2.25M  1421  XX08 2```
```------------2023-----------```
```18Dec    1.7M  1091  XXXX 1```
```10Nov   1.58M   888  XXXX 1```
```09Oct   2.52M  1421  XX08 2```
```06Sep  2.448M  1421  XX08 2```
```29Mar   1.48M   967  XX07 1```
```------------2022-----------```
```24Nov   1.51M   888  XX11 1```
```09May    1.4M   972  XX10 1```
```03Feb  1.485M  1335  XX01 2```
```------------2021-----------```
```11Aug    2.6M  2751  XXXX 2```
```06May    1.5M  2573  XXXX 1```
```03May  1.385M  1107  XX02 1```
```------------2020-----------```
```06Aug    1.3M  2573  XXXX 1```
```------------2018-----------```
```26Apr    1.4M  1447  XXXX 1```
```26Feb  1.885M  1447  XXXX 1```
```22Jan     22K  1335  XX01 2```
_Source: DLD, Databot_
_BUA - built-up area, sq.ft._
_P/sf - price per sq.ft._
_B - bedrooms; O - office_
_M - million, K- thousand_
_S - studio, R - shop_
_*Max 30 latest transactions_
www.trydatabot.com</t>
  </si>
  <si>
    <t>1017430, by code, *BUILDI</t>
  </si>
  <si>
    <t xml:space="preserve">*BUILDING*
*PROFILE*
*ZANZEBEEL 3*
_Area: Downtown_
_Tap&amp;hold to copy a reply_
```-------------------------```
```Report              Reply```
```-------------------------```
*1 B/R*
```Sales, ROI        1017384```
```Price chart       1017385```
```Rentals               n/a```
*2 B/R*
```Resell, ROI       1017388```
```Primary sales     1017433```
```Price chart       1017389```
```Rentals               n/a```
```Appreciation      1017391```
*All types/bedrooms*
```Resell, ROI       1017429```
```Primary sales     1017443```
```Rentals               n/a```
</t>
  </si>
  <si>
    <t>1017433, *SALES*</t>
  </si>
  <si>
    <t>*SALES*
*TRANSACTIONS (PRIMARY)**
*ZANZEBEEL 3*
_Area: Downtown_
_Type: 2 bedroom apartment_
```Date   Price  BUA Type P/sf```
```------------2025-----------```
```29Aug   2.7M 1308 XXXX 2064```
_Source: DLD, Databot_
_BUA - built-up area, sq.ft._
_P/sf - price per sq.ft._
_B - bedrooms; O - office_
_M - million, K- thousand_
_S - studio, R - shop_
_*Max 20 latest transactions_
www.trydatabot.com</t>
  </si>
  <si>
    <t>1017443, *SALES*</t>
  </si>
  <si>
    <t>*SALES*
*TRANSACTIONS (PRIMARY)**
*ZANZEBEEL 3*
_Area: Downtown_
_All types/bedrooms_
```Date    Price   BUA  Type B```
```------------2025-----------```
```29Aug    2.7M  1308  XXXX 2```
_Source: DLD, Databot_
_BUA - built-up area, sq.ft._
_P/sf - price per sq.ft._
_B - bedrooms; O - office_
_M - million, K- thousand_
_S - studio, R - shop_
_*Max 20 latest transactions_
www.trydatabot.com</t>
  </si>
  <si>
    <t>1017448, *SALES*</t>
  </si>
  <si>
    <t>*SALES*
*TRANSACTIONS**
*ZANZEBEEL 4*
_Area: Downtown_
_Type: 1 bedroom apartment_
```Date   Price  BUA Type P/sf```
```------------2025-----------```
```06Nov  2.12M  891 XXXX 2379```
```07Oct 1.806M  891 XXXX 2027```
```26May  2.25M 1177 XXXX 1912```
```03Mar   2.5M 1177 XXXX 2124```
```------------2024-----------```
```23Dec 1.939M  891 XXXX 2176```
```22Nov   2.3M 1177 XXXX 1954```
```10Jul   2.1M 1177 XXXX 1784```
```------------2023-----------```
```13Jun     2M 1177 XX03 1699```
```13Jun     2M 1177 XX03 1699```
```------------2022-----------```
```29Sep 1.425M  982 XX01 1451```
```------------2021-----------```
```17Aug  1.55M 1177 XX03 1317```
```------------2020-----------```
```17Dec   1.1M 1177 XX03  935```
```17Dec   1.1M 1177 XX03  935```
```------------2018-----------```
```19Apr   1.7M 1177 XX03 1444```
```05Mar   1.7M 1177 XX03 1444```
_Source: DLD, Databot_
_BUA - built-up area, sq.ft._
_P/sf - price per sq.ft._
_B - bedrooms; O - office_
_M - million, K- thousand_
_S - studio, R - shop_
_*Max 30 latest transactions_
www.trydatabot.com</t>
  </si>
  <si>
    <t>Zanzebeel 4</t>
  </si>
  <si>
    <t>1017449, *MARKET</t>
  </si>
  <si>
    <t>*MARKET*
*SNAPSHOT*
*ZANZEBEEL 4*
_Area: Downtown_
_Type: 1 bedroom apartment_
*Price dynamics, Dirham/sq.ft.*
_(M - median value)_
```2379|                     *```
```    |                 *    ```
```    |                  * * ```
```    |                *  *  ```
```    |               *      ```
```1699|---------------------M```
```    |             **       ```
```    |       **   *         ```
```    |           *          ```
```    |                      ```
```935 |         **           ```
```____|______________________```
```    |Mar2018        Nov2025```
_Source: see table below_
*Latest sales transactions*
```Date   Price  BUA Type P/sf```
```------------2025-----------```
```06Nov  2.12M  891 XXXX 2379```
```07Oct 1.806M  891 XXXX 2027```
```26May  2.25M 1177 XXXX 1912```
```03Mar   2.5M 1177 XXXX 2124```
```------------2024-----------```
```23Dec 1.939M  891 XXXX 2176```
```22Nov   2.3M 1177 XXXX 1954```
```10Jul   2.1M 1177 XXXX 1784```
```------------2023-----------```
```13Jun     2M 1177 XX03 1699```
```13Jun     2M 1177 XX03 1699```
```------------2022-----------```
```29Sep 1.425M  982 XX01 1451```
```------------2021-----------```
```17Aug  1.55M 1177 XX03 1317```
```------------2020-----------```
```17Dec   1.1M 1177 XX03  935```
```17Dec   1.1M 1177 XX03  935```
```------------2018-----------```
```19Apr   1.7M 1177 XX03 1444```
```05Mar   1.7M 1177 XX03 1444```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</si>
  <si>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1017452, *SALES*</t>
  </si>
  <si>
    <t>*SALES*
*TRANSACTIONS**
*ZANZEBEEL 4*
_Area: Downtown_
_Type: 2 bedroom apartment_
```Date   Price  BUA Type P/sf```
```------------2025-----------```
```25Jun  3.15M 1404 XXXX 2244```
```------------2024-----------```
```23Dec   2.9M 1427 XXXX 2032```
```31May  2.55M 1404 XX05 1816```
```14May   2.6M 1404 XX05 1852```
```------------2023-----------```
```05Dec  2.45M 1427 XXXX 1717```
```------------2022-----------```
```29Dec 1.136M 1427 XX02  796```
```------------2018-----------```
```06May  2.75M 1404 XX05 1959```
_Source: DLD, Databot_
_BUA - built-up area, sq.ft._
_P/sf - price per sq.ft._
_B - bedrooms; O - office_
_M - million, K- thousand_
_S - studio, R - shop_
_*Max 30 latest transactions_
www.trydatabot.com</t>
  </si>
  <si>
    <t>1017453, *MARKET</t>
  </si>
  <si>
    <t>*MARKET*
*SNAPSHOT*
*ZANZEBEEL 4*
_Area: Downtown_
_Type: 2 bedroom apartment_
*Price dynamics, Dirham/sq.ft.*
_(M - median value)_
```2244|                     *```
```    |                    * ```
```    |               *      ```
```1852|---------------------M```
```    |                  **  ```
```    |                 *    ```
```    |                      ```
```    |                      ```
```    |                      ```
```    |                      ```
```796 |                *     ```
```____|______________________```
```    |May2018        Jun2025```
_Source: see table below_
*Latest sales transactions*
```Date   Price  BUA Type P/sf```
```------------2025-----------```
```25Jun  3.15M 1404 XXXX 2244```
```------------2024-----------```
```23Dec   2.9M 1427 XXXX 2032```
```31May  2.55M 1404 XX05 1816```
```14May   2.6M 1404 XX05 1852```
```------------2023-----------```
```05Dec  2.45M 1427 XXXX 1717```
```------------2022-----------```
```29Dec 1.136M 1427 XX02  796```
```------------2018-----------```
```06May  2.75M 1404 XX05 1959```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</si>
  <si>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1017456, *SALES*</t>
  </si>
  <si>
    <t>*SALES*
*TRANSACTIONS**
*ZANZEBEEL 4*
_Area: Downtown_
_Type: 3 bedroom apartment_
```Date   Price  BUA Type P/sf```
```------------2025-----------```
```21Mar   5.1M 3378 XXXX 1510```
```------------2022-----------```
```17Oct 3.325M 1966 XX04 1691```
```23May  3.05M 1966 XX04 1551```
```28Jan  4.75M 3856 XXXX 1232```
```------------2021-----------```
```10Mar  2.25M 1966 XX04 1144```
```------------2020-----------```
```14Oct   2.1M 1966 XX04 1068```
```06Jul     2M 1966 XX04 1017```
```------------2019-----------```
```30Apr  2.55M 1966 XX04 1297```
```28Apr 3.593M 1966 XX04 1828```
_Source: DLD, Databot_
_BUA - built-up area, sq.ft._
_P/sf - price per sq.ft._
_B - bedrooms; O - office_
_M - million, K- thousand_
_S - studio, R - shop_
_*Max 30 latest transactions_
www.trydatabot.com</t>
  </si>
  <si>
    <t>1017457, *MARKET</t>
  </si>
  <si>
    <t>*MARKET*
*SNAPSHOT*
*ZANZEBEEL 4*
_Area: Downtown_
_Type: 3 bedroom apartment_
*Price dynamics, Dirham/sq.ft.*
_(M - median value)_
```1828|             *        ```
```    |                      ```
```    |                    * ```
```    |                   *  ```
```    |                     *```
```    |                      ```
```    |                      ```
```1297|---------------------M```
```    |              *   *   ```
```    |                 *    ```
```1017|               **     ```
```____|______________________```
```    |Apr2019        Mar2025```
_Source: see table below_
*Latest sales transactions*
```Date   Price  BUA Type P/sf```
```------------2025-----------```
```21Mar   5.1M 3378 XXXX 1510```
```------------2022-----------```
```17Oct 3.325M 1966 XX04 1691```
```23May  3.05M 1966 XX04 1551```
```28Jan  4.75M 3856 XXXX 1232```
```------------2021-----------```
```10Mar  2.25M 1966 XX04 1144```
```------------2020-----------```
```14Oct   2.1M 1966 XX04 1068```
```06Jul     2M 1966 XX04 1017```
```------------2019-----------```
```30Apr  2.55M 1966 XX04 1297```
```28Apr 3.593M 1966 XX04 1828```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</si>
  <si>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1017460, *SALES*</t>
  </si>
  <si>
    <t>*SALES*
*TRANSACTIONS**
*ZANZEBEEL 4*
_Area: Downtown_
_Type: 4 bedroom apartment_
```Date   Price  BUA Type P/sf```
```------------2022-----------```
```21Dec     5M 3106 XX02 1610```
```14Apr  7.05M 3182 XX01 2216```
_Source: DLD, Databot_
_BUA - built-up area, sq.ft._
_P/sf - price per sq.ft._
_B - bedrooms; O - office_
_M - million, K- thousand_
_S - studio, R - shop_
_*Max 30 latest transactions_
www.trydatabot.com</t>
  </si>
  <si>
    <t>1017461, *MARKET</t>
  </si>
  <si>
    <t>*MARKET*
*SNAPSHOT*
*ZANZEBEEL 4*
_Area: Downtown_
_Type: 4 bedroom apartment_
*Price dynamics, Dirham/sq.ft.*
_(M - median value)_
```2216|                    * ```
```    |                      ```
```    |                      ```
```    |                      ```
```    |                      ```
```1913|---------------------M```
```    |                      ```
```    |                      ```
```    |                      ```
```    |                      ```
```1610|                     *```
```____|______________________```
```    |Apr2022        Dec2022```
_Source: see table below_
*Latest sales transactions*
```Date   Price  BUA Type P/sf```
```------------2022-----------```
```21Dec     5M 3106 XX02 1610```
```14Apr  7.05M 3182 XX01 2216```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</si>
  <si>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1017493, *SALES*</t>
  </si>
  <si>
    <t>*SALES*
*TRANSACTIONS**
*ZANZEBEEL 4*
_Area: Downtown_
_All types/bedrooms_
```Date    Price   BUA  Type B```
```------------2025-----------```
```06Nov   2.12M   891  XXXX 1```
```07Oct  1.806M   891  XXXX 1```
```25Jun   3.15M  1404  XXXX 2```
```26May   2.25M  1177  XXXX 1```
```21Mar    5.1M  3378  XXXX 3```
```03Mar    2.5M  1177  XXXX 1```
```------------2024-----------```
```23Dec  1.939M   891  XXXX 1```
```23Dec    2.9M  1427  XXXX 2```
```22Nov    2.3M  1177  XXXX 1```
```10Jul    2.1M  1177  XXXX 1```
```31May   2.55M  1404  XX05 2```
```14May    2.6M  1404  XX05 2```
```------------2023-----------```
```05Dec   2.45M  1427  XXXX 2```
```13Jun      2M  1177  XX03 1```
```13Jun      2M  1177  XX03 1```
```------------2022-----------```
```29Dec  1.136M  1427  XX02 2```
```21Dec      5M  3106  XX02 4```
```17Oct  3.325M  1966  XX04 3```
```29Sep  1.425M   982  XX01 1```
```23May   3.05M  1966  XX04 3```
```14Apr   7.05M  3182  XX01 4```
```28Jan   4.75M  3856  XXXX 3```
```------------2021-----------```
```17Aug   1.55M  1177  XX03 1```
```10Mar   2.25M  1966  XX04 3```
```------------2020-----------```
```17Dec    1.1M  1177  XX03 1```
```17Dec    1.1M  1177  XX03 1```
```14Oct    2.1M  1966  XX04 3```
```06Jul      2M  1966  XX04 3```
```------------2019-----------```
```30Apr   2.55M  1966  XX04 3```
```28Apr  3.593M  1966  XX04 3```
_Source: DLD, Databot_
_BUA - built-up area, sq.ft._
_P/sf - price per sq.ft._
_B - bedrooms; O - office_
_M - million, K- thousand_
_S - studio, R - shop_
_*Max 30 latest transactions_
www.trydatabot.com</t>
  </si>
  <si>
    <t>1017494, by code, *BUILDI</t>
  </si>
  <si>
    <t xml:space="preserve">*BUILDING*
*PROFILE*
*ZANZEBEEL 4*
_Area: Downtown_
_Tap&amp;hold to copy a reply_
```-------------------------```
```Report              Reply```
```-------------------------```
*1 B/R*
```Sales, ROI        1017448```
```Price chart       1017449```
```Rentals               n/a```
*2 B/R*
```Sales, ROI        1017452```
```Price chart       1017453```
```Rentals               n/a```
*3 B/R*
```Sales, ROI        1017456```
```Price chart       1017457```
```Rentals               n/a```
*4 B/R*
```Sales, ROI        1017460```
```Price chart       1017461```
```Rentals               n/a```
*All types/bedrooms*
```Sales, ROI        1017493```
```Rentals               n/a```
</t>
  </si>
  <si>
    <t>1017512, *SALES*</t>
  </si>
  <si>
    <t>*SALES*
*TRANSACTIONS**
*ZANZEBEEL 1-4*
_Area: Downtown_
_Type: 1 bedroom apartment_
```Date   Price  BUA Type P/sf```
```------------2025-----------```
```27Nov   2.7M 2158 XXXX 1251```
```06Nov  2.12M  891 XXXX 2379```
```30Oct  2.24M 1109 XXXX 2020```
```07Oct 1.806M  891 XXXX 2027```
```04Sep   2.3M  951 XX06 2419```
```19Aug  2.07M 1008 XXXX 2054```
```23Jul   2.1M  965 XXXX 2176```
```27May     2M  973 XXXX 2055```
```26May  2.25M 1177 XXXX 1912```
```09May  2.15M  954 XXXX 2254```
```09Apr   2.4M 2154 XXXX 1114```
```03Mar   2.5M 1177 XXXX 2124```
```------------2024-----------```
```23Dec 1.939M  891 XXXX 2176```
```22Nov   2.3M 1177 XXXX 1954```
```01Nov  2.25M  822 XXXX 2737```
```29Oct  1.94M  972 XXXX 1996```
```03Oct   2.2M 1111 XXXX 1980```
```13Aug 2.025M  965 XXXX 2098```
```26Jul   1.7M  951 XX06 1788```
```10Jul   2.1M 1177 XXXX 1784```
```12Jun 1.775M  972 XXXX 1826```
```27Mar  2.35M 1008 XXXX 2331```
```06Feb   2.2M 1092 XX02 2015```
```------------2023-----------```
```20Dec   2.1M  965 XX07 2176```
```18Dec   1.7M 1091 XXXX 1558```
```17Nov  2.05M  954 XX03 2149```
```10Nov  1.58M  888 XXXX 1779```
```08Nov  1.96M 1092 XX02 1795```
```31Oct   1.6M  951 XX06 1682```
```27Oct   2.3M 2377 XXXX  968```
_Source: DLD, Databot_
_BUA - built-up area, sq.ft._
_P/sf - price per sq.ft._
_B - bedrooms; O - office_
_M - million, K- thousand_
_S - studio, R - shop_
_*Max 30 latest transactions_
www.trydatabot.com</t>
  </si>
  <si>
    <t>Zanzebeel 1-4</t>
  </si>
  <si>
    <t>1017513, *MARKET</t>
  </si>
  <si>
    <t>*MARKET*
*SNAPSHOT*
*ZANZEBEEL 1-4*
_Area: Downtown_
_Type: 1 bedroom apartment_
*Price dynamics, Dirham/sq.ft.*
_(M - median value)_
```2737|       *              ```
```    |                      ```
```    |                 *  * ```
```    |*        *  *  *      ```
```2041|---------------------M```
```    |    *     *   * * **  ```
```    |     ** *    *        ```
```    | ***                  ```
```    |                      ```
```    |                      ```
```1114|           *         *```
```____|______________________```
```    |Mar2024        Nov2025```
_Source: see table below_
*Latest sales transactions*
```Date   Price  BUA Type P/sf```
```------------2025-----------```
```27Nov   2.7M 2158 XXXX 1251```
```06Nov  2.12M  891 XXXX 2379```
```30Oct  2.24M 1109 XXXX 2020```
```07Oct 1.806M  891 XXXX 2027```
```04Sep   2.3M  951 XX06 2419```
```19Aug  2.07M 1008 XXXX 2054```
```23Jul   2.1M  965 XXXX 2176```
```27May     2M  973 XXXX 2055```
```26May  2.25M 1177 XXXX 1912```
```09May  2.15M  954 XXXX 2254```
```09Apr   2.4M 2154 XXXX 1114```
```03Mar   2.5M 1177 XXXX 2124```
```------------2024-----------```
```23Dec 1.939M  891 XXXX 2176```
```22Nov   2.3M 1177 XXXX 1954```
```01Nov  2.25M  822 XXXX 2737```
```29Oct  1.94M  972 XXXX 1996```
```03Oct   2.2M 1111 XXXX 1980```
```13Aug 2.025M  965 XXXX 2098```
```26Jul   1.7M  951 XX06 1788```
```10Jul   2.1M 1177 XXXX 1784```
```12Jun 1.775M  972 XXXX 1826```
```27Mar  2.35M 1008 XXXX 2331```
```06Feb   2.2M 1092 XX02 2015```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</si>
  <si>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1017516, *SALES*</t>
  </si>
  <si>
    <t>*SALES*
*TRANSACTIONS (RESALE)**
*ZANZEBEEL 1-4*
_Area: Downtown_
_Type: 2 bedroom apartment_
```Date   Price  BUA Type P/sf```
```------------2026-----------```
```19Jan  2.85M 1335 XXXX 2135```
```08Jan  3.65M 2123 XXXX 1719```
```------------2025-----------```
```29Oct 2.975M 1052 XXXX 2828```
```11Sep   3.8M 2496 XXXX 1522```
```07Aug     3M 1052 XXXX 2852```
```14Jul  3.65M 1414 XXXX 2581```
```25Jun  3.15M 1404 XXXX 2244```
```16Jun  2.85M 1449 XXXX 1967```
```12May   3.9M 1848 XXXX 2110```
```28Apr   2.9M 2699 XXXX 1074```
```11Apr  2.67M 1309 XXXX 2040```
```06Mar  3.35M 1309 XXXX 2559```
```24Feb  2.58M 1052 XXXX 2452```
```21Feb     3M 1528 XXXX 1963```
```------------2024-----------```
```23Dec   2.5M 1848 XXXX 1353```
```23Dec   2.9M 1427 XXXX 2032```
```25Nov 3.515M 2212 XXXX 1589```
```29Oct   2.9M 1309 XXXX 2215```
```17Sep  2.85M 1414 XXXX 2016```
```04Jul  3.15M 1288 XXXX 2446```
```31May  2.55M 1404 XX05 1816```
```14May   2.6M 1404 XX05 1852```
```10May  2.35M 1352 XX08 1738```
```14Feb  2.95M 1319 XX08 2237```
```08Feb  2.25M 1421 XX08 1583```
```------------2023-----------```
```22Dec   2.9M 1413 XX03 2052```
```05Dec  2.45M 1427 XXXX 1717```
```06Nov   2.1M 1352 XX08 1553```
```31Oct 2.401M 1341 XX11 1791```
```19Oct  2.35M 1319 XX08 1782```
_Source: DLD, Databot_
_BUA - built-up area, sq.ft._
_P/sf - price per sq.ft._
_B - bedrooms; O - office_
_M - million, K- thousand_
_S - studio, R - shop_
_*Max 30 latest transactions_
www.trydatabot.com</t>
  </si>
  <si>
    <t>1017517, *MARKET</t>
  </si>
  <si>
    <t>*MARKET*
*SNAPSHOT*
*ZANZEBEEL 1-4*
_Area: Downtown_
_Type: 2 bedroom apartment_
*Price dynamics, Dirham/sq.ft.*
_(M - median value)_
```2852|                 * *  ```
```    |                      ```
```    |  *      **     *     ```
```    |               *      ```
```    |    *        *       *```
```2036|---------------------M```
```    |   *  * *  *  *       ```
```    |**                  * ```
```    |     *            *   ```
```    |       *              ```
```1074|            *         ```
```____|______________________```
```    |May2024        Jan2026```
_Source: see table below_
*Latest sales transactions*
```Date   Price  BUA Type P/sf```
```------------2026-----------```
```19Jan  2.85M 1335 XXXX 2135```
```08Jan  3.65M 2123 XXXX 1719```
```------------2025-----------```
```29Oct 2.975M 1052 XXXX 2828```
```11Sep   3.8M 2496 XXXX 1522```
```07Aug     3M 1052 XXXX 2852```
```14Jul  3.65M 1414 XXXX 2581```
```25Jun  3.15M 1404 XXXX 2244```
```16Jun  2.85M 1449 XXXX 1967```
```12May   3.9M 1848 XXXX 2110```
```28Apr   2.9M 2699 XXXX 1074```
```11Apr  2.67M 1309 XXXX 2040```
```06Mar  3.35M 1309 XXXX 2559```
```24Feb  2.58M 1052 XXXX 2452```
```21Feb     3M 1528 XXXX 1963```
```------------2024-----------```
```23Dec   2.5M 1848 XXXX 1353```
```23Dec   2.9M 1427 XXXX 2032```
```25Nov 3.515M 2212 XXXX 1589```
```29Oct   2.9M 1309 XXXX 2215```
```17Sep  2.85M 1414 XXXX 2016```
```04Jul  3.15M 1288 XXXX 2446```
```31May  2.55M 1404 XX05 1816```
```14May   2.6M 1404 XX05 1852```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</si>
  <si>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1017519, *RESELL</t>
  </si>
  <si>
    <t>*RESELL*
*VS PRIMARY*
*ZANZEBEEL 1-4*
_Area: Downtown_
_Type: 2 bedroom apartment_
*Price dynamics, Dirham/sq.ft.*
_(x - primary; * - resell)_
```2852|                 * *  ```
```    |                      ```
```    |                *     ```
```    |               *      ```
```2140|          x  *       *```
```    |           *  *       ```
```    |                    * ```
```    |                  *   ```
```    |                      ```
```1074|            *         ```
```____|______________________```
```    |Dec1899        Jan2026```
_Source: see a table below_
*Latest resell transactions*
```Date   Price  BUA Type P/sf```
```------------2026-----------```
```19Jan  2.85M 1335 XXXX 2135```
```08Jan  3.65M 2123 XXXX 1719```
```------------2025-----------```
```29Oct 2.975M 1052 XXXX 2828```
```11Sep   3.8M 2496 XXXX 1522```
```07Aug     3M 1052 XXXX 2852```
```14Jul  3.65M 1414 XXXX 2581```
```25Jun  3.15M 1404 XXXX 2244```
```16Jun  2.85M 1449 XXXX 1967```
```12May   3.9M 1848 XXXX 2110```
```28Apr   2.9M 2699 XXXX 1074```
```11Apr  2.67M 1309 XXXX 2040```
```06Mar  3.35M 1309 XXXX 2559```
```24Feb  2.58M 1052 XXXX 2452```
```21Feb     3M 1528 XXXX 1963```
```------------2024-----------```
```23Dec   2.5M 1848 XXXX 1353```
```23Dec   2.9M 1427 XXXX 2032```
*Latest primary transactions*
```------------2025-----------```
```29Aug   2.7M 1308 XXXX 2064```</t>
  </si>
  <si>
    <t>1017520, *SALES*</t>
  </si>
  <si>
    <t>*SALES*
*TRANSACTIONS**
*ZANZEBEEL 1-4*
_Area: Downtown_
_Type: 3 bedroom apartment_
```Date   Price  BUA Type P/sf```
```------------2025-----------```
```21Mar   5.1M 3378 XXXX 1510```
```------------2022-----------```
```17Oct 3.325M 1966 XX04 1691```
```23May  3.05M 1966 XX04 1551```
```28Jan  4.75M 3856 XXXX 1232```
```------------2021-----------```
```10Mar  2.25M 1966 XX04 1144```
```------------2020-----------```
```14Oct   2.1M 1966 XX04 1068```
```06Jul     2M 1966 XX04 1017```
```------------2019-----------```
```30Apr  2.55M 1966 XX04 1297```
```28Apr 3.593M 1966 XX04 1828```
_Source: DLD, Databot_
_BUA - built-up area, sq.ft._
_P/sf - price per sq.ft._
_B - bedrooms; O - office_
_M - million, K- thousand_
_S - studio, R - shop_
_*Max 30 latest transactions_
www.trydatabot.com</t>
  </si>
  <si>
    <t>1017521, *MARKET</t>
  </si>
  <si>
    <t>*MARKET*
*SNAPSHOT*
*ZANZEBEEL 1-4*
_Area: Downtown_
_Type: 3 bedroom apartment_
*Price dynamics, Dirham/sq.ft.*
_(M - median value)_
```1828|             *        ```
```    |                      ```
```    |                    * ```
```    |                   *  ```
```    |                     *```
```    |                      ```
```    |                      ```
```1297|---------------------M```
```    |              *   *   ```
```    |                 *    ```
```1017|               **     ```
```____|______________________```
```    |Apr2019        Mar2025```
_Source: see table below_
*Latest sales transactions*
```Date   Price  BUA Type P/sf```
```------------2025-----------```
```21Mar   5.1M 3378 XXXX 1510```
```------------2022-----------```
```17Oct 3.325M 1966 XX04 1691```
```23May  3.05M 1966 XX04 1551```
```28Jan  4.75M 3856 XXXX 1232```
```------------2021-----------```
```10Mar  2.25M 1966 XX04 1144```
```------------2020-----------```
```14Oct   2.1M 1966 XX04 1068```
```06Jul     2M 1966 XX04 1017```
```------------2019-----------```
```30Apr  2.55M 1966 XX04 1297```
```28Apr 3.593M 1966 XX04 1828```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</si>
  <si>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1017524, *SALES*</t>
  </si>
  <si>
    <t>*SALES*
*TRANSACTIONS**
*ZANZEBEEL 1-4*
_Area: Downtown_
_Type: 4 bedroom apartment_
```Date   Price  BUA Type P/sf```
```------------2022-----------```
```21Dec     5M 3106 XX02 1610```
```14Apr  7.05M 3182 XX01 2216```
_Source: DLD, Databot_
_BUA - built-up area, sq.ft._
_P/sf - price per sq.ft._
_B - bedrooms; O - office_
_M - million, K- thousand_
_S - studio, R - shop_
_*Max 30 latest transactions_
www.trydatabot.com</t>
  </si>
  <si>
    <t>1017525, *MARKET</t>
  </si>
  <si>
    <t>*MARKET*
*SNAPSHOT*
*ZANZEBEEL 1-4*
_Area: Downtown_
_Type: 4 bedroom apartment_
*Price dynamics, Dirham/sq.ft.*
_(M - median value)_
```2216|                    * ```
```    |                      ```
```    |                      ```
```    |                      ```
```    |                      ```
```1913|---------------------M```
```    |                      ```
```    |                      ```
```    |                      ```
```    |                      ```
```1610|                     *```
```____|______________________```
```    |Apr2022        Dec2022```
_Source: see table below_
*Latest sales transactions*
```Date   Price  BUA Type P/sf```
```------------2022-----------```
```21Dec     5M 3106 XX02 1610```
```14Apr  7.05M 3182 XX01 2216```
*Price index - sales*
*Dubai apartments*
```---------------------------```
```Year------------```
```Value----------------```
```Change%----------------```
```---------------------------```
_Source: DLD, Databot_
_BUA - built-up area, sq.ft._
_P/sf - price per sq.ft._
_B - bedrooms; O - office_
_M - million, K- thousand_
_S - studio, R - shop_
www.trydatabot.com</t>
  </si>
  <si>
    <t>1017557, *SALES*</t>
  </si>
  <si>
    <t>*SALES*
*TRANSACTIONS (RESALE)**
*ZANZEBEEL 1-4*
_Area: Downtown_
_All types/bedrooms_
```Date    Price   BUA  Type B```
```------------2026-----------```
```19Jan   2.85M  1335  XXXX 2```
```08Jan   3.65M  2123  XXXX 2```
```------------2025-----------```
```27Nov    2.7M  2158  XXXX 1```
```06Nov   2.12M   891  XXXX 1```
```30Oct   2.24M  1109  XXXX 1```
```29Oct  2.975M  1052  XXXX 2```
```07Oct  1.806M   891  XXXX 1```
```11Sep    3.8M  2496  XXXX 2```
```04Sep    2.3M   951  XX06 1```
```19Aug   2.07M  1008  XXXX 1```
```07Aug      3M  1052  XXXX 2```
```23Jul    2.1M   965  XXXX 1```
```14Jul   3.65M  1414  XXXX 2```
```25Jun   3.15M  1404  XXXX 2```
```16Jun   2.85M  1449  XXXX 2```
```27May      2M   973  XXXX 1```
```26May   2.25M  1177  XXXX 1```
```12May    3.9M  1848  XXXX 2```
```09May   2.15M   954  XXXX 1```
```28Apr    2.9M  2699  XXXX 2```
```11Apr   2.67M  1309  XXXX 2```
```09Apr    2.4M  2154  XXXX 1```
```21Mar    5.1M  3378  XXXX 3```
```06Mar   3.35M  1309  XXXX 2```
```03Mar    2.5M  1177  XXXX 1```
```24Feb   2.58M  1052  XXXX 2```
```21Feb      3M  1528  XXXX 2```
```------------2024-----------```
```23Dec    2.5M  1848  XXXX 2```
```23Dec  1.939M   891  XXXX 1```
```23Dec    2.9M  1427  XXXX 2```
_Source: DLD, Databot_
_BUA - built-up area, sq.ft._
_P/sf - price per sq.ft._
_B - bedrooms; O - office_
_M - million, K- thousand_
_S - studio, R - shop_
_*Max 30 latest transactions_
www.trydatabot.com</t>
  </si>
  <si>
    <t>1017558, by code, *BUILDI</t>
  </si>
  <si>
    <t xml:space="preserve">*BUILDING*
*PROFILE*
*ZANZEBEEL 1-4*
_Area: Downtown_
_Tap&amp;hold to copy a reply_
```-------------------------```
```Report              Reply```
```-------------------------```
*1 B/R*
```Sales, ROI        1017512```
```Price chart       1017513```
```Rentals               n/a```
*2 B/R*
```Resell, ROI       1017516```
```Primary sales     1017561```
```Price chart       1017517```
```Rentals               n/a```
```Appreciation      1017519```
*3 B/R*
```Sales, ROI        1017520```
```Price chart       1017521```
```Rentals               n/a```
*4 B/R*
```Sales, ROI        1017524```
```Price chart       1017525```
```Rentals               n/a```
*All types/bedrooms*
```Resell, ROI       1017557```
```Primary sales     1017571```
```Rentals               n/a```
</t>
  </si>
  <si>
    <t>1017561, *SALES*</t>
  </si>
  <si>
    <t>*SALES*
*TRANSACTIONS (PRIMARY)**
*ZANZEBEEL 1-4*
_Area: Downtown_
_Type: 2 bedroom apartment_
```Date   Price  BUA Type P/sf```
```------------2025-----------```
```29Aug   2.7M 1308 XXXX 2064```
_Source: DLD, Databot_
_BUA - built-up area, sq.ft._
_P/sf - price per sq.ft._
_B - bedrooms; O - office_
_M - million, K- thousand_
_S - studio, R - shop_
_*Max 20 latest transactions_
www.trydatabot.com</t>
  </si>
  <si>
    <t>1017571, *SALES*</t>
  </si>
  <si>
    <t>*SALES*
*TRANSACTIONS (PRIMARY)**
*ZANZEBEEL 1-4*
_Area: Downtown_
_All types/bedrooms_
```Date    Price   BUA  Type B```
```------------2025-----------```
```29Aug    2.7M  1308  XXXX 2```
_Source: DLD, Databot_
_BUA - built-up area, sq.ft._
_P/sf - price per sq.ft._
_B - bedrooms; O - office_
_M - million, K- thousand_
_S - studio, R - shop_
_*Max 20 latest transactions_
www.trydatabot.com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</si>
</sst>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www.trydatabot.com/" TargetMode="External"/><Relationship Id="rId42" Type="http://schemas.openxmlformats.org/officeDocument/2006/relationships/hyperlink" Target="http://www.trydatabot.com/" TargetMode="External"/><Relationship Id="rId41" Type="http://schemas.openxmlformats.org/officeDocument/2006/relationships/hyperlink" Target="http://www.trydatabot.com/" TargetMode="External"/><Relationship Id="rId44" Type="http://schemas.openxmlformats.org/officeDocument/2006/relationships/hyperlink" Target="http://www.trydatabot.com/" TargetMode="External"/><Relationship Id="rId43" Type="http://schemas.openxmlformats.org/officeDocument/2006/relationships/hyperlink" Target="http://www.trydatabot.com/" TargetMode="External"/><Relationship Id="rId46" Type="http://schemas.openxmlformats.org/officeDocument/2006/relationships/hyperlink" Target="http://www.trydatabot.com/" TargetMode="External"/><Relationship Id="rId45" Type="http://schemas.openxmlformats.org/officeDocument/2006/relationships/hyperlink" Target="http://www.trydatabot.com/" TargetMode="External"/><Relationship Id="rId1" Type="http://schemas.openxmlformats.org/officeDocument/2006/relationships/hyperlink" Target="http://www.trydatabot.com/" TargetMode="External"/><Relationship Id="rId2" Type="http://schemas.openxmlformats.org/officeDocument/2006/relationships/hyperlink" Target="http://www.trydatabot.com/" TargetMode="External"/><Relationship Id="rId3" Type="http://schemas.openxmlformats.org/officeDocument/2006/relationships/hyperlink" Target="http://www.trydatabot.com/" TargetMode="External"/><Relationship Id="rId4" Type="http://schemas.openxmlformats.org/officeDocument/2006/relationships/hyperlink" Target="http://www.trydatabot.com/" TargetMode="External"/><Relationship Id="rId9" Type="http://schemas.openxmlformats.org/officeDocument/2006/relationships/hyperlink" Target="http://www.trydatabot.com/" TargetMode="External"/><Relationship Id="rId48" Type="http://schemas.openxmlformats.org/officeDocument/2006/relationships/hyperlink" Target="http://www.trydatabot.com/" TargetMode="External"/><Relationship Id="rId47" Type="http://schemas.openxmlformats.org/officeDocument/2006/relationships/hyperlink" Target="http://www.trydatabot.com/" TargetMode="External"/><Relationship Id="rId49" Type="http://schemas.openxmlformats.org/officeDocument/2006/relationships/hyperlink" Target="http://www.trydatabot.com/" TargetMode="External"/><Relationship Id="rId5" Type="http://schemas.openxmlformats.org/officeDocument/2006/relationships/hyperlink" Target="http://www.trydatabot.com/" TargetMode="External"/><Relationship Id="rId6" Type="http://schemas.openxmlformats.org/officeDocument/2006/relationships/hyperlink" Target="http://www.trydatabot.com/" TargetMode="External"/><Relationship Id="rId7" Type="http://schemas.openxmlformats.org/officeDocument/2006/relationships/hyperlink" Target="http://www.trydatabot.com/" TargetMode="External"/><Relationship Id="rId8" Type="http://schemas.openxmlformats.org/officeDocument/2006/relationships/hyperlink" Target="http://www.trydatabot.com/" TargetMode="External"/><Relationship Id="rId72" Type="http://schemas.openxmlformats.org/officeDocument/2006/relationships/drawing" Target="../drawings/drawing1.xml"/><Relationship Id="rId31" Type="http://schemas.openxmlformats.org/officeDocument/2006/relationships/hyperlink" Target="http://www.trydatabot.com/" TargetMode="External"/><Relationship Id="rId30" Type="http://schemas.openxmlformats.org/officeDocument/2006/relationships/hyperlink" Target="http://www.trydatabot.com/" TargetMode="External"/><Relationship Id="rId33" Type="http://schemas.openxmlformats.org/officeDocument/2006/relationships/hyperlink" Target="http://www.trydatabot.com/" TargetMode="External"/><Relationship Id="rId32" Type="http://schemas.openxmlformats.org/officeDocument/2006/relationships/hyperlink" Target="http://www.trydatabot.com/" TargetMode="External"/><Relationship Id="rId35" Type="http://schemas.openxmlformats.org/officeDocument/2006/relationships/hyperlink" Target="http://www.trydatabot.com/" TargetMode="External"/><Relationship Id="rId34" Type="http://schemas.openxmlformats.org/officeDocument/2006/relationships/hyperlink" Target="http://www.trydatabot.com/" TargetMode="External"/><Relationship Id="rId71" Type="http://schemas.openxmlformats.org/officeDocument/2006/relationships/hyperlink" Target="http://www.trydatabot.com/" TargetMode="External"/><Relationship Id="rId70" Type="http://schemas.openxmlformats.org/officeDocument/2006/relationships/hyperlink" Target="http://www.trydatabot.com/" TargetMode="External"/><Relationship Id="rId37" Type="http://schemas.openxmlformats.org/officeDocument/2006/relationships/hyperlink" Target="http://www.trydatabot.com/" TargetMode="External"/><Relationship Id="rId36" Type="http://schemas.openxmlformats.org/officeDocument/2006/relationships/hyperlink" Target="http://www.trydatabot.com/" TargetMode="External"/><Relationship Id="rId39" Type="http://schemas.openxmlformats.org/officeDocument/2006/relationships/hyperlink" Target="http://www.trydatabot.com/" TargetMode="External"/><Relationship Id="rId38" Type="http://schemas.openxmlformats.org/officeDocument/2006/relationships/hyperlink" Target="http://www.trydatabot.com/" TargetMode="External"/><Relationship Id="rId62" Type="http://schemas.openxmlformats.org/officeDocument/2006/relationships/hyperlink" Target="http://www.trydatabot.com/" TargetMode="External"/><Relationship Id="rId61" Type="http://schemas.openxmlformats.org/officeDocument/2006/relationships/hyperlink" Target="http://www.trydatabot.com/" TargetMode="External"/><Relationship Id="rId20" Type="http://schemas.openxmlformats.org/officeDocument/2006/relationships/hyperlink" Target="http://www.trydatabot.com/" TargetMode="External"/><Relationship Id="rId64" Type="http://schemas.openxmlformats.org/officeDocument/2006/relationships/hyperlink" Target="http://www.trydatabot.com/" TargetMode="External"/><Relationship Id="rId63" Type="http://schemas.openxmlformats.org/officeDocument/2006/relationships/hyperlink" Target="http://www.trydatabot.com/" TargetMode="External"/><Relationship Id="rId22" Type="http://schemas.openxmlformats.org/officeDocument/2006/relationships/hyperlink" Target="http://www.trydatabot.com/" TargetMode="External"/><Relationship Id="rId66" Type="http://schemas.openxmlformats.org/officeDocument/2006/relationships/hyperlink" Target="http://www.trydatabot.com/" TargetMode="External"/><Relationship Id="rId21" Type="http://schemas.openxmlformats.org/officeDocument/2006/relationships/hyperlink" Target="http://www.trydatabot.com/" TargetMode="External"/><Relationship Id="rId65" Type="http://schemas.openxmlformats.org/officeDocument/2006/relationships/hyperlink" Target="http://www.trydatabot.com/" TargetMode="External"/><Relationship Id="rId24" Type="http://schemas.openxmlformats.org/officeDocument/2006/relationships/hyperlink" Target="http://www.trydatabot.com/" TargetMode="External"/><Relationship Id="rId68" Type="http://schemas.openxmlformats.org/officeDocument/2006/relationships/hyperlink" Target="http://www.trydatabot.com/" TargetMode="External"/><Relationship Id="rId23" Type="http://schemas.openxmlformats.org/officeDocument/2006/relationships/hyperlink" Target="http://www.trydatabot.com/" TargetMode="External"/><Relationship Id="rId67" Type="http://schemas.openxmlformats.org/officeDocument/2006/relationships/hyperlink" Target="http://www.trydatabot.com/" TargetMode="External"/><Relationship Id="rId60" Type="http://schemas.openxmlformats.org/officeDocument/2006/relationships/hyperlink" Target="http://www.trydatabot.com/" TargetMode="External"/><Relationship Id="rId26" Type="http://schemas.openxmlformats.org/officeDocument/2006/relationships/hyperlink" Target="http://www.trydatabot.com/" TargetMode="External"/><Relationship Id="rId25" Type="http://schemas.openxmlformats.org/officeDocument/2006/relationships/hyperlink" Target="http://www.trydatabot.com/" TargetMode="External"/><Relationship Id="rId69" Type="http://schemas.openxmlformats.org/officeDocument/2006/relationships/hyperlink" Target="http://www.trydatabot.com/" TargetMode="External"/><Relationship Id="rId28" Type="http://schemas.openxmlformats.org/officeDocument/2006/relationships/hyperlink" Target="http://www.trydatabot.com/" TargetMode="External"/><Relationship Id="rId27" Type="http://schemas.openxmlformats.org/officeDocument/2006/relationships/hyperlink" Target="http://www.trydatabot.com/" TargetMode="External"/><Relationship Id="rId29" Type="http://schemas.openxmlformats.org/officeDocument/2006/relationships/hyperlink" Target="http://www.trydatabot.com/" TargetMode="External"/><Relationship Id="rId51" Type="http://schemas.openxmlformats.org/officeDocument/2006/relationships/hyperlink" Target="http://www.trydatabot.com/" TargetMode="External"/><Relationship Id="rId50" Type="http://schemas.openxmlformats.org/officeDocument/2006/relationships/hyperlink" Target="http://www.trydatabot.com/" TargetMode="External"/><Relationship Id="rId53" Type="http://schemas.openxmlformats.org/officeDocument/2006/relationships/hyperlink" Target="http://www.trydatabot.com/" TargetMode="External"/><Relationship Id="rId52" Type="http://schemas.openxmlformats.org/officeDocument/2006/relationships/hyperlink" Target="http://www.trydatabot.com/" TargetMode="External"/><Relationship Id="rId11" Type="http://schemas.openxmlformats.org/officeDocument/2006/relationships/hyperlink" Target="http://www.trydatabot.com/" TargetMode="External"/><Relationship Id="rId55" Type="http://schemas.openxmlformats.org/officeDocument/2006/relationships/hyperlink" Target="http://www.trydatabot.com/" TargetMode="External"/><Relationship Id="rId10" Type="http://schemas.openxmlformats.org/officeDocument/2006/relationships/hyperlink" Target="http://www.trydatabot.com/" TargetMode="External"/><Relationship Id="rId54" Type="http://schemas.openxmlformats.org/officeDocument/2006/relationships/hyperlink" Target="http://www.trydatabot.com/" TargetMode="External"/><Relationship Id="rId13" Type="http://schemas.openxmlformats.org/officeDocument/2006/relationships/hyperlink" Target="http://www.trydatabot.com/" TargetMode="External"/><Relationship Id="rId57" Type="http://schemas.openxmlformats.org/officeDocument/2006/relationships/hyperlink" Target="http://www.trydatabot.com/" TargetMode="External"/><Relationship Id="rId12" Type="http://schemas.openxmlformats.org/officeDocument/2006/relationships/hyperlink" Target="http://www.trydatabot.com/" TargetMode="External"/><Relationship Id="rId56" Type="http://schemas.openxmlformats.org/officeDocument/2006/relationships/hyperlink" Target="http://www.trydatabot.com/" TargetMode="External"/><Relationship Id="rId15" Type="http://schemas.openxmlformats.org/officeDocument/2006/relationships/hyperlink" Target="http://www.trydatabot.com/" TargetMode="External"/><Relationship Id="rId59" Type="http://schemas.openxmlformats.org/officeDocument/2006/relationships/hyperlink" Target="http://www.trydatabot.com/" TargetMode="External"/><Relationship Id="rId14" Type="http://schemas.openxmlformats.org/officeDocument/2006/relationships/hyperlink" Target="http://www.trydatabot.com/" TargetMode="External"/><Relationship Id="rId58" Type="http://schemas.openxmlformats.org/officeDocument/2006/relationships/hyperlink" Target="http://www.trydatabot.com/" TargetMode="External"/><Relationship Id="rId17" Type="http://schemas.openxmlformats.org/officeDocument/2006/relationships/hyperlink" Target="http://www.trydatabot.com/" TargetMode="External"/><Relationship Id="rId16" Type="http://schemas.openxmlformats.org/officeDocument/2006/relationships/hyperlink" Target="http://www.trydatabot.com/" TargetMode="External"/><Relationship Id="rId19" Type="http://schemas.openxmlformats.org/officeDocument/2006/relationships/hyperlink" Target="http://www.trydatabot.com/" TargetMode="External"/><Relationship Id="rId18" Type="http://schemas.openxmlformats.org/officeDocument/2006/relationships/hyperlink" Target="http://www.trydatabo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63"/>
    <col customWidth="1" min="2" max="2" width="23.38"/>
    <col customWidth="1" min="3" max="3" width="24.25"/>
    <col customWidth="1" min="4" max="4" width="16.38"/>
    <col customWidth="1" min="5" max="10" width="1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ht="15.75" customHeight="1">
      <c r="A2" s="1" t="s">
        <v>10</v>
      </c>
      <c r="B2" s="3" t="s">
        <v>11</v>
      </c>
      <c r="C2" s="1" t="s">
        <v>12</v>
      </c>
      <c r="D2" s="1" t="s">
        <v>13</v>
      </c>
      <c r="E2" s="4">
        <v>1006422.0</v>
      </c>
      <c r="F2" s="2">
        <v>1.0</v>
      </c>
      <c r="G2" s="2" t="s">
        <v>1</v>
      </c>
      <c r="H2" s="2" t="s">
        <v>14</v>
      </c>
      <c r="I2" s="2" t="s">
        <v>15</v>
      </c>
      <c r="J2" s="2" t="s">
        <v>15</v>
      </c>
    </row>
    <row r="3" ht="15.75" customHeight="1">
      <c r="A3" s="1" t="s">
        <v>16</v>
      </c>
      <c r="B3" s="3" t="s">
        <v>17</v>
      </c>
      <c r="C3" s="1" t="s">
        <v>12</v>
      </c>
      <c r="D3" s="1" t="s">
        <v>13</v>
      </c>
      <c r="E3" s="4">
        <v>1006422.0</v>
      </c>
      <c r="F3" s="2">
        <v>1.0</v>
      </c>
      <c r="G3" s="2" t="s">
        <v>1</v>
      </c>
      <c r="H3" s="2" t="s">
        <v>18</v>
      </c>
      <c r="I3" s="2" t="s">
        <v>15</v>
      </c>
      <c r="J3" s="2" t="s">
        <v>15</v>
      </c>
    </row>
    <row r="4" ht="15.75" customHeight="1">
      <c r="A4" s="1" t="s">
        <v>19</v>
      </c>
      <c r="B4" s="1" t="s">
        <v>20</v>
      </c>
      <c r="C4" s="1" t="s">
        <v>12</v>
      </c>
      <c r="D4" s="1" t="s">
        <v>13</v>
      </c>
      <c r="E4" s="4">
        <v>1006422.0</v>
      </c>
      <c r="F4" s="2">
        <v>1.0</v>
      </c>
      <c r="G4" s="2" t="s">
        <v>1</v>
      </c>
      <c r="H4" s="2" t="s">
        <v>21</v>
      </c>
      <c r="I4" s="2" t="s">
        <v>15</v>
      </c>
      <c r="J4" s="2" t="s">
        <v>15</v>
      </c>
    </row>
    <row r="5" ht="15.75" customHeight="1">
      <c r="A5" s="1" t="s">
        <v>22</v>
      </c>
      <c r="B5" s="1" t="s">
        <v>23</v>
      </c>
      <c r="C5" s="1" t="s">
        <v>12</v>
      </c>
      <c r="D5" s="1" t="s">
        <v>13</v>
      </c>
      <c r="E5" s="4">
        <v>1006422.0</v>
      </c>
      <c r="F5" s="2">
        <v>3.0</v>
      </c>
      <c r="G5" s="2" t="s">
        <v>1</v>
      </c>
      <c r="H5" s="2" t="s">
        <v>14</v>
      </c>
      <c r="I5" s="2" t="s">
        <v>15</v>
      </c>
      <c r="J5" s="2" t="s">
        <v>15</v>
      </c>
    </row>
    <row r="6" ht="15.75" customHeight="1">
      <c r="A6" s="1" t="s">
        <v>24</v>
      </c>
      <c r="B6" s="1" t="s">
        <v>25</v>
      </c>
      <c r="C6" s="1" t="s">
        <v>12</v>
      </c>
      <c r="D6" s="1" t="s">
        <v>13</v>
      </c>
      <c r="E6" s="4">
        <v>1006422.0</v>
      </c>
      <c r="F6" s="2">
        <v>3.0</v>
      </c>
      <c r="G6" s="2" t="s">
        <v>1</v>
      </c>
      <c r="H6" s="2" t="s">
        <v>18</v>
      </c>
      <c r="I6" s="2" t="s">
        <v>15</v>
      </c>
      <c r="J6" s="2" t="s">
        <v>15</v>
      </c>
    </row>
    <row r="7" ht="15.75" customHeight="1">
      <c r="A7" s="1" t="s">
        <v>26</v>
      </c>
      <c r="B7" s="3" t="s">
        <v>27</v>
      </c>
      <c r="C7" s="1" t="s">
        <v>12</v>
      </c>
      <c r="D7" s="1" t="s">
        <v>13</v>
      </c>
      <c r="E7" s="4">
        <v>1006422.0</v>
      </c>
      <c r="F7" s="2">
        <v>3.0</v>
      </c>
      <c r="G7" s="2" t="s">
        <v>1</v>
      </c>
      <c r="H7" s="2" t="s">
        <v>21</v>
      </c>
      <c r="I7" s="2" t="s">
        <v>15</v>
      </c>
      <c r="J7" s="2" t="s">
        <v>15</v>
      </c>
    </row>
    <row r="8" ht="15.75" customHeight="1">
      <c r="A8" s="1" t="s">
        <v>28</v>
      </c>
      <c r="B8" s="3" t="s">
        <v>29</v>
      </c>
      <c r="C8" s="1" t="s">
        <v>12</v>
      </c>
      <c r="D8" s="1" t="s">
        <v>13</v>
      </c>
      <c r="E8" s="4">
        <v>1006422.0</v>
      </c>
      <c r="F8" s="2" t="s">
        <v>30</v>
      </c>
      <c r="G8" s="2" t="s">
        <v>1</v>
      </c>
      <c r="H8" s="2" t="s">
        <v>14</v>
      </c>
      <c r="I8" s="2" t="s">
        <v>15</v>
      </c>
      <c r="J8" s="2" t="s">
        <v>15</v>
      </c>
    </row>
    <row r="9" ht="15.75" customHeight="1">
      <c r="A9" s="1" t="s">
        <v>31</v>
      </c>
      <c r="B9" s="1" t="s">
        <v>32</v>
      </c>
      <c r="C9" s="1" t="s">
        <v>12</v>
      </c>
      <c r="D9" s="1" t="s">
        <v>13</v>
      </c>
      <c r="E9" s="4">
        <v>1006422.0</v>
      </c>
      <c r="F9" s="2" t="s">
        <v>15</v>
      </c>
      <c r="G9" s="2" t="s">
        <v>33</v>
      </c>
      <c r="H9" s="2" t="s">
        <v>15</v>
      </c>
      <c r="I9" s="2" t="s">
        <v>15</v>
      </c>
      <c r="J9" s="2" t="s">
        <v>15</v>
      </c>
    </row>
    <row r="10" ht="15.75" customHeight="1">
      <c r="A10" s="1" t="s">
        <v>34</v>
      </c>
      <c r="B10" s="3" t="s">
        <v>35</v>
      </c>
      <c r="C10" s="1" t="s">
        <v>12</v>
      </c>
      <c r="D10" s="1" t="s">
        <v>13</v>
      </c>
      <c r="E10" s="4">
        <v>1006422.0</v>
      </c>
      <c r="F10" s="2" t="s">
        <v>36</v>
      </c>
      <c r="G10" s="2" t="s">
        <v>1</v>
      </c>
      <c r="H10" s="2" t="s">
        <v>37</v>
      </c>
      <c r="I10" s="2" t="s">
        <v>15</v>
      </c>
      <c r="J10" s="2" t="s">
        <v>15</v>
      </c>
    </row>
    <row r="11" ht="15.75" customHeight="1">
      <c r="A11" s="1" t="s">
        <v>38</v>
      </c>
      <c r="B11" s="1" t="s">
        <v>39</v>
      </c>
      <c r="C11" s="1" t="s">
        <v>12</v>
      </c>
      <c r="D11" s="1" t="s">
        <v>13</v>
      </c>
      <c r="E11" s="4">
        <v>1006422.0</v>
      </c>
      <c r="F11" s="2">
        <v>1.0</v>
      </c>
      <c r="G11" s="2" t="s">
        <v>1</v>
      </c>
      <c r="H11" s="2" t="s">
        <v>37</v>
      </c>
      <c r="I11" s="2" t="s">
        <v>15</v>
      </c>
      <c r="J11" s="2" t="s">
        <v>15</v>
      </c>
    </row>
    <row r="12" ht="15.75" customHeight="1">
      <c r="A12" s="1" t="s">
        <v>40</v>
      </c>
      <c r="B12" s="1" t="s">
        <v>41</v>
      </c>
      <c r="C12" s="1" t="s">
        <v>12</v>
      </c>
      <c r="D12" s="1" t="s">
        <v>13</v>
      </c>
      <c r="E12" s="4">
        <v>1006422.0</v>
      </c>
      <c r="F12" s="2">
        <v>2.0</v>
      </c>
      <c r="G12" s="2" t="s">
        <v>1</v>
      </c>
      <c r="H12" s="2" t="s">
        <v>37</v>
      </c>
      <c r="I12" s="2" t="s">
        <v>15</v>
      </c>
      <c r="J12" s="2" t="s">
        <v>15</v>
      </c>
    </row>
    <row r="13" ht="15.75" customHeight="1">
      <c r="A13" s="1" t="s">
        <v>42</v>
      </c>
      <c r="B13" s="1" t="s">
        <v>43</v>
      </c>
      <c r="C13" s="1" t="s">
        <v>12</v>
      </c>
      <c r="D13" s="1" t="s">
        <v>13</v>
      </c>
      <c r="E13" s="4">
        <v>1006422.0</v>
      </c>
      <c r="F13" s="2">
        <v>3.0</v>
      </c>
      <c r="G13" s="2" t="s">
        <v>1</v>
      </c>
      <c r="H13" s="2" t="s">
        <v>37</v>
      </c>
      <c r="I13" s="2" t="s">
        <v>15</v>
      </c>
      <c r="J13" s="2" t="s">
        <v>15</v>
      </c>
    </row>
    <row r="14" ht="15.75" customHeight="1">
      <c r="A14" s="1" t="s">
        <v>44</v>
      </c>
      <c r="B14" s="1" t="s">
        <v>45</v>
      </c>
      <c r="C14" s="1" t="s">
        <v>12</v>
      </c>
      <c r="D14" s="1" t="s">
        <v>13</v>
      </c>
      <c r="E14" s="4">
        <v>1006422.0</v>
      </c>
      <c r="F14" s="2" t="s">
        <v>30</v>
      </c>
      <c r="G14" s="2" t="s">
        <v>1</v>
      </c>
      <c r="H14" s="2" t="s">
        <v>37</v>
      </c>
      <c r="I14" s="2" t="s">
        <v>15</v>
      </c>
      <c r="J14" s="2" t="s">
        <v>15</v>
      </c>
    </row>
    <row r="15" ht="15.75" customHeight="1">
      <c r="A15" s="1" t="s">
        <v>46</v>
      </c>
      <c r="B15" s="3" t="s">
        <v>47</v>
      </c>
      <c r="C15" s="1" t="s">
        <v>12</v>
      </c>
      <c r="D15" s="1" t="s">
        <v>48</v>
      </c>
      <c r="E15" s="4">
        <v>1006486.0</v>
      </c>
      <c r="F15" s="2" t="s">
        <v>36</v>
      </c>
      <c r="G15" s="2" t="s">
        <v>1</v>
      </c>
      <c r="H15" s="2" t="s">
        <v>14</v>
      </c>
      <c r="I15" s="5" t="str">
        <f>IFERROR(
  MID(
    SUBSTITUTE(B15, CHAR(10), ""),
    FIND("_Gross ROI=", SUBSTITUTE(B15, CHAR(10), "")) + LEN("_Gross ROI="),
    FIND("%", SUBSTITUTE(B15, CHAR(10), ""), FIND("_Gross ROI=", SUBSTITUTE(B15, CHAR(10), "")))
      - FIND("_Gross ROI=", SUBSTITUTE(B15, CHAR(10), "")) - LEN("_Gross ROI=") + 1
  ),
  ""
)</f>
        <v>7.66%</v>
      </c>
      <c r="J15" s="5" t="str">
        <f>IFERROR(
  MID(
    SUBSTITUTE(B15, CHAR(10), ""),
    FIND("_Median annual rent=", SUBSTITUTE(B15, CHAR(10), "")) + LEN("_Median annual rent="),
    FIND("K", SUBSTITUTE(B15, CHAR(10), ""), FIND("_Median annual rent=", SUBSTITUTE(B15, CHAR(10), "")))
      - FIND("_Median annual rent=", SUBSTITUTE(B15, CHAR(10), "")) - LEN("_Median annual rent=") + 1
  ),
  "")</f>
        <v>80K</v>
      </c>
    </row>
    <row r="16" ht="15.75" customHeight="1">
      <c r="A16" s="1" t="s">
        <v>49</v>
      </c>
      <c r="B16" s="1" t="s">
        <v>50</v>
      </c>
      <c r="C16" s="1" t="s">
        <v>12</v>
      </c>
      <c r="D16" s="1" t="s">
        <v>48</v>
      </c>
      <c r="E16" s="4">
        <v>1006486.0</v>
      </c>
      <c r="F16" s="2" t="s">
        <v>36</v>
      </c>
      <c r="G16" s="2" t="s">
        <v>1</v>
      </c>
      <c r="H16" s="2" t="s">
        <v>18</v>
      </c>
      <c r="I16" s="2" t="s">
        <v>15</v>
      </c>
      <c r="J16" s="2" t="s">
        <v>15</v>
      </c>
    </row>
    <row r="17" ht="15.75" customHeight="1">
      <c r="A17" s="1" t="s">
        <v>51</v>
      </c>
      <c r="B17" s="1" t="s">
        <v>52</v>
      </c>
      <c r="C17" s="1" t="s">
        <v>12</v>
      </c>
      <c r="D17" s="1" t="s">
        <v>48</v>
      </c>
      <c r="E17" s="4">
        <v>1006486.0</v>
      </c>
      <c r="F17" s="2" t="s">
        <v>36</v>
      </c>
      <c r="G17" s="2" t="s">
        <v>1</v>
      </c>
      <c r="H17" s="2" t="s">
        <v>53</v>
      </c>
      <c r="I17" s="2" t="s">
        <v>15</v>
      </c>
      <c r="J17" s="2" t="s">
        <v>15</v>
      </c>
    </row>
    <row r="18" ht="15.75" customHeight="1">
      <c r="A18" s="1" t="s">
        <v>54</v>
      </c>
      <c r="B18" s="3" t="s">
        <v>55</v>
      </c>
      <c r="C18" s="1" t="s">
        <v>12</v>
      </c>
      <c r="D18" s="1" t="s">
        <v>48</v>
      </c>
      <c r="E18" s="4">
        <v>1006486.0</v>
      </c>
      <c r="F18" s="2">
        <v>1.0</v>
      </c>
      <c r="G18" s="2" t="s">
        <v>1</v>
      </c>
      <c r="H18" s="2" t="s">
        <v>14</v>
      </c>
      <c r="I18" s="5" t="str">
        <f>IFERROR(
  MID(
    SUBSTITUTE(B18, CHAR(10), ""),
    FIND("_Gross ROI=", SUBSTITUTE(B18, CHAR(10), "")) + LEN("_Gross ROI="),
    FIND("%", SUBSTITUTE(B18, CHAR(10), ""), FIND("_Gross ROI=", SUBSTITUTE(B18, CHAR(10), "")))
      - FIND("_Gross ROI=", SUBSTITUTE(B18, CHAR(10), "")) - LEN("_Gross ROI=") + 1
  ),
  ""
)</f>
        <v>5.86%</v>
      </c>
      <c r="J18" s="5" t="str">
        <f>IFERROR(
  MID(
    SUBSTITUTE(B18, CHAR(10), ""),
    FIND("_Median annual rent=", SUBSTITUTE(B18, CHAR(10), "")) + LEN("_Median annual rent="),
    FIND("K", SUBSTITUTE(B18, CHAR(10), ""), FIND("_Median annual rent=", SUBSTITUTE(B18, CHAR(10), "")))
      - FIND("_Median annual rent=", SUBSTITUTE(B18, CHAR(10), "")) - LEN("_Median annual rent=") + 1
  ),
  "")</f>
        <v>120K</v>
      </c>
    </row>
    <row r="19" ht="15.75" customHeight="1">
      <c r="A19" s="1" t="s">
        <v>56</v>
      </c>
      <c r="B19" s="1" t="s">
        <v>57</v>
      </c>
      <c r="C19" s="1" t="s">
        <v>12</v>
      </c>
      <c r="D19" s="1" t="s">
        <v>48</v>
      </c>
      <c r="E19" s="4">
        <v>1006486.0</v>
      </c>
      <c r="F19" s="2">
        <v>1.0</v>
      </c>
      <c r="G19" s="2" t="s">
        <v>1</v>
      </c>
      <c r="H19" s="2" t="s">
        <v>18</v>
      </c>
      <c r="I19" s="2" t="s">
        <v>15</v>
      </c>
      <c r="J19" s="2" t="s">
        <v>15</v>
      </c>
    </row>
    <row r="20" ht="15.75" customHeight="1">
      <c r="A20" s="1" t="s">
        <v>58</v>
      </c>
      <c r="B20" s="1" t="s">
        <v>59</v>
      </c>
      <c r="C20" s="1" t="s">
        <v>12</v>
      </c>
      <c r="D20" s="1" t="s">
        <v>48</v>
      </c>
      <c r="E20" s="4">
        <v>1006486.0</v>
      </c>
      <c r="F20" s="2">
        <v>1.0</v>
      </c>
      <c r="G20" s="2" t="s">
        <v>1</v>
      </c>
      <c r="H20" s="2" t="s">
        <v>53</v>
      </c>
      <c r="I20" s="2" t="s">
        <v>15</v>
      </c>
      <c r="J20" s="2" t="s">
        <v>15</v>
      </c>
    </row>
    <row r="21" ht="15.75" customHeight="1">
      <c r="A21" s="1" t="s">
        <v>60</v>
      </c>
      <c r="B21" s="3" t="s">
        <v>61</v>
      </c>
      <c r="C21" s="1" t="s">
        <v>12</v>
      </c>
      <c r="D21" s="1" t="s">
        <v>48</v>
      </c>
      <c r="E21" s="4">
        <v>1006486.0</v>
      </c>
      <c r="F21" s="2">
        <v>2.0</v>
      </c>
      <c r="G21" s="2" t="s">
        <v>1</v>
      </c>
      <c r="H21" s="2" t="s">
        <v>14</v>
      </c>
      <c r="I21" s="5" t="str">
        <f>IFERROR(
  MID(
    SUBSTITUTE(B21, CHAR(10), ""),
    FIND("_Gross ROI=", SUBSTITUTE(B21, CHAR(10), "")) + LEN("_Gross ROI="),
    FIND("%", SUBSTITUTE(B21, CHAR(10), ""), FIND("_Gross ROI=", SUBSTITUTE(B21, CHAR(10), "")))
      - FIND("_Gross ROI=", SUBSTITUTE(B21, CHAR(10), "")) - LEN("_Gross ROI=") + 1
  ),
  ""
)</f>
        <v>6.26%</v>
      </c>
      <c r="J21" s="5" t="str">
        <f>IFERROR(
  MID(
    SUBSTITUTE(B21, CHAR(10), ""),
    FIND("_Median annual rent=", SUBSTITUTE(B21, CHAR(10), "")) + LEN("_Median annual rent="),
    FIND("K", SUBSTITUTE(B21, CHAR(10), ""), FIND("_Median annual rent=", SUBSTITUTE(B21, CHAR(10), "")))
      - FIND("_Median annual rent=", SUBSTITUTE(B21, CHAR(10), "")) - LEN("_Median annual rent=") + 1
  ),
  "")</f>
        <v>179K</v>
      </c>
    </row>
    <row r="22" ht="15.75" customHeight="1">
      <c r="A22" s="1" t="s">
        <v>62</v>
      </c>
      <c r="B22" s="1" t="s">
        <v>63</v>
      </c>
      <c r="C22" s="1" t="s">
        <v>12</v>
      </c>
      <c r="D22" s="1" t="s">
        <v>48</v>
      </c>
      <c r="E22" s="4">
        <v>1006486.0</v>
      </c>
      <c r="F22" s="2">
        <v>2.0</v>
      </c>
      <c r="G22" s="2" t="s">
        <v>1</v>
      </c>
      <c r="H22" s="2" t="s">
        <v>18</v>
      </c>
      <c r="I22" s="2" t="s">
        <v>15</v>
      </c>
      <c r="J22" s="2" t="s">
        <v>15</v>
      </c>
    </row>
    <row r="23" ht="15.75" customHeight="1">
      <c r="A23" s="1" t="s">
        <v>64</v>
      </c>
      <c r="B23" s="1" t="s">
        <v>65</v>
      </c>
      <c r="C23" s="1" t="s">
        <v>12</v>
      </c>
      <c r="D23" s="1" t="s">
        <v>48</v>
      </c>
      <c r="E23" s="4">
        <v>1006486.0</v>
      </c>
      <c r="F23" s="2">
        <v>2.0</v>
      </c>
      <c r="G23" s="2" t="s">
        <v>1</v>
      </c>
      <c r="H23" s="2" t="s">
        <v>53</v>
      </c>
      <c r="I23" s="2" t="s">
        <v>15</v>
      </c>
      <c r="J23" s="2" t="s">
        <v>15</v>
      </c>
    </row>
    <row r="24" ht="15.75" customHeight="1">
      <c r="A24" s="1" t="s">
        <v>66</v>
      </c>
      <c r="B24" s="3" t="s">
        <v>67</v>
      </c>
      <c r="C24" s="1" t="s">
        <v>12</v>
      </c>
      <c r="D24" s="1" t="s">
        <v>48</v>
      </c>
      <c r="E24" s="4">
        <v>1006486.0</v>
      </c>
      <c r="F24" s="2" t="s">
        <v>15</v>
      </c>
      <c r="G24" s="2" t="s">
        <v>1</v>
      </c>
      <c r="H24" s="2" t="s">
        <v>53</v>
      </c>
      <c r="I24" s="2" t="s">
        <v>15</v>
      </c>
      <c r="J24" s="2" t="s">
        <v>15</v>
      </c>
    </row>
    <row r="25" ht="15.75" customHeight="1">
      <c r="A25" s="1" t="s">
        <v>68</v>
      </c>
      <c r="B25" s="1" t="s">
        <v>69</v>
      </c>
      <c r="C25" s="1" t="s">
        <v>12</v>
      </c>
      <c r="D25" s="1" t="s">
        <v>48</v>
      </c>
      <c r="E25" s="4">
        <v>1006486.0</v>
      </c>
      <c r="F25" s="2" t="s">
        <v>15</v>
      </c>
      <c r="G25" s="2" t="s">
        <v>1</v>
      </c>
      <c r="H25" s="2" t="s">
        <v>53</v>
      </c>
      <c r="I25" s="2" t="s">
        <v>15</v>
      </c>
      <c r="J25" s="2" t="s">
        <v>15</v>
      </c>
    </row>
    <row r="26" ht="15.75" customHeight="1">
      <c r="A26" s="1" t="s">
        <v>70</v>
      </c>
      <c r="B26" s="1" t="s">
        <v>71</v>
      </c>
      <c r="C26" s="1" t="s">
        <v>12</v>
      </c>
      <c r="D26" s="1" t="s">
        <v>48</v>
      </c>
      <c r="E26" s="4">
        <v>1006486.0</v>
      </c>
      <c r="F26" s="2" t="s">
        <v>30</v>
      </c>
      <c r="G26" s="2" t="s">
        <v>1</v>
      </c>
      <c r="H26" s="2" t="s">
        <v>53</v>
      </c>
      <c r="I26" s="2" t="s">
        <v>15</v>
      </c>
      <c r="J26" s="2" t="s">
        <v>15</v>
      </c>
    </row>
    <row r="27" ht="15.75" customHeight="1">
      <c r="A27" s="1" t="s">
        <v>72</v>
      </c>
      <c r="B27" s="3" t="s">
        <v>73</v>
      </c>
      <c r="C27" s="1" t="s">
        <v>12</v>
      </c>
      <c r="D27" s="1" t="s">
        <v>48</v>
      </c>
      <c r="E27" s="4">
        <v>1006486.0</v>
      </c>
      <c r="F27" s="2" t="s">
        <v>30</v>
      </c>
      <c r="G27" s="2" t="s">
        <v>1</v>
      </c>
      <c r="H27" s="2" t="s">
        <v>14</v>
      </c>
      <c r="I27" s="2" t="s">
        <v>15</v>
      </c>
      <c r="J27" s="2" t="s">
        <v>15</v>
      </c>
    </row>
    <row r="28" ht="15.75" customHeight="1">
      <c r="A28" s="1" t="s">
        <v>74</v>
      </c>
      <c r="B28" s="1" t="s">
        <v>75</v>
      </c>
      <c r="C28" s="1" t="s">
        <v>12</v>
      </c>
      <c r="D28" s="1" t="s">
        <v>48</v>
      </c>
      <c r="E28" s="4">
        <v>1006486.0</v>
      </c>
      <c r="F28" s="2" t="s">
        <v>15</v>
      </c>
      <c r="G28" s="2" t="s">
        <v>33</v>
      </c>
      <c r="H28" s="2" t="s">
        <v>15</v>
      </c>
      <c r="I28" s="2" t="s">
        <v>15</v>
      </c>
      <c r="J28" s="2" t="s">
        <v>15</v>
      </c>
    </row>
    <row r="29" ht="15.75" customHeight="1">
      <c r="A29" s="1" t="s">
        <v>76</v>
      </c>
      <c r="B29" s="1" t="s">
        <v>77</v>
      </c>
      <c r="C29" s="1" t="s">
        <v>12</v>
      </c>
      <c r="D29" s="1" t="s">
        <v>78</v>
      </c>
      <c r="E29" s="4">
        <v>1006550.0</v>
      </c>
      <c r="F29" s="2" t="s">
        <v>36</v>
      </c>
      <c r="G29" s="2" t="s">
        <v>1</v>
      </c>
      <c r="H29" s="2" t="s">
        <v>14</v>
      </c>
      <c r="I29" s="2" t="s">
        <v>15</v>
      </c>
      <c r="J29" s="2" t="s">
        <v>15</v>
      </c>
    </row>
    <row r="30" ht="15.75" customHeight="1">
      <c r="A30" s="1" t="s">
        <v>79</v>
      </c>
      <c r="B30" s="1" t="s">
        <v>80</v>
      </c>
      <c r="C30" s="1" t="s">
        <v>12</v>
      </c>
      <c r="D30" s="1" t="s">
        <v>78</v>
      </c>
      <c r="E30" s="4">
        <v>1006550.0</v>
      </c>
      <c r="F30" s="2" t="s">
        <v>36</v>
      </c>
      <c r="G30" s="2" t="s">
        <v>1</v>
      </c>
      <c r="H30" s="2" t="s">
        <v>18</v>
      </c>
      <c r="I30" s="2" t="s">
        <v>15</v>
      </c>
      <c r="J30" s="2" t="s">
        <v>15</v>
      </c>
    </row>
    <row r="31" ht="15.75" customHeight="1">
      <c r="A31" s="1" t="s">
        <v>81</v>
      </c>
      <c r="B31" s="1" t="s">
        <v>52</v>
      </c>
      <c r="C31" s="1" t="s">
        <v>12</v>
      </c>
      <c r="D31" s="1" t="s">
        <v>78</v>
      </c>
      <c r="E31" s="4">
        <v>1006550.0</v>
      </c>
      <c r="F31" s="2" t="s">
        <v>36</v>
      </c>
      <c r="G31" s="2" t="s">
        <v>1</v>
      </c>
      <c r="H31" s="2" t="s">
        <v>53</v>
      </c>
      <c r="I31" s="2" t="s">
        <v>15</v>
      </c>
      <c r="J31" s="2" t="s">
        <v>15</v>
      </c>
    </row>
    <row r="32" ht="15.75" customHeight="1">
      <c r="A32" s="1" t="s">
        <v>82</v>
      </c>
      <c r="B32" s="1" t="s">
        <v>83</v>
      </c>
      <c r="C32" s="1" t="s">
        <v>12</v>
      </c>
      <c r="D32" s="1" t="s">
        <v>78</v>
      </c>
      <c r="E32" s="4">
        <v>1006550.0</v>
      </c>
      <c r="F32" s="2">
        <v>1.0</v>
      </c>
      <c r="G32" s="2" t="s">
        <v>1</v>
      </c>
      <c r="H32" s="2" t="s">
        <v>14</v>
      </c>
      <c r="I32" s="5" t="str">
        <f>IFERROR(
  MID(
    SUBSTITUTE(B32, CHAR(10), ""),
    FIND("_Gross ROI=", SUBSTITUTE(B32, CHAR(10), "")) + LEN("_Gross ROI="),
    FIND("%", SUBSTITUTE(B32, CHAR(10), ""), FIND("_Gross ROI=", SUBSTITUTE(B32, CHAR(10), "")))
      - FIND("_Gross ROI=", SUBSTITUTE(B32, CHAR(10), "")) - LEN("_Gross ROI=") + 1
  ),
  ""
)</f>
        <v>5.92%</v>
      </c>
      <c r="J32" s="5" t="str">
        <f>IFERROR(
  MID(
    SUBSTITUTE(B32, CHAR(10), ""),
    FIND("_Median annual rent=", SUBSTITUTE(B32, CHAR(10), "")) + LEN("_Median annual rent="),
    FIND("K", SUBSTITUTE(B32, CHAR(10), ""), FIND("_Median annual rent=", SUBSTITUTE(B32, CHAR(10), "")))
      - FIND("_Median annual rent=", SUBSTITUTE(B32, CHAR(10), "")) - LEN("_Median annual rent=") + 1
  ),
  "")</f>
        <v>120K</v>
      </c>
    </row>
    <row r="33" ht="15.75" customHeight="1">
      <c r="A33" s="1" t="s">
        <v>84</v>
      </c>
      <c r="B33" s="1" t="s">
        <v>85</v>
      </c>
      <c r="C33" s="1" t="s">
        <v>12</v>
      </c>
      <c r="D33" s="1" t="s">
        <v>78</v>
      </c>
      <c r="E33" s="4">
        <v>1006550.0</v>
      </c>
      <c r="F33" s="2">
        <v>1.0</v>
      </c>
      <c r="G33" s="2" t="s">
        <v>1</v>
      </c>
      <c r="H33" s="2" t="s">
        <v>18</v>
      </c>
      <c r="I33" s="2" t="s">
        <v>15</v>
      </c>
      <c r="J33" s="2" t="s">
        <v>15</v>
      </c>
    </row>
    <row r="34" ht="15.75" customHeight="1">
      <c r="A34" s="1" t="s">
        <v>86</v>
      </c>
      <c r="B34" s="1" t="s">
        <v>59</v>
      </c>
      <c r="C34" s="1" t="s">
        <v>12</v>
      </c>
      <c r="D34" s="1" t="s">
        <v>78</v>
      </c>
      <c r="E34" s="4">
        <v>1006550.0</v>
      </c>
      <c r="F34" s="2">
        <v>1.0</v>
      </c>
      <c r="G34" s="2" t="s">
        <v>1</v>
      </c>
      <c r="H34" s="2" t="s">
        <v>53</v>
      </c>
      <c r="I34" s="2" t="s">
        <v>15</v>
      </c>
      <c r="J34" s="2" t="s">
        <v>15</v>
      </c>
    </row>
    <row r="35" ht="15.75" customHeight="1">
      <c r="A35" s="1" t="s">
        <v>87</v>
      </c>
      <c r="B35" s="1" t="s">
        <v>88</v>
      </c>
      <c r="C35" s="1" t="s">
        <v>12</v>
      </c>
      <c r="D35" s="1" t="s">
        <v>78</v>
      </c>
      <c r="E35" s="4">
        <v>1006550.0</v>
      </c>
      <c r="F35" s="2">
        <v>2.0</v>
      </c>
      <c r="G35" s="2" t="s">
        <v>1</v>
      </c>
      <c r="H35" s="2" t="s">
        <v>14</v>
      </c>
      <c r="I35" s="5" t="str">
        <f>IFERROR(
  MID(
    SUBSTITUTE(B35, CHAR(10), ""),
    FIND("_Gross ROI=", SUBSTITUTE(B35, CHAR(10), "")) + LEN("_Gross ROI="),
    FIND("%", SUBSTITUTE(B35, CHAR(10), ""), FIND("_Gross ROI=", SUBSTITUTE(B35, CHAR(10), "")))
      - FIND("_Gross ROI=", SUBSTITUTE(B35, CHAR(10), "")) - LEN("_Gross ROI=") + 1
  ),
  ""
)</f>
        <v>5.67%</v>
      </c>
      <c r="J35" s="5" t="str">
        <f>IFERROR(
  MID(
    SUBSTITUTE(B35, CHAR(10), ""),
    FIND("_Median annual rent=", SUBSTITUTE(B35, CHAR(10), "")) + LEN("_Median annual rent="),
    FIND("K", SUBSTITUTE(B35, CHAR(10), ""), FIND("_Median annual rent=", SUBSTITUTE(B35, CHAR(10), "")))
      - FIND("_Median annual rent=", SUBSTITUTE(B35, CHAR(10), "")) - LEN("_Median annual rent=") + 1
  ),
  "")</f>
        <v>179K</v>
      </c>
    </row>
    <row r="36" ht="15.75" customHeight="1">
      <c r="A36" s="1" t="s">
        <v>89</v>
      </c>
      <c r="B36" s="1" t="s">
        <v>90</v>
      </c>
      <c r="C36" s="1" t="s">
        <v>12</v>
      </c>
      <c r="D36" s="1" t="s">
        <v>78</v>
      </c>
      <c r="E36" s="4">
        <v>1006550.0</v>
      </c>
      <c r="F36" s="2">
        <v>2.0</v>
      </c>
      <c r="G36" s="2" t="s">
        <v>1</v>
      </c>
      <c r="H36" s="2" t="s">
        <v>18</v>
      </c>
      <c r="I36" s="2" t="s">
        <v>15</v>
      </c>
      <c r="J36" s="2" t="s">
        <v>15</v>
      </c>
    </row>
    <row r="37" ht="15.75" customHeight="1">
      <c r="A37" s="1" t="s">
        <v>91</v>
      </c>
      <c r="B37" s="1" t="s">
        <v>65</v>
      </c>
      <c r="C37" s="1" t="s">
        <v>12</v>
      </c>
      <c r="D37" s="1" t="s">
        <v>78</v>
      </c>
      <c r="E37" s="4">
        <v>1006550.0</v>
      </c>
      <c r="F37" s="2">
        <v>2.0</v>
      </c>
      <c r="G37" s="2" t="s">
        <v>1</v>
      </c>
      <c r="H37" s="2" t="s">
        <v>53</v>
      </c>
      <c r="I37" s="2" t="s">
        <v>15</v>
      </c>
      <c r="J37" s="2" t="s">
        <v>15</v>
      </c>
    </row>
    <row r="38" ht="15.75" customHeight="1">
      <c r="A38" s="1" t="s">
        <v>92</v>
      </c>
      <c r="B38" s="1" t="s">
        <v>93</v>
      </c>
      <c r="C38" s="1" t="s">
        <v>12</v>
      </c>
      <c r="D38" s="1" t="s">
        <v>78</v>
      </c>
      <c r="E38" s="4">
        <v>1006550.0</v>
      </c>
      <c r="F38" s="2">
        <v>3.0</v>
      </c>
      <c r="G38" s="2" t="s">
        <v>1</v>
      </c>
      <c r="H38" s="2" t="s">
        <v>14</v>
      </c>
      <c r="I38" s="2" t="s">
        <v>15</v>
      </c>
      <c r="J38" s="2" t="s">
        <v>15</v>
      </c>
    </row>
    <row r="39" ht="15.75" customHeight="1">
      <c r="A39" s="1" t="s">
        <v>94</v>
      </c>
      <c r="B39" s="1" t="s">
        <v>95</v>
      </c>
      <c r="C39" s="1" t="s">
        <v>12</v>
      </c>
      <c r="D39" s="1" t="s">
        <v>78</v>
      </c>
      <c r="E39" s="4">
        <v>1006550.0</v>
      </c>
      <c r="F39" s="2">
        <v>3.0</v>
      </c>
      <c r="G39" s="2" t="s">
        <v>1</v>
      </c>
      <c r="H39" s="2" t="s">
        <v>18</v>
      </c>
      <c r="I39" s="2" t="s">
        <v>15</v>
      </c>
      <c r="J39" s="2" t="s">
        <v>15</v>
      </c>
    </row>
    <row r="40" ht="15.75" customHeight="1">
      <c r="A40" s="1" t="s">
        <v>96</v>
      </c>
      <c r="B40" s="1" t="s">
        <v>97</v>
      </c>
      <c r="C40" s="1" t="s">
        <v>12</v>
      </c>
      <c r="D40" s="1" t="s">
        <v>78</v>
      </c>
      <c r="E40" s="4">
        <v>1006550.0</v>
      </c>
      <c r="F40" s="2">
        <v>3.0</v>
      </c>
      <c r="G40" s="2" t="s">
        <v>1</v>
      </c>
      <c r="H40" s="2" t="s">
        <v>53</v>
      </c>
      <c r="I40" s="2" t="s">
        <v>15</v>
      </c>
      <c r="J40" s="2" t="s">
        <v>15</v>
      </c>
    </row>
    <row r="41" ht="15.75" customHeight="1">
      <c r="A41" s="1" t="s">
        <v>98</v>
      </c>
      <c r="B41" s="1" t="s">
        <v>69</v>
      </c>
      <c r="C41" s="1" t="s">
        <v>12</v>
      </c>
      <c r="D41" s="1" t="s">
        <v>78</v>
      </c>
      <c r="E41" s="4">
        <v>1006550.0</v>
      </c>
      <c r="F41" s="2" t="s">
        <v>15</v>
      </c>
      <c r="G41" s="2" t="s">
        <v>1</v>
      </c>
      <c r="H41" s="2" t="s">
        <v>53</v>
      </c>
      <c r="I41" s="2" t="s">
        <v>15</v>
      </c>
      <c r="J41" s="2" t="s">
        <v>15</v>
      </c>
    </row>
    <row r="42" ht="15.75" customHeight="1">
      <c r="A42" s="1" t="s">
        <v>99</v>
      </c>
      <c r="B42" s="1" t="s">
        <v>71</v>
      </c>
      <c r="C42" s="1" t="s">
        <v>12</v>
      </c>
      <c r="D42" s="1" t="s">
        <v>78</v>
      </c>
      <c r="E42" s="4">
        <v>1006550.0</v>
      </c>
      <c r="F42" s="2" t="s">
        <v>30</v>
      </c>
      <c r="G42" s="2" t="s">
        <v>1</v>
      </c>
      <c r="H42" s="2" t="s">
        <v>53</v>
      </c>
      <c r="I42" s="2" t="s">
        <v>15</v>
      </c>
      <c r="J42" s="2" t="s">
        <v>15</v>
      </c>
    </row>
    <row r="43" ht="15.75" customHeight="1">
      <c r="A43" s="1" t="s">
        <v>100</v>
      </c>
      <c r="B43" s="1" t="s">
        <v>101</v>
      </c>
      <c r="C43" s="1" t="s">
        <v>12</v>
      </c>
      <c r="D43" s="1" t="s">
        <v>78</v>
      </c>
      <c r="E43" s="4">
        <v>1006550.0</v>
      </c>
      <c r="F43" s="2" t="s">
        <v>30</v>
      </c>
      <c r="G43" s="2" t="s">
        <v>1</v>
      </c>
      <c r="H43" s="2" t="s">
        <v>14</v>
      </c>
      <c r="I43" s="2" t="s">
        <v>15</v>
      </c>
      <c r="J43" s="2" t="s">
        <v>15</v>
      </c>
    </row>
    <row r="44" ht="15.75" customHeight="1">
      <c r="A44" s="1" t="s">
        <v>102</v>
      </c>
      <c r="B44" s="1" t="s">
        <v>103</v>
      </c>
      <c r="C44" s="1" t="s">
        <v>12</v>
      </c>
      <c r="D44" s="1" t="s">
        <v>78</v>
      </c>
      <c r="E44" s="4">
        <v>1006550.0</v>
      </c>
      <c r="F44" s="2" t="s">
        <v>15</v>
      </c>
      <c r="G44" s="2" t="s">
        <v>33</v>
      </c>
      <c r="H44" s="2" t="s">
        <v>15</v>
      </c>
      <c r="I44" s="2" t="s">
        <v>15</v>
      </c>
      <c r="J44" s="2" t="s">
        <v>15</v>
      </c>
    </row>
    <row r="45" ht="15.75" customHeight="1">
      <c r="A45" s="1" t="s">
        <v>104</v>
      </c>
      <c r="B45" s="1" t="s">
        <v>105</v>
      </c>
      <c r="C45" s="1" t="s">
        <v>12</v>
      </c>
      <c r="D45" s="1" t="s">
        <v>106</v>
      </c>
      <c r="E45" s="4">
        <v>1006614.0</v>
      </c>
      <c r="F45" s="2" t="s">
        <v>36</v>
      </c>
      <c r="G45" s="2" t="s">
        <v>1</v>
      </c>
      <c r="H45" s="2" t="s">
        <v>14</v>
      </c>
      <c r="I45" s="5" t="str">
        <f>IFERROR(
  MID(
    SUBSTITUTE(B45, CHAR(10), ""),
    FIND("_Gross ROI=", SUBSTITUTE(B45, CHAR(10), "")) + LEN("_Gross ROI="),
    FIND("%", SUBSTITUTE(B45, CHAR(10), ""), FIND("_Gross ROI=", SUBSTITUTE(B45, CHAR(10), "")))
      - FIND("_Gross ROI=", SUBSTITUTE(B45, CHAR(10), "")) - LEN("_Gross ROI=") + 1
  ),
  ""
)</f>
        <v>6.96%</v>
      </c>
      <c r="J45" s="5" t="str">
        <f>IFERROR(
  MID(
    SUBSTITUTE(B45, CHAR(10), ""),
    FIND("_Median annual rent=", SUBSTITUTE(B45, CHAR(10), "")) + LEN("_Median annual rent="),
    FIND("K", SUBSTITUTE(B45, CHAR(10), ""), FIND("_Median annual rent=", SUBSTITUTE(B45, CHAR(10), "")))
      - FIND("_Median annual rent=", SUBSTITUTE(B45, CHAR(10), "")) - LEN("_Median annual rent=") + 1
  ),
  "")</f>
        <v>80K</v>
      </c>
    </row>
    <row r="46" ht="15.75" customHeight="1">
      <c r="A46" s="1" t="s">
        <v>107</v>
      </c>
      <c r="B46" s="1" t="s">
        <v>108</v>
      </c>
      <c r="C46" s="1" t="s">
        <v>12</v>
      </c>
      <c r="D46" s="1" t="s">
        <v>106</v>
      </c>
      <c r="E46" s="4">
        <v>1006614.0</v>
      </c>
      <c r="F46" s="2" t="s">
        <v>36</v>
      </c>
      <c r="G46" s="2" t="s">
        <v>1</v>
      </c>
      <c r="H46" s="2" t="s">
        <v>18</v>
      </c>
      <c r="I46" s="2" t="s">
        <v>15</v>
      </c>
      <c r="J46" s="2" t="s">
        <v>15</v>
      </c>
    </row>
    <row r="47" ht="15.75" customHeight="1">
      <c r="A47" s="1" t="s">
        <v>109</v>
      </c>
      <c r="B47" s="1" t="s">
        <v>52</v>
      </c>
      <c r="C47" s="1" t="s">
        <v>12</v>
      </c>
      <c r="D47" s="1" t="s">
        <v>106</v>
      </c>
      <c r="E47" s="4">
        <v>1006614.0</v>
      </c>
      <c r="F47" s="2" t="s">
        <v>36</v>
      </c>
      <c r="G47" s="2" t="s">
        <v>1</v>
      </c>
      <c r="H47" s="2" t="s">
        <v>53</v>
      </c>
      <c r="I47" s="2" t="s">
        <v>15</v>
      </c>
      <c r="J47" s="2" t="s">
        <v>15</v>
      </c>
    </row>
    <row r="48" ht="15.75" customHeight="1">
      <c r="A48" s="1" t="s">
        <v>110</v>
      </c>
      <c r="B48" s="1" t="s">
        <v>111</v>
      </c>
      <c r="C48" s="1" t="s">
        <v>12</v>
      </c>
      <c r="D48" s="1" t="s">
        <v>106</v>
      </c>
      <c r="E48" s="4">
        <v>1006614.0</v>
      </c>
      <c r="F48" s="2" t="s">
        <v>36</v>
      </c>
      <c r="G48" s="2" t="s">
        <v>1</v>
      </c>
      <c r="H48" s="2" t="s">
        <v>21</v>
      </c>
      <c r="I48" s="2" t="s">
        <v>15</v>
      </c>
      <c r="J48" s="2" t="s">
        <v>15</v>
      </c>
    </row>
    <row r="49" ht="15.75" customHeight="1">
      <c r="A49" s="1" t="s">
        <v>112</v>
      </c>
      <c r="B49" s="1" t="s">
        <v>113</v>
      </c>
      <c r="C49" s="1" t="s">
        <v>12</v>
      </c>
      <c r="D49" s="1" t="s">
        <v>106</v>
      </c>
      <c r="E49" s="4">
        <v>1006614.0</v>
      </c>
      <c r="F49" s="2">
        <v>1.0</v>
      </c>
      <c r="G49" s="2" t="s">
        <v>1</v>
      </c>
      <c r="H49" s="2" t="s">
        <v>14</v>
      </c>
      <c r="I49" s="2" t="s">
        <v>15</v>
      </c>
      <c r="J49" s="2" t="s">
        <v>15</v>
      </c>
    </row>
    <row r="50" ht="15.75" customHeight="1">
      <c r="A50" s="1" t="s">
        <v>114</v>
      </c>
      <c r="B50" s="1" t="s">
        <v>115</v>
      </c>
      <c r="C50" s="1" t="s">
        <v>12</v>
      </c>
      <c r="D50" s="1" t="s">
        <v>106</v>
      </c>
      <c r="E50" s="4">
        <v>1006614.0</v>
      </c>
      <c r="F50" s="2">
        <v>1.0</v>
      </c>
      <c r="G50" s="2" t="s">
        <v>1</v>
      </c>
      <c r="H50" s="2" t="s">
        <v>18</v>
      </c>
      <c r="I50" s="2" t="s">
        <v>15</v>
      </c>
      <c r="J50" s="2" t="s">
        <v>15</v>
      </c>
    </row>
    <row r="51" ht="15.75" customHeight="1">
      <c r="A51" s="1" t="s">
        <v>116</v>
      </c>
      <c r="B51" s="1" t="s">
        <v>59</v>
      </c>
      <c r="C51" s="1" t="s">
        <v>12</v>
      </c>
      <c r="D51" s="1" t="s">
        <v>106</v>
      </c>
      <c r="E51" s="4">
        <v>1006614.0</v>
      </c>
      <c r="F51" s="2">
        <v>1.0</v>
      </c>
      <c r="G51" s="2" t="s">
        <v>1</v>
      </c>
      <c r="H51" s="2" t="s">
        <v>53</v>
      </c>
      <c r="I51" s="2" t="s">
        <v>15</v>
      </c>
      <c r="J51" s="2" t="s">
        <v>15</v>
      </c>
    </row>
    <row r="52" ht="15.75" customHeight="1">
      <c r="A52" s="1" t="s">
        <v>117</v>
      </c>
      <c r="B52" s="1" t="s">
        <v>118</v>
      </c>
      <c r="C52" s="1" t="s">
        <v>12</v>
      </c>
      <c r="D52" s="1" t="s">
        <v>106</v>
      </c>
      <c r="E52" s="4">
        <v>1006614.0</v>
      </c>
      <c r="F52" s="2">
        <v>2.0</v>
      </c>
      <c r="G52" s="2" t="s">
        <v>1</v>
      </c>
      <c r="H52" s="2" t="s">
        <v>14</v>
      </c>
      <c r="I52" s="5" t="str">
        <f>IFERROR(
  MID(
    SUBSTITUTE(B52, CHAR(10), ""),
    FIND("_Gross ROI=", SUBSTITUTE(B52, CHAR(10), "")) + LEN("_Gross ROI="),
    FIND("%", SUBSTITUTE(B52, CHAR(10), ""), FIND("_Gross ROI=", SUBSTITUTE(B52, CHAR(10), "")))
      - FIND("_Gross ROI=", SUBSTITUTE(B52, CHAR(10), "")) - LEN("_Gross ROI=") + 1
  ),
  ""
)</f>
        <v>6.05%</v>
      </c>
      <c r="J52" s="5" t="str">
        <f>IFERROR(
  MID(
    SUBSTITUTE(B52, CHAR(10), ""),
    FIND("_Median annual rent=", SUBSTITUTE(B52, CHAR(10), "")) + LEN("_Median annual rent="),
    FIND("K", SUBSTITUTE(B52, CHAR(10), ""), FIND("_Median annual rent=", SUBSTITUTE(B52, CHAR(10), "")))
      - FIND("_Median annual rent=", SUBSTITUTE(B52, CHAR(10), "")) - LEN("_Median annual rent=") + 1
  ),
  "")</f>
        <v>179K</v>
      </c>
    </row>
    <row r="53" ht="15.75" customHeight="1">
      <c r="A53" s="1" t="s">
        <v>119</v>
      </c>
      <c r="B53" s="1" t="s">
        <v>120</v>
      </c>
      <c r="C53" s="1" t="s">
        <v>12</v>
      </c>
      <c r="D53" s="1" t="s">
        <v>106</v>
      </c>
      <c r="E53" s="4">
        <v>1006614.0</v>
      </c>
      <c r="F53" s="2">
        <v>2.0</v>
      </c>
      <c r="G53" s="2" t="s">
        <v>1</v>
      </c>
      <c r="H53" s="2" t="s">
        <v>18</v>
      </c>
      <c r="I53" s="2" t="s">
        <v>15</v>
      </c>
      <c r="J53" s="2" t="s">
        <v>15</v>
      </c>
    </row>
    <row r="54" ht="15.75" customHeight="1">
      <c r="A54" s="1" t="s">
        <v>121</v>
      </c>
      <c r="B54" s="1" t="s">
        <v>65</v>
      </c>
      <c r="C54" s="1" t="s">
        <v>12</v>
      </c>
      <c r="D54" s="1" t="s">
        <v>106</v>
      </c>
      <c r="E54" s="4">
        <v>1006614.0</v>
      </c>
      <c r="F54" s="2">
        <v>2.0</v>
      </c>
      <c r="G54" s="2" t="s">
        <v>1</v>
      </c>
      <c r="H54" s="2" t="s">
        <v>53</v>
      </c>
      <c r="I54" s="2" t="s">
        <v>15</v>
      </c>
      <c r="J54" s="2" t="s">
        <v>15</v>
      </c>
    </row>
    <row r="55" ht="15.75" customHeight="1">
      <c r="A55" s="1" t="s">
        <v>122</v>
      </c>
      <c r="B55" s="1" t="s">
        <v>123</v>
      </c>
      <c r="C55" s="1" t="s">
        <v>12</v>
      </c>
      <c r="D55" s="1" t="s">
        <v>106</v>
      </c>
      <c r="E55" s="4">
        <v>1006614.0</v>
      </c>
      <c r="F55" s="2">
        <v>3.0</v>
      </c>
      <c r="G55" s="2" t="s">
        <v>1</v>
      </c>
      <c r="H55" s="2" t="s">
        <v>14</v>
      </c>
      <c r="I55" s="2" t="s">
        <v>15</v>
      </c>
      <c r="J55" s="2" t="s">
        <v>15</v>
      </c>
    </row>
    <row r="56" ht="15.75" customHeight="1">
      <c r="A56" s="1" t="s">
        <v>124</v>
      </c>
      <c r="B56" s="1" t="s">
        <v>125</v>
      </c>
      <c r="C56" s="1" t="s">
        <v>12</v>
      </c>
      <c r="D56" s="1" t="s">
        <v>106</v>
      </c>
      <c r="E56" s="4">
        <v>1006614.0</v>
      </c>
      <c r="F56" s="2">
        <v>3.0</v>
      </c>
      <c r="G56" s="2" t="s">
        <v>1</v>
      </c>
      <c r="H56" s="2" t="s">
        <v>18</v>
      </c>
      <c r="I56" s="2" t="s">
        <v>15</v>
      </c>
      <c r="J56" s="2" t="s">
        <v>15</v>
      </c>
    </row>
    <row r="57" ht="15.75" customHeight="1">
      <c r="A57" s="1" t="s">
        <v>126</v>
      </c>
      <c r="B57" s="1" t="s">
        <v>97</v>
      </c>
      <c r="C57" s="1" t="s">
        <v>12</v>
      </c>
      <c r="D57" s="1" t="s">
        <v>106</v>
      </c>
      <c r="E57" s="4">
        <v>1006614.0</v>
      </c>
      <c r="F57" s="2">
        <v>3.0</v>
      </c>
      <c r="G57" s="2" t="s">
        <v>1</v>
      </c>
      <c r="H57" s="2" t="s">
        <v>53</v>
      </c>
      <c r="I57" s="2" t="s">
        <v>15</v>
      </c>
      <c r="J57" s="2" t="s">
        <v>15</v>
      </c>
    </row>
    <row r="58" ht="15.75" customHeight="1">
      <c r="A58" s="1" t="s">
        <v>127</v>
      </c>
      <c r="B58" s="1" t="s">
        <v>69</v>
      </c>
      <c r="C58" s="1" t="s">
        <v>12</v>
      </c>
      <c r="D58" s="1" t="s">
        <v>106</v>
      </c>
      <c r="E58" s="4">
        <v>1006614.0</v>
      </c>
      <c r="F58" s="2" t="s">
        <v>15</v>
      </c>
      <c r="G58" s="2" t="s">
        <v>1</v>
      </c>
      <c r="H58" s="2" t="s">
        <v>53</v>
      </c>
      <c r="I58" s="2" t="s">
        <v>15</v>
      </c>
      <c r="J58" s="2" t="s">
        <v>15</v>
      </c>
    </row>
    <row r="59" ht="15.75" customHeight="1">
      <c r="A59" s="1" t="s">
        <v>128</v>
      </c>
      <c r="B59" s="1" t="s">
        <v>71</v>
      </c>
      <c r="C59" s="1" t="s">
        <v>12</v>
      </c>
      <c r="D59" s="1" t="s">
        <v>106</v>
      </c>
      <c r="E59" s="4">
        <v>1006614.0</v>
      </c>
      <c r="F59" s="2" t="s">
        <v>30</v>
      </c>
      <c r="G59" s="2" t="s">
        <v>1</v>
      </c>
      <c r="H59" s="2" t="s">
        <v>53</v>
      </c>
      <c r="I59" s="2" t="s">
        <v>15</v>
      </c>
      <c r="J59" s="2" t="s">
        <v>15</v>
      </c>
    </row>
    <row r="60" ht="15.75" customHeight="1">
      <c r="A60" s="1" t="s">
        <v>129</v>
      </c>
      <c r="B60" s="1" t="s">
        <v>130</v>
      </c>
      <c r="C60" s="1" t="s">
        <v>12</v>
      </c>
      <c r="D60" s="1" t="s">
        <v>106</v>
      </c>
      <c r="E60" s="4">
        <v>1006614.0</v>
      </c>
      <c r="F60" s="2" t="s">
        <v>30</v>
      </c>
      <c r="G60" s="2" t="s">
        <v>1</v>
      </c>
      <c r="H60" s="2" t="s">
        <v>14</v>
      </c>
      <c r="I60" s="2" t="s">
        <v>15</v>
      </c>
      <c r="J60" s="2" t="s">
        <v>15</v>
      </c>
    </row>
    <row r="61" ht="15.75" customHeight="1">
      <c r="A61" s="1" t="s">
        <v>131</v>
      </c>
      <c r="B61" s="1" t="s">
        <v>132</v>
      </c>
      <c r="C61" s="1" t="s">
        <v>12</v>
      </c>
      <c r="D61" s="1" t="s">
        <v>106</v>
      </c>
      <c r="E61" s="4">
        <v>1006614.0</v>
      </c>
      <c r="F61" s="2" t="s">
        <v>15</v>
      </c>
      <c r="G61" s="2" t="s">
        <v>33</v>
      </c>
      <c r="H61" s="2" t="s">
        <v>15</v>
      </c>
      <c r="I61" s="2" t="s">
        <v>15</v>
      </c>
      <c r="J61" s="2" t="s">
        <v>15</v>
      </c>
    </row>
    <row r="62" ht="15.75" customHeight="1">
      <c r="A62" s="1" t="s">
        <v>133</v>
      </c>
      <c r="B62" s="1" t="s">
        <v>134</v>
      </c>
      <c r="C62" s="1" t="s">
        <v>12</v>
      </c>
      <c r="D62" s="1" t="s">
        <v>106</v>
      </c>
      <c r="E62" s="4">
        <v>1006614.0</v>
      </c>
      <c r="F62" s="2" t="s">
        <v>36</v>
      </c>
      <c r="G62" s="2" t="s">
        <v>1</v>
      </c>
      <c r="H62" s="2" t="s">
        <v>37</v>
      </c>
      <c r="I62" s="2" t="s">
        <v>15</v>
      </c>
      <c r="J62" s="2" t="s">
        <v>15</v>
      </c>
    </row>
    <row r="63" ht="15.75" customHeight="1">
      <c r="A63" s="1" t="s">
        <v>135</v>
      </c>
      <c r="B63" s="1" t="s">
        <v>136</v>
      </c>
      <c r="C63" s="1" t="s">
        <v>12</v>
      </c>
      <c r="D63" s="1" t="s">
        <v>106</v>
      </c>
      <c r="E63" s="4">
        <v>1006614.0</v>
      </c>
      <c r="F63" s="2" t="s">
        <v>30</v>
      </c>
      <c r="G63" s="2" t="s">
        <v>1</v>
      </c>
      <c r="H63" s="2" t="s">
        <v>37</v>
      </c>
      <c r="I63" s="2" t="s">
        <v>15</v>
      </c>
      <c r="J63" s="2" t="s">
        <v>15</v>
      </c>
    </row>
    <row r="64" ht="15.75" customHeight="1">
      <c r="A64" s="1" t="s">
        <v>137</v>
      </c>
      <c r="B64" s="1" t="s">
        <v>138</v>
      </c>
      <c r="C64" s="1" t="s">
        <v>12</v>
      </c>
      <c r="D64" s="1" t="s">
        <v>139</v>
      </c>
      <c r="E64" s="4">
        <v>1006678.0</v>
      </c>
      <c r="F64" s="2" t="s">
        <v>36</v>
      </c>
      <c r="G64" s="2" t="s">
        <v>1</v>
      </c>
      <c r="H64" s="2" t="s">
        <v>14</v>
      </c>
      <c r="I64" s="5" t="str">
        <f>IFERROR(
  MID(
    SUBSTITUTE(B64, CHAR(10), ""),
    FIND("_Gross ROI=", SUBSTITUTE(B64, CHAR(10), "")) + LEN("_Gross ROI="),
    FIND("%", SUBSTITUTE(B64, CHAR(10), ""), FIND("_Gross ROI=", SUBSTITUTE(B64, CHAR(10), "")))
      - FIND("_Gross ROI=", SUBSTITUTE(B64, CHAR(10), "")) - LEN("_Gross ROI=") + 1
  ),
  ""
)</f>
        <v>7.19%</v>
      </c>
      <c r="J64" s="5" t="str">
        <f>IFERROR(
  MID(
    SUBSTITUTE(B64, CHAR(10), ""),
    FIND("_Median annual rent=", SUBSTITUTE(B64, CHAR(10), "")) + LEN("_Median annual rent="),
    FIND("K", SUBSTITUTE(B64, CHAR(10), ""), FIND("_Median annual rent=", SUBSTITUTE(B64, CHAR(10), "")))
      - FIND("_Median annual rent=", SUBSTITUTE(B64, CHAR(10), "")) - LEN("_Median annual rent=") + 1
  ),
  "")</f>
        <v>80K</v>
      </c>
    </row>
    <row r="65" ht="15.75" customHeight="1">
      <c r="A65" s="1" t="s">
        <v>140</v>
      </c>
      <c r="B65" s="1" t="s">
        <v>141</v>
      </c>
      <c r="C65" s="1" t="s">
        <v>12</v>
      </c>
      <c r="D65" s="1" t="s">
        <v>139</v>
      </c>
      <c r="E65" s="4">
        <v>1006678.0</v>
      </c>
      <c r="F65" s="2" t="s">
        <v>36</v>
      </c>
      <c r="G65" s="2" t="s">
        <v>1</v>
      </c>
      <c r="H65" s="2" t="s">
        <v>18</v>
      </c>
      <c r="I65" s="2" t="s">
        <v>15</v>
      </c>
      <c r="J65" s="2" t="s">
        <v>15</v>
      </c>
    </row>
    <row r="66" ht="15.75" customHeight="1">
      <c r="A66" s="1" t="s">
        <v>142</v>
      </c>
      <c r="B66" s="1" t="s">
        <v>52</v>
      </c>
      <c r="C66" s="1" t="s">
        <v>12</v>
      </c>
      <c r="D66" s="1" t="s">
        <v>139</v>
      </c>
      <c r="E66" s="4">
        <v>1006678.0</v>
      </c>
      <c r="F66" s="2" t="s">
        <v>36</v>
      </c>
      <c r="G66" s="2" t="s">
        <v>1</v>
      </c>
      <c r="H66" s="2" t="s">
        <v>53</v>
      </c>
      <c r="I66" s="2" t="s">
        <v>15</v>
      </c>
      <c r="J66" s="2" t="s">
        <v>15</v>
      </c>
    </row>
    <row r="67" ht="15.75" customHeight="1">
      <c r="A67" s="1" t="s">
        <v>143</v>
      </c>
      <c r="B67" s="1" t="s">
        <v>144</v>
      </c>
      <c r="C67" s="1" t="s">
        <v>12</v>
      </c>
      <c r="D67" s="1" t="s">
        <v>139</v>
      </c>
      <c r="E67" s="4">
        <v>1006678.0</v>
      </c>
      <c r="F67" s="2" t="s">
        <v>36</v>
      </c>
      <c r="G67" s="2" t="s">
        <v>1</v>
      </c>
      <c r="H67" s="2" t="s">
        <v>21</v>
      </c>
      <c r="I67" s="2" t="s">
        <v>15</v>
      </c>
      <c r="J67" s="2" t="s">
        <v>15</v>
      </c>
    </row>
    <row r="68" ht="15.75" customHeight="1">
      <c r="A68" s="1" t="s">
        <v>145</v>
      </c>
      <c r="B68" s="1" t="s">
        <v>146</v>
      </c>
      <c r="C68" s="1" t="s">
        <v>12</v>
      </c>
      <c r="D68" s="1" t="s">
        <v>139</v>
      </c>
      <c r="E68" s="4">
        <v>1006678.0</v>
      </c>
      <c r="F68" s="2">
        <v>1.0</v>
      </c>
      <c r="G68" s="2" t="s">
        <v>1</v>
      </c>
      <c r="H68" s="2" t="s">
        <v>14</v>
      </c>
      <c r="I68" s="5" t="str">
        <f>IFERROR(
  MID(
    SUBSTITUTE(B68, CHAR(10), ""),
    FIND("_Gross ROI=", SUBSTITUTE(B68, CHAR(10), "")) + LEN("_Gross ROI="),
    FIND("%", SUBSTITUTE(B68, CHAR(10), ""), FIND("_Gross ROI=", SUBSTITUTE(B68, CHAR(10), "")))
      - FIND("_Gross ROI=", SUBSTITUTE(B68, CHAR(10), "")) - LEN("_Gross ROI=") + 1
  ),
  ""
)</f>
        <v>6.15%</v>
      </c>
      <c r="J68" s="5" t="str">
        <f>IFERROR(
  MID(
    SUBSTITUTE(B68, CHAR(10), ""),
    FIND("_Median annual rent=", SUBSTITUTE(B68, CHAR(10), "")) + LEN("_Median annual rent="),
    FIND("K", SUBSTITUTE(B68, CHAR(10), ""), FIND("_Median annual rent=", SUBSTITUTE(B68, CHAR(10), "")))
      - FIND("_Median annual rent=", SUBSTITUTE(B68, CHAR(10), "")) - LEN("_Median annual rent=") + 1
  ),
  "")</f>
        <v>120K</v>
      </c>
    </row>
    <row r="69" ht="15.75" customHeight="1">
      <c r="A69" s="1" t="s">
        <v>147</v>
      </c>
      <c r="B69" s="1" t="s">
        <v>148</v>
      </c>
      <c r="C69" s="1" t="s">
        <v>12</v>
      </c>
      <c r="D69" s="1" t="s">
        <v>139</v>
      </c>
      <c r="E69" s="4">
        <v>1006678.0</v>
      </c>
      <c r="F69" s="2">
        <v>1.0</v>
      </c>
      <c r="G69" s="2" t="s">
        <v>1</v>
      </c>
      <c r="H69" s="2" t="s">
        <v>18</v>
      </c>
      <c r="I69" s="2" t="s">
        <v>15</v>
      </c>
      <c r="J69" s="2" t="s">
        <v>15</v>
      </c>
    </row>
    <row r="70" ht="15.75" customHeight="1">
      <c r="A70" s="1" t="s">
        <v>149</v>
      </c>
      <c r="B70" s="1" t="s">
        <v>59</v>
      </c>
      <c r="C70" s="1" t="s">
        <v>12</v>
      </c>
      <c r="D70" s="1" t="s">
        <v>139</v>
      </c>
      <c r="E70" s="4">
        <v>1006678.0</v>
      </c>
      <c r="F70" s="2">
        <v>1.0</v>
      </c>
      <c r="G70" s="2" t="s">
        <v>1</v>
      </c>
      <c r="H70" s="2" t="s">
        <v>53</v>
      </c>
      <c r="I70" s="2" t="s">
        <v>15</v>
      </c>
      <c r="J70" s="2" t="s">
        <v>15</v>
      </c>
    </row>
    <row r="71" ht="15.75" customHeight="1">
      <c r="A71" s="1" t="s">
        <v>150</v>
      </c>
      <c r="B71" s="1" t="s">
        <v>151</v>
      </c>
      <c r="C71" s="1" t="s">
        <v>12</v>
      </c>
      <c r="D71" s="1" t="s">
        <v>139</v>
      </c>
      <c r="E71" s="4">
        <v>1006678.0</v>
      </c>
      <c r="F71" s="2">
        <v>2.0</v>
      </c>
      <c r="G71" s="2" t="s">
        <v>1</v>
      </c>
      <c r="H71" s="2" t="s">
        <v>14</v>
      </c>
      <c r="I71" s="5" t="str">
        <f>IFERROR(
  MID(
    SUBSTITUTE(B71, CHAR(10), ""),
    FIND("_Gross ROI=", SUBSTITUTE(B71, CHAR(10), "")) + LEN("_Gross ROI="),
    FIND("%", SUBSTITUTE(B71, CHAR(10), ""), FIND("_Gross ROI=", SUBSTITUTE(B71, CHAR(10), "")))
      - FIND("_Gross ROI=", SUBSTITUTE(B71, CHAR(10), "")) - LEN("_Gross ROI=") + 1
  ),
  ""
)</f>
        <v>6.23%</v>
      </c>
      <c r="J71" s="5" t="str">
        <f>IFERROR(
  MID(
    SUBSTITUTE(B71, CHAR(10), ""),
    FIND("_Median annual rent=", SUBSTITUTE(B71, CHAR(10), "")) + LEN("_Median annual rent="),
    FIND("K", SUBSTITUTE(B71, CHAR(10), ""), FIND("_Median annual rent=", SUBSTITUTE(B71, CHAR(10), "")))
      - FIND("_Median annual rent=", SUBSTITUTE(B71, CHAR(10), "")) - LEN("_Median annual rent=") + 1
  ),
  "")</f>
        <v>179K</v>
      </c>
    </row>
    <row r="72" ht="15.75" customHeight="1">
      <c r="A72" s="1" t="s">
        <v>152</v>
      </c>
      <c r="B72" s="1" t="s">
        <v>153</v>
      </c>
      <c r="C72" s="1" t="s">
        <v>12</v>
      </c>
      <c r="D72" s="1" t="s">
        <v>139</v>
      </c>
      <c r="E72" s="4">
        <v>1006678.0</v>
      </c>
      <c r="F72" s="2">
        <v>2.0</v>
      </c>
      <c r="G72" s="2" t="s">
        <v>1</v>
      </c>
      <c r="H72" s="2" t="s">
        <v>18</v>
      </c>
      <c r="I72" s="2" t="s">
        <v>15</v>
      </c>
      <c r="J72" s="2" t="s">
        <v>15</v>
      </c>
    </row>
    <row r="73" ht="15.75" customHeight="1">
      <c r="A73" s="1" t="s">
        <v>154</v>
      </c>
      <c r="B73" s="1" t="s">
        <v>65</v>
      </c>
      <c r="C73" s="1" t="s">
        <v>12</v>
      </c>
      <c r="D73" s="1" t="s">
        <v>139</v>
      </c>
      <c r="E73" s="4">
        <v>1006678.0</v>
      </c>
      <c r="F73" s="2">
        <v>2.0</v>
      </c>
      <c r="G73" s="2" t="s">
        <v>1</v>
      </c>
      <c r="H73" s="2" t="s">
        <v>53</v>
      </c>
      <c r="I73" s="2" t="s">
        <v>15</v>
      </c>
      <c r="J73" s="2" t="s">
        <v>15</v>
      </c>
    </row>
    <row r="74" ht="15.75" customHeight="1">
      <c r="A74" s="1" t="s">
        <v>155</v>
      </c>
      <c r="B74" s="1" t="s">
        <v>156</v>
      </c>
      <c r="C74" s="1" t="s">
        <v>12</v>
      </c>
      <c r="D74" s="1" t="s">
        <v>139</v>
      </c>
      <c r="E74" s="4">
        <v>1006678.0</v>
      </c>
      <c r="F74" s="2">
        <v>3.0</v>
      </c>
      <c r="G74" s="2" t="s">
        <v>1</v>
      </c>
      <c r="H74" s="2" t="s">
        <v>14</v>
      </c>
      <c r="I74" s="2" t="s">
        <v>15</v>
      </c>
      <c r="J74" s="2" t="s">
        <v>15</v>
      </c>
    </row>
    <row r="75" ht="15.75" customHeight="1">
      <c r="A75" s="1" t="s">
        <v>157</v>
      </c>
      <c r="B75" s="1" t="s">
        <v>158</v>
      </c>
      <c r="C75" s="1" t="s">
        <v>12</v>
      </c>
      <c r="D75" s="1" t="s">
        <v>139</v>
      </c>
      <c r="E75" s="4">
        <v>1006678.0</v>
      </c>
      <c r="F75" s="2">
        <v>3.0</v>
      </c>
      <c r="G75" s="2" t="s">
        <v>1</v>
      </c>
      <c r="H75" s="2" t="s">
        <v>18</v>
      </c>
      <c r="I75" s="2" t="s">
        <v>15</v>
      </c>
      <c r="J75" s="2" t="s">
        <v>15</v>
      </c>
    </row>
    <row r="76" ht="15.75" customHeight="1">
      <c r="A76" s="1" t="s">
        <v>159</v>
      </c>
      <c r="B76" s="1" t="s">
        <v>97</v>
      </c>
      <c r="C76" s="1" t="s">
        <v>12</v>
      </c>
      <c r="D76" s="1" t="s">
        <v>139</v>
      </c>
      <c r="E76" s="4">
        <v>1006678.0</v>
      </c>
      <c r="F76" s="2">
        <v>3.0</v>
      </c>
      <c r="G76" s="2" t="s">
        <v>1</v>
      </c>
      <c r="H76" s="2" t="s">
        <v>53</v>
      </c>
      <c r="I76" s="2" t="s">
        <v>15</v>
      </c>
      <c r="J76" s="2" t="s">
        <v>15</v>
      </c>
    </row>
    <row r="77" ht="15.75" customHeight="1">
      <c r="A77" s="1" t="s">
        <v>160</v>
      </c>
      <c r="B77" s="1" t="s">
        <v>69</v>
      </c>
      <c r="C77" s="1" t="s">
        <v>12</v>
      </c>
      <c r="D77" s="1" t="s">
        <v>139</v>
      </c>
      <c r="E77" s="4">
        <v>1006678.0</v>
      </c>
      <c r="F77" s="2" t="s">
        <v>15</v>
      </c>
      <c r="G77" s="2" t="s">
        <v>1</v>
      </c>
      <c r="H77" s="2" t="s">
        <v>53</v>
      </c>
      <c r="I77" s="2" t="s">
        <v>15</v>
      </c>
      <c r="J77" s="2" t="s">
        <v>15</v>
      </c>
    </row>
    <row r="78" ht="15.75" customHeight="1">
      <c r="A78" s="1" t="s">
        <v>161</v>
      </c>
      <c r="B78" s="1" t="s">
        <v>71</v>
      </c>
      <c r="C78" s="1" t="s">
        <v>12</v>
      </c>
      <c r="D78" s="1" t="s">
        <v>139</v>
      </c>
      <c r="E78" s="4">
        <v>1006678.0</v>
      </c>
      <c r="F78" s="2" t="s">
        <v>30</v>
      </c>
      <c r="G78" s="2" t="s">
        <v>1</v>
      </c>
      <c r="H78" s="2" t="s">
        <v>53</v>
      </c>
      <c r="I78" s="2" t="s">
        <v>15</v>
      </c>
      <c r="J78" s="2" t="s">
        <v>15</v>
      </c>
    </row>
    <row r="79" ht="15.75" customHeight="1">
      <c r="A79" s="1" t="s">
        <v>162</v>
      </c>
      <c r="B79" s="1" t="s">
        <v>163</v>
      </c>
      <c r="C79" s="1" t="s">
        <v>12</v>
      </c>
      <c r="D79" s="1" t="s">
        <v>139</v>
      </c>
      <c r="E79" s="4">
        <v>1006678.0</v>
      </c>
      <c r="F79" s="2" t="s">
        <v>30</v>
      </c>
      <c r="G79" s="2" t="s">
        <v>1</v>
      </c>
      <c r="H79" s="2" t="s">
        <v>14</v>
      </c>
      <c r="I79" s="2" t="s">
        <v>15</v>
      </c>
      <c r="J79" s="2" t="s">
        <v>15</v>
      </c>
    </row>
    <row r="80" ht="15.75" customHeight="1">
      <c r="A80" s="1" t="s">
        <v>164</v>
      </c>
      <c r="B80" s="1" t="s">
        <v>165</v>
      </c>
      <c r="C80" s="1" t="s">
        <v>12</v>
      </c>
      <c r="D80" s="1" t="s">
        <v>139</v>
      </c>
      <c r="E80" s="4">
        <v>1006678.0</v>
      </c>
      <c r="F80" s="2" t="s">
        <v>15</v>
      </c>
      <c r="G80" s="2" t="s">
        <v>33</v>
      </c>
      <c r="H80" s="2" t="s">
        <v>15</v>
      </c>
      <c r="I80" s="2" t="s">
        <v>15</v>
      </c>
      <c r="J80" s="2" t="s">
        <v>15</v>
      </c>
    </row>
    <row r="81" ht="15.75" customHeight="1">
      <c r="A81" s="1" t="s">
        <v>166</v>
      </c>
      <c r="B81" s="1" t="s">
        <v>167</v>
      </c>
      <c r="C81" s="1" t="s">
        <v>12</v>
      </c>
      <c r="D81" s="1" t="s">
        <v>139</v>
      </c>
      <c r="E81" s="4">
        <v>1006678.0</v>
      </c>
      <c r="F81" s="2" t="s">
        <v>36</v>
      </c>
      <c r="G81" s="2" t="s">
        <v>1</v>
      </c>
      <c r="H81" s="2" t="s">
        <v>37</v>
      </c>
      <c r="I81" s="2" t="s">
        <v>15</v>
      </c>
      <c r="J81" s="2" t="s">
        <v>15</v>
      </c>
    </row>
    <row r="82" ht="15.75" customHeight="1">
      <c r="A82" s="1" t="s">
        <v>168</v>
      </c>
      <c r="B82" s="1" t="s">
        <v>169</v>
      </c>
      <c r="C82" s="1" t="s">
        <v>12</v>
      </c>
      <c r="D82" s="1" t="s">
        <v>139</v>
      </c>
      <c r="E82" s="4">
        <v>1006678.0</v>
      </c>
      <c r="F82" s="2" t="s">
        <v>30</v>
      </c>
      <c r="G82" s="2" t="s">
        <v>1</v>
      </c>
      <c r="H82" s="2" t="s">
        <v>37</v>
      </c>
      <c r="I82" s="2" t="s">
        <v>15</v>
      </c>
      <c r="J82" s="2" t="s">
        <v>15</v>
      </c>
    </row>
    <row r="83" ht="15.75" customHeight="1">
      <c r="A83" s="1" t="s">
        <v>170</v>
      </c>
      <c r="B83" s="3" t="s">
        <v>171</v>
      </c>
      <c r="C83" s="1" t="s">
        <v>12</v>
      </c>
      <c r="D83" s="1" t="s">
        <v>172</v>
      </c>
      <c r="E83" s="4">
        <v>1006742.0</v>
      </c>
      <c r="F83" s="2" t="s">
        <v>36</v>
      </c>
      <c r="G83" s="2" t="s">
        <v>1</v>
      </c>
      <c r="H83" s="2" t="s">
        <v>14</v>
      </c>
      <c r="I83" s="2" t="s">
        <v>15</v>
      </c>
      <c r="J83" s="2" t="s">
        <v>15</v>
      </c>
    </row>
    <row r="84" ht="15.75" customHeight="1">
      <c r="A84" s="1" t="s">
        <v>173</v>
      </c>
      <c r="B84" s="1" t="s">
        <v>174</v>
      </c>
      <c r="C84" s="1" t="s">
        <v>12</v>
      </c>
      <c r="D84" s="1" t="s">
        <v>172</v>
      </c>
      <c r="E84" s="4">
        <v>1006742.0</v>
      </c>
      <c r="F84" s="2" t="s">
        <v>36</v>
      </c>
      <c r="G84" s="2" t="s">
        <v>1</v>
      </c>
      <c r="H84" s="2" t="s">
        <v>18</v>
      </c>
      <c r="I84" s="2" t="s">
        <v>15</v>
      </c>
      <c r="J84" s="2" t="s">
        <v>15</v>
      </c>
    </row>
    <row r="85" ht="15.75" customHeight="1">
      <c r="A85" s="1" t="s">
        <v>175</v>
      </c>
      <c r="B85" s="1" t="s">
        <v>176</v>
      </c>
      <c r="C85" s="1" t="s">
        <v>12</v>
      </c>
      <c r="D85" s="1" t="s">
        <v>172</v>
      </c>
      <c r="E85" s="4">
        <v>1006742.0</v>
      </c>
      <c r="F85" s="2">
        <v>1.0</v>
      </c>
      <c r="G85" s="2" t="s">
        <v>1</v>
      </c>
      <c r="H85" s="2" t="s">
        <v>14</v>
      </c>
      <c r="I85" s="2" t="s">
        <v>15</v>
      </c>
      <c r="J85" s="2" t="s">
        <v>15</v>
      </c>
    </row>
    <row r="86" ht="15.75" customHeight="1">
      <c r="A86" s="1" t="s">
        <v>177</v>
      </c>
      <c r="B86" s="1" t="s">
        <v>178</v>
      </c>
      <c r="C86" s="1" t="s">
        <v>12</v>
      </c>
      <c r="D86" s="1" t="s">
        <v>172</v>
      </c>
      <c r="E86" s="4">
        <v>1006742.0</v>
      </c>
      <c r="F86" s="2">
        <v>1.0</v>
      </c>
      <c r="G86" s="2" t="s">
        <v>1</v>
      </c>
      <c r="H86" s="2" t="s">
        <v>18</v>
      </c>
      <c r="I86" s="2" t="s">
        <v>15</v>
      </c>
      <c r="J86" s="2" t="s">
        <v>15</v>
      </c>
    </row>
    <row r="87" ht="15.75" customHeight="1">
      <c r="A87" s="1" t="s">
        <v>179</v>
      </c>
      <c r="B87" s="1" t="s">
        <v>180</v>
      </c>
      <c r="C87" s="1" t="s">
        <v>12</v>
      </c>
      <c r="D87" s="1" t="s">
        <v>172</v>
      </c>
      <c r="E87" s="4">
        <v>1006742.0</v>
      </c>
      <c r="F87" s="2">
        <v>2.0</v>
      </c>
      <c r="G87" s="2" t="s">
        <v>1</v>
      </c>
      <c r="H87" s="2" t="s">
        <v>14</v>
      </c>
      <c r="I87" s="2" t="s">
        <v>15</v>
      </c>
      <c r="J87" s="2" t="s">
        <v>15</v>
      </c>
    </row>
    <row r="88" ht="15.75" customHeight="1">
      <c r="A88" s="1" t="s">
        <v>181</v>
      </c>
      <c r="B88" s="1" t="s">
        <v>182</v>
      </c>
      <c r="C88" s="1" t="s">
        <v>12</v>
      </c>
      <c r="D88" s="1" t="s">
        <v>172</v>
      </c>
      <c r="E88" s="4">
        <v>1006742.0</v>
      </c>
      <c r="F88" s="2">
        <v>2.0</v>
      </c>
      <c r="G88" s="2" t="s">
        <v>1</v>
      </c>
      <c r="H88" s="2" t="s">
        <v>18</v>
      </c>
      <c r="I88" s="2" t="s">
        <v>15</v>
      </c>
      <c r="J88" s="2" t="s">
        <v>15</v>
      </c>
    </row>
    <row r="89" ht="15.75" customHeight="1">
      <c r="A89" s="1" t="s">
        <v>183</v>
      </c>
      <c r="B89" s="1" t="s">
        <v>184</v>
      </c>
      <c r="C89" s="1" t="s">
        <v>12</v>
      </c>
      <c r="D89" s="1" t="s">
        <v>172</v>
      </c>
      <c r="E89" s="4">
        <v>1006742.0</v>
      </c>
      <c r="F89" s="2" t="s">
        <v>30</v>
      </c>
      <c r="G89" s="2" t="s">
        <v>1</v>
      </c>
      <c r="H89" s="2" t="s">
        <v>14</v>
      </c>
      <c r="I89" s="2" t="s">
        <v>15</v>
      </c>
      <c r="J89" s="2" t="s">
        <v>15</v>
      </c>
    </row>
    <row r="90" ht="15.75" customHeight="1">
      <c r="A90" s="1" t="s">
        <v>185</v>
      </c>
      <c r="B90" s="1" t="s">
        <v>186</v>
      </c>
      <c r="C90" s="1" t="s">
        <v>12</v>
      </c>
      <c r="D90" s="1" t="s">
        <v>172</v>
      </c>
      <c r="E90" s="4">
        <v>1006742.0</v>
      </c>
      <c r="F90" s="2" t="s">
        <v>15</v>
      </c>
      <c r="G90" s="2" t="s">
        <v>33</v>
      </c>
      <c r="H90" s="2" t="s">
        <v>15</v>
      </c>
      <c r="I90" s="2" t="s">
        <v>15</v>
      </c>
      <c r="J90" s="2" t="s">
        <v>15</v>
      </c>
    </row>
    <row r="91" ht="15.75" customHeight="1">
      <c r="A91" s="1" t="s">
        <v>187</v>
      </c>
      <c r="B91" s="3" t="s">
        <v>188</v>
      </c>
      <c r="C91" s="1" t="s">
        <v>12</v>
      </c>
      <c r="D91" s="1" t="s">
        <v>189</v>
      </c>
      <c r="E91" s="4">
        <v>1006806.0</v>
      </c>
      <c r="F91" s="2">
        <v>1.0</v>
      </c>
      <c r="G91" s="2" t="s">
        <v>1</v>
      </c>
      <c r="H91" s="2" t="s">
        <v>14</v>
      </c>
      <c r="I91" s="5" t="str">
        <f>IFERROR(
  MID(
    SUBSTITUTE(B91, CHAR(10), ""),
    FIND("_Gross ROI=", SUBSTITUTE(B91, CHAR(10), "")) + LEN("_Gross ROI="),
    FIND("%", SUBSTITUTE(B91, CHAR(10), ""), FIND("_Gross ROI=", SUBSTITUTE(B91, CHAR(10), "")))
      - FIND("_Gross ROI=", SUBSTITUTE(B91, CHAR(10), "")) - LEN("_Gross ROI=") + 1
  ),
  ""
)</f>
        <v>6.09%</v>
      </c>
      <c r="J91" s="5" t="str">
        <f>IFERROR(
  MID(
    SUBSTITUTE(B91, CHAR(10), ""),
    FIND("_Median annual rent=", SUBSTITUTE(B91, CHAR(10), "")) + LEN("_Median annual rent="),
    FIND("K", SUBSTITUTE(B91, CHAR(10), ""), FIND("_Median annual rent=", SUBSTITUTE(B91, CHAR(10), "")))
      - FIND("_Median annual rent=", SUBSTITUTE(B91, CHAR(10), "")) - LEN("_Median annual rent=") + 1
  ),
  "")</f>
        <v>130K</v>
      </c>
    </row>
    <row r="92" ht="15.75" customHeight="1">
      <c r="A92" s="1" t="s">
        <v>190</v>
      </c>
      <c r="B92" s="1" t="s">
        <v>191</v>
      </c>
      <c r="C92" s="1" t="s">
        <v>12</v>
      </c>
      <c r="D92" s="1" t="s">
        <v>189</v>
      </c>
      <c r="E92" s="4">
        <v>1006806.0</v>
      </c>
      <c r="F92" s="2">
        <v>1.0</v>
      </c>
      <c r="G92" s="2" t="s">
        <v>1</v>
      </c>
      <c r="H92" s="2" t="s">
        <v>18</v>
      </c>
      <c r="I92" s="2" t="s">
        <v>15</v>
      </c>
      <c r="J92" s="2" t="s">
        <v>15</v>
      </c>
    </row>
    <row r="93" ht="15.75" customHeight="1">
      <c r="A93" s="1" t="s">
        <v>192</v>
      </c>
      <c r="B93" s="1" t="s">
        <v>193</v>
      </c>
      <c r="C93" s="1" t="s">
        <v>12</v>
      </c>
      <c r="D93" s="1" t="s">
        <v>189</v>
      </c>
      <c r="E93" s="4">
        <v>1006806.0</v>
      </c>
      <c r="F93" s="2">
        <v>1.0</v>
      </c>
      <c r="G93" s="2" t="s">
        <v>1</v>
      </c>
      <c r="H93" s="2" t="s">
        <v>53</v>
      </c>
      <c r="I93" s="2" t="s">
        <v>15</v>
      </c>
      <c r="J93" s="2" t="s">
        <v>15</v>
      </c>
    </row>
    <row r="94" ht="15.75" customHeight="1">
      <c r="A94" s="1" t="s">
        <v>194</v>
      </c>
      <c r="B94" s="1" t="s">
        <v>195</v>
      </c>
      <c r="C94" s="1" t="s">
        <v>12</v>
      </c>
      <c r="D94" s="1" t="s">
        <v>189</v>
      </c>
      <c r="E94" s="4">
        <v>1006806.0</v>
      </c>
      <c r="F94" s="2">
        <v>1.0</v>
      </c>
      <c r="G94" s="2" t="s">
        <v>1</v>
      </c>
      <c r="H94" s="2" t="s">
        <v>21</v>
      </c>
      <c r="I94" s="2" t="s">
        <v>15</v>
      </c>
      <c r="J94" s="2" t="s">
        <v>15</v>
      </c>
    </row>
    <row r="95" ht="15.75" customHeight="1">
      <c r="A95" s="1" t="s">
        <v>196</v>
      </c>
      <c r="B95" s="1" t="s">
        <v>197</v>
      </c>
      <c r="C95" s="1" t="s">
        <v>12</v>
      </c>
      <c r="D95" s="1" t="s">
        <v>189</v>
      </c>
      <c r="E95" s="4">
        <v>1006806.0</v>
      </c>
      <c r="F95" s="2">
        <v>2.0</v>
      </c>
      <c r="G95" s="2" t="s">
        <v>1</v>
      </c>
      <c r="H95" s="2" t="s">
        <v>14</v>
      </c>
      <c r="I95" s="5" t="str">
        <f>IFERROR(
  MID(
    SUBSTITUTE(B95, CHAR(10), ""),
    FIND("_Gross ROI=", SUBSTITUTE(B95, CHAR(10), "")) + LEN("_Gross ROI="),
    FIND("%", SUBSTITUTE(B95, CHAR(10), ""), FIND("_Gross ROI=", SUBSTITUTE(B95, CHAR(10), "")))
      - FIND("_Gross ROI=", SUBSTITUTE(B95, CHAR(10), "")) - LEN("_Gross ROI=") + 1
  ),
  ""
)</f>
        <v>5.8%</v>
      </c>
      <c r="J95" s="5" t="str">
        <f>IFERROR(
  MID(
    SUBSTITUTE(B95, CHAR(10), ""),
    FIND("_Median annual rent=", SUBSTITUTE(B95, CHAR(10), "")) + LEN("_Median annual rent="),
    FIND("K", SUBSTITUTE(B95, CHAR(10), ""), FIND("_Median annual rent=", SUBSTITUTE(B95, CHAR(10), "")))
      - FIND("_Median annual rent=", SUBSTITUTE(B95, CHAR(10), "")) - LEN("_Median annual rent=") + 1
  ),
  "")</f>
        <v>197.2K</v>
      </c>
    </row>
    <row r="96" ht="15.75" customHeight="1">
      <c r="A96" s="1" t="s">
        <v>198</v>
      </c>
      <c r="B96" s="1" t="s">
        <v>199</v>
      </c>
      <c r="C96" s="1" t="s">
        <v>12</v>
      </c>
      <c r="D96" s="1" t="s">
        <v>189</v>
      </c>
      <c r="E96" s="4">
        <v>1006806.0</v>
      </c>
      <c r="F96" s="2">
        <v>2.0</v>
      </c>
      <c r="G96" s="2" t="s">
        <v>1</v>
      </c>
      <c r="H96" s="2" t="s">
        <v>18</v>
      </c>
      <c r="I96" s="2" t="s">
        <v>15</v>
      </c>
      <c r="J96" s="2" t="s">
        <v>15</v>
      </c>
    </row>
    <row r="97" ht="15.75" customHeight="1">
      <c r="A97" s="1" t="s">
        <v>200</v>
      </c>
      <c r="B97" s="1" t="s">
        <v>201</v>
      </c>
      <c r="C97" s="1" t="s">
        <v>12</v>
      </c>
      <c r="D97" s="1" t="s">
        <v>189</v>
      </c>
      <c r="E97" s="4">
        <v>1006806.0</v>
      </c>
      <c r="F97" s="2">
        <v>2.0</v>
      </c>
      <c r="G97" s="2" t="s">
        <v>1</v>
      </c>
      <c r="H97" s="2" t="s">
        <v>53</v>
      </c>
      <c r="I97" s="2" t="s">
        <v>15</v>
      </c>
      <c r="J97" s="2" t="s">
        <v>15</v>
      </c>
    </row>
    <row r="98" ht="15.75" customHeight="1">
      <c r="A98" s="1" t="s">
        <v>202</v>
      </c>
      <c r="B98" s="1" t="s">
        <v>203</v>
      </c>
      <c r="C98" s="1" t="s">
        <v>12</v>
      </c>
      <c r="D98" s="1" t="s">
        <v>189</v>
      </c>
      <c r="E98" s="4">
        <v>1006806.0</v>
      </c>
      <c r="F98" s="2">
        <v>2.0</v>
      </c>
      <c r="G98" s="2" t="s">
        <v>1</v>
      </c>
      <c r="H98" s="2" t="s">
        <v>21</v>
      </c>
      <c r="I98" s="2" t="s">
        <v>15</v>
      </c>
      <c r="J98" s="2" t="s">
        <v>15</v>
      </c>
    </row>
    <row r="99" ht="15.75" customHeight="1">
      <c r="A99" s="1" t="s">
        <v>204</v>
      </c>
      <c r="B99" s="1" t="s">
        <v>205</v>
      </c>
      <c r="C99" s="1" t="s">
        <v>12</v>
      </c>
      <c r="D99" s="1" t="s">
        <v>189</v>
      </c>
      <c r="E99" s="4">
        <v>1006806.0</v>
      </c>
      <c r="F99" s="2">
        <v>3.0</v>
      </c>
      <c r="G99" s="2" t="s">
        <v>1</v>
      </c>
      <c r="H99" s="2" t="s">
        <v>14</v>
      </c>
      <c r="I99" s="5" t="str">
        <f>IFERROR(
  MID(
    SUBSTITUTE(B99, CHAR(10), ""),
    FIND("_Gross ROI=", SUBSTITUTE(B99, CHAR(10), "")) + LEN("_Gross ROI="),
    FIND("%", SUBSTITUTE(B99, CHAR(10), ""), FIND("_Gross ROI=", SUBSTITUTE(B99, CHAR(10), "")))
      - FIND("_Gross ROI=", SUBSTITUTE(B99, CHAR(10), "")) - LEN("_Gross ROI=") + 1
  ),
  ""
)</f>
        <v>6.51%</v>
      </c>
      <c r="J99" s="5" t="str">
        <f>IFERROR(
  MID(
    SUBSTITUTE(B99, CHAR(10), ""),
    FIND("_Median annual rent=", SUBSTITUTE(B99, CHAR(10), "")) + LEN("_Median annual rent="),
    FIND("K", SUBSTITUTE(B99, CHAR(10), ""), FIND("_Median annual rent=", SUBSTITUTE(B99, CHAR(10), "")))
      - FIND("_Median annual rent=", SUBSTITUTE(B99, CHAR(10), "")) - LEN("_Median annual rent=") + 1
  ),
  "")</f>
        <v>330K</v>
      </c>
    </row>
    <row r="100" ht="15.75" customHeight="1">
      <c r="A100" s="1" t="s">
        <v>206</v>
      </c>
      <c r="B100" s="1" t="s">
        <v>207</v>
      </c>
      <c r="C100" s="1" t="s">
        <v>12</v>
      </c>
      <c r="D100" s="1" t="s">
        <v>189</v>
      </c>
      <c r="E100" s="4">
        <v>1006806.0</v>
      </c>
      <c r="F100" s="2">
        <v>3.0</v>
      </c>
      <c r="G100" s="2" t="s">
        <v>1</v>
      </c>
      <c r="H100" s="2" t="s">
        <v>18</v>
      </c>
      <c r="I100" s="2" t="s">
        <v>15</v>
      </c>
      <c r="J100" s="2" t="s">
        <v>15</v>
      </c>
    </row>
    <row r="101" ht="15.75" customHeight="1">
      <c r="A101" s="1" t="s">
        <v>208</v>
      </c>
      <c r="B101" s="1" t="s">
        <v>209</v>
      </c>
      <c r="C101" s="1" t="s">
        <v>12</v>
      </c>
      <c r="D101" s="1" t="s">
        <v>189</v>
      </c>
      <c r="E101" s="4">
        <v>1006806.0</v>
      </c>
      <c r="F101" s="2">
        <v>3.0</v>
      </c>
      <c r="G101" s="2" t="s">
        <v>1</v>
      </c>
      <c r="H101" s="2" t="s">
        <v>53</v>
      </c>
      <c r="I101" s="2" t="s">
        <v>15</v>
      </c>
      <c r="J101" s="2" t="s">
        <v>15</v>
      </c>
    </row>
    <row r="102" ht="15.75" customHeight="1">
      <c r="A102" s="1" t="s">
        <v>210</v>
      </c>
      <c r="B102" s="1" t="s">
        <v>211</v>
      </c>
      <c r="C102" s="1" t="s">
        <v>12</v>
      </c>
      <c r="D102" s="1" t="s">
        <v>189</v>
      </c>
      <c r="E102" s="4">
        <v>1006806.0</v>
      </c>
      <c r="F102" s="2">
        <v>3.0</v>
      </c>
      <c r="G102" s="2" t="s">
        <v>1</v>
      </c>
      <c r="H102" s="2" t="s">
        <v>21</v>
      </c>
      <c r="I102" s="2" t="s">
        <v>15</v>
      </c>
      <c r="J102" s="2" t="s">
        <v>15</v>
      </c>
    </row>
    <row r="103" ht="15.75" customHeight="1">
      <c r="A103" s="1" t="s">
        <v>212</v>
      </c>
      <c r="B103" s="1" t="s">
        <v>213</v>
      </c>
      <c r="C103" s="1" t="s">
        <v>12</v>
      </c>
      <c r="D103" s="1" t="s">
        <v>189</v>
      </c>
      <c r="E103" s="4">
        <v>1006806.0</v>
      </c>
      <c r="F103" s="2">
        <v>4.0</v>
      </c>
      <c r="G103" s="2" t="s">
        <v>1</v>
      </c>
      <c r="H103" s="2" t="s">
        <v>53</v>
      </c>
      <c r="I103" s="2" t="s">
        <v>15</v>
      </c>
      <c r="J103" s="2" t="s">
        <v>15</v>
      </c>
    </row>
    <row r="104" ht="15.75" customHeight="1">
      <c r="A104" s="1" t="s">
        <v>214</v>
      </c>
      <c r="B104" s="1" t="s">
        <v>215</v>
      </c>
      <c r="C104" s="1" t="s">
        <v>12</v>
      </c>
      <c r="D104" s="1" t="s">
        <v>189</v>
      </c>
      <c r="E104" s="4">
        <v>1006806.0</v>
      </c>
      <c r="F104" s="2" t="s">
        <v>15</v>
      </c>
      <c r="G104" s="2" t="s">
        <v>1</v>
      </c>
      <c r="H104" s="2" t="s">
        <v>53</v>
      </c>
      <c r="I104" s="2" t="s">
        <v>15</v>
      </c>
      <c r="J104" s="2" t="s">
        <v>15</v>
      </c>
    </row>
    <row r="105" ht="15.75" customHeight="1">
      <c r="A105" s="1" t="s">
        <v>216</v>
      </c>
      <c r="B105" s="1" t="s">
        <v>217</v>
      </c>
      <c r="C105" s="1" t="s">
        <v>12</v>
      </c>
      <c r="D105" s="1" t="s">
        <v>189</v>
      </c>
      <c r="E105" s="4">
        <v>1006806.0</v>
      </c>
      <c r="F105" s="2" t="s">
        <v>30</v>
      </c>
      <c r="G105" s="2" t="s">
        <v>1</v>
      </c>
      <c r="H105" s="2" t="s">
        <v>53</v>
      </c>
      <c r="I105" s="2" t="s">
        <v>15</v>
      </c>
      <c r="J105" s="2" t="s">
        <v>15</v>
      </c>
    </row>
    <row r="106" ht="15.75" customHeight="1">
      <c r="A106" s="1" t="s">
        <v>218</v>
      </c>
      <c r="B106" s="1" t="s">
        <v>219</v>
      </c>
      <c r="C106" s="1" t="s">
        <v>12</v>
      </c>
      <c r="D106" s="1" t="s">
        <v>189</v>
      </c>
      <c r="E106" s="4">
        <v>1006806.0</v>
      </c>
      <c r="F106" s="2" t="s">
        <v>30</v>
      </c>
      <c r="G106" s="2" t="s">
        <v>1</v>
      </c>
      <c r="H106" s="2" t="s">
        <v>14</v>
      </c>
      <c r="I106" s="2" t="s">
        <v>15</v>
      </c>
      <c r="J106" s="2" t="s">
        <v>15</v>
      </c>
    </row>
    <row r="107" ht="15.75" customHeight="1">
      <c r="A107" s="1" t="s">
        <v>220</v>
      </c>
      <c r="B107" s="1" t="s">
        <v>221</v>
      </c>
      <c r="C107" s="1" t="s">
        <v>12</v>
      </c>
      <c r="D107" s="1" t="s">
        <v>189</v>
      </c>
      <c r="E107" s="4">
        <v>1006806.0</v>
      </c>
      <c r="F107" s="2" t="s">
        <v>15</v>
      </c>
      <c r="G107" s="2" t="s">
        <v>33</v>
      </c>
      <c r="H107" s="2" t="s">
        <v>15</v>
      </c>
      <c r="I107" s="2" t="s">
        <v>15</v>
      </c>
      <c r="J107" s="2" t="s">
        <v>15</v>
      </c>
    </row>
    <row r="108" ht="15.75" customHeight="1">
      <c r="A108" s="1" t="s">
        <v>222</v>
      </c>
      <c r="B108" s="1" t="s">
        <v>223</v>
      </c>
      <c r="C108" s="1" t="s">
        <v>12</v>
      </c>
      <c r="D108" s="1" t="s">
        <v>189</v>
      </c>
      <c r="E108" s="4">
        <v>1006806.0</v>
      </c>
      <c r="F108" s="2">
        <v>1.0</v>
      </c>
      <c r="G108" s="2" t="s">
        <v>1</v>
      </c>
      <c r="H108" s="2" t="s">
        <v>37</v>
      </c>
      <c r="I108" s="2" t="s">
        <v>15</v>
      </c>
      <c r="J108" s="2" t="s">
        <v>15</v>
      </c>
    </row>
    <row r="109" ht="15.75" customHeight="1">
      <c r="A109" s="1" t="s">
        <v>224</v>
      </c>
      <c r="B109" s="1" t="s">
        <v>225</v>
      </c>
      <c r="C109" s="1" t="s">
        <v>12</v>
      </c>
      <c r="D109" s="1" t="s">
        <v>189</v>
      </c>
      <c r="E109" s="4">
        <v>1006806.0</v>
      </c>
      <c r="F109" s="2">
        <v>2.0</v>
      </c>
      <c r="G109" s="2" t="s">
        <v>1</v>
      </c>
      <c r="H109" s="2" t="s">
        <v>37</v>
      </c>
      <c r="I109" s="2" t="s">
        <v>15</v>
      </c>
      <c r="J109" s="2" t="s">
        <v>15</v>
      </c>
    </row>
    <row r="110" ht="15.75" customHeight="1">
      <c r="A110" s="1" t="s">
        <v>226</v>
      </c>
      <c r="B110" s="1" t="s">
        <v>227</v>
      </c>
      <c r="C110" s="1" t="s">
        <v>12</v>
      </c>
      <c r="D110" s="1" t="s">
        <v>189</v>
      </c>
      <c r="E110" s="4">
        <v>1006806.0</v>
      </c>
      <c r="F110" s="2">
        <v>3.0</v>
      </c>
      <c r="G110" s="2" t="s">
        <v>1</v>
      </c>
      <c r="H110" s="2" t="s">
        <v>37</v>
      </c>
      <c r="I110" s="2" t="s">
        <v>15</v>
      </c>
      <c r="J110" s="2" t="s">
        <v>15</v>
      </c>
    </row>
    <row r="111" ht="15.75" customHeight="1">
      <c r="A111" s="1" t="s">
        <v>228</v>
      </c>
      <c r="B111" s="1" t="s">
        <v>229</v>
      </c>
      <c r="C111" s="1" t="s">
        <v>12</v>
      </c>
      <c r="D111" s="1" t="s">
        <v>189</v>
      </c>
      <c r="E111" s="4">
        <v>1006806.0</v>
      </c>
      <c r="F111" s="2">
        <v>4.0</v>
      </c>
      <c r="G111" s="2" t="s">
        <v>1</v>
      </c>
      <c r="H111" s="2" t="s">
        <v>37</v>
      </c>
      <c r="I111" s="2" t="s">
        <v>15</v>
      </c>
      <c r="J111" s="2" t="s">
        <v>15</v>
      </c>
    </row>
    <row r="112" ht="15.75" customHeight="1">
      <c r="A112" s="1" t="s">
        <v>230</v>
      </c>
      <c r="B112" s="1" t="s">
        <v>231</v>
      </c>
      <c r="C112" s="1" t="s">
        <v>12</v>
      </c>
      <c r="D112" s="1" t="s">
        <v>189</v>
      </c>
      <c r="E112" s="4">
        <v>1006806.0</v>
      </c>
      <c r="F112" s="2" t="s">
        <v>30</v>
      </c>
      <c r="G112" s="2" t="s">
        <v>1</v>
      </c>
      <c r="H112" s="2" t="s">
        <v>37</v>
      </c>
      <c r="I112" s="2" t="s">
        <v>15</v>
      </c>
      <c r="J112" s="2" t="s">
        <v>15</v>
      </c>
    </row>
    <row r="113" ht="15.75" customHeight="1">
      <c r="A113" s="1" t="s">
        <v>232</v>
      </c>
      <c r="B113" s="1" t="s">
        <v>233</v>
      </c>
      <c r="C113" s="1" t="s">
        <v>12</v>
      </c>
      <c r="D113" s="1" t="s">
        <v>234</v>
      </c>
      <c r="E113" s="4">
        <v>1006870.0</v>
      </c>
      <c r="F113" s="2">
        <v>1.0</v>
      </c>
      <c r="G113" s="2" t="s">
        <v>1</v>
      </c>
      <c r="H113" s="2" t="s">
        <v>14</v>
      </c>
      <c r="I113" s="5" t="str">
        <f>IFERROR(
  MID(
    SUBSTITUTE(B113, CHAR(10), ""),
    FIND("_Gross ROI=", SUBSTITUTE(B113, CHAR(10), "")) + LEN("_Gross ROI="),
    FIND("%", SUBSTITUTE(B113, CHAR(10), ""), FIND("_Gross ROI=", SUBSTITUTE(B113, CHAR(10), "")))
      - FIND("_Gross ROI=", SUBSTITUTE(B113, CHAR(10), "")) - LEN("_Gross ROI=") + 1
  ),
  ""
)</f>
        <v>6.16%</v>
      </c>
      <c r="J113" s="5" t="str">
        <f>IFERROR(
  MID(
    SUBSTITUTE(B113, CHAR(10), ""),
    FIND("_Median annual rent=", SUBSTITUTE(B113, CHAR(10), "")) + LEN("_Median annual rent="),
    FIND("K", SUBSTITUTE(B113, CHAR(10), ""), FIND("_Median annual rent=", SUBSTITUTE(B113, CHAR(10), "")))
      - FIND("_Median annual rent=", SUBSTITUTE(B113, CHAR(10), "")) - LEN("_Median annual rent=") + 1
  ),
  "")</f>
        <v>130K</v>
      </c>
    </row>
    <row r="114" ht="15.75" customHeight="1">
      <c r="A114" s="1" t="s">
        <v>235</v>
      </c>
      <c r="B114" s="1" t="s">
        <v>236</v>
      </c>
      <c r="C114" s="1" t="s">
        <v>12</v>
      </c>
      <c r="D114" s="1" t="s">
        <v>234</v>
      </c>
      <c r="E114" s="4">
        <v>1006870.0</v>
      </c>
      <c r="F114" s="2">
        <v>1.0</v>
      </c>
      <c r="G114" s="2" t="s">
        <v>1</v>
      </c>
      <c r="H114" s="2" t="s">
        <v>18</v>
      </c>
      <c r="I114" s="2" t="s">
        <v>15</v>
      </c>
      <c r="J114" s="2" t="s">
        <v>15</v>
      </c>
    </row>
    <row r="115" ht="15.75" customHeight="1">
      <c r="A115" s="1" t="s">
        <v>237</v>
      </c>
      <c r="B115" s="1" t="s">
        <v>193</v>
      </c>
      <c r="C115" s="1" t="s">
        <v>12</v>
      </c>
      <c r="D115" s="1" t="s">
        <v>234</v>
      </c>
      <c r="E115" s="4">
        <v>1006870.0</v>
      </c>
      <c r="F115" s="2">
        <v>1.0</v>
      </c>
      <c r="G115" s="2" t="s">
        <v>1</v>
      </c>
      <c r="H115" s="2" t="s">
        <v>53</v>
      </c>
      <c r="I115" s="2" t="s">
        <v>15</v>
      </c>
      <c r="J115" s="2" t="s">
        <v>15</v>
      </c>
    </row>
    <row r="116" ht="15.75" customHeight="1">
      <c r="A116" s="1" t="s">
        <v>238</v>
      </c>
      <c r="B116" s="1" t="s">
        <v>239</v>
      </c>
      <c r="C116" s="1" t="s">
        <v>12</v>
      </c>
      <c r="D116" s="1" t="s">
        <v>234</v>
      </c>
      <c r="E116" s="4">
        <v>1006870.0</v>
      </c>
      <c r="F116" s="2">
        <v>1.0</v>
      </c>
      <c r="G116" s="2" t="s">
        <v>1</v>
      </c>
      <c r="H116" s="2" t="s">
        <v>21</v>
      </c>
      <c r="I116" s="2" t="s">
        <v>15</v>
      </c>
      <c r="J116" s="2" t="s">
        <v>15</v>
      </c>
    </row>
    <row r="117" ht="15.75" customHeight="1">
      <c r="A117" s="1" t="s">
        <v>240</v>
      </c>
      <c r="B117" s="1" t="s">
        <v>241</v>
      </c>
      <c r="C117" s="1" t="s">
        <v>12</v>
      </c>
      <c r="D117" s="1" t="s">
        <v>234</v>
      </c>
      <c r="E117" s="4">
        <v>1006870.0</v>
      </c>
      <c r="F117" s="2">
        <v>2.0</v>
      </c>
      <c r="G117" s="2" t="s">
        <v>1</v>
      </c>
      <c r="H117" s="2" t="s">
        <v>14</v>
      </c>
      <c r="I117" s="5" t="str">
        <f>IFERROR(
  MID(
    SUBSTITUTE(B117, CHAR(10), ""),
    FIND("_Gross ROI=", SUBSTITUTE(B117, CHAR(10), "")) + LEN("_Gross ROI="),
    FIND("%", SUBSTITUTE(B117, CHAR(10), ""), FIND("_Gross ROI=", SUBSTITUTE(B117, CHAR(10), "")))
      - FIND("_Gross ROI=", SUBSTITUTE(B117, CHAR(10), "")) - LEN("_Gross ROI=") + 1
  ),
  ""
)</f>
        <v>5.8%</v>
      </c>
      <c r="J117" s="5" t="str">
        <f>IFERROR(
  MID(
    SUBSTITUTE(B117, CHAR(10), ""),
    FIND("_Median annual rent=", SUBSTITUTE(B117, CHAR(10), "")) + LEN("_Median annual rent="),
    FIND("K", SUBSTITUTE(B117, CHAR(10), ""), FIND("_Median annual rent=", SUBSTITUTE(B117, CHAR(10), "")))
      - FIND("_Median annual rent=", SUBSTITUTE(B117, CHAR(10), "")) - LEN("_Median annual rent=") + 1
  ),
  "")</f>
        <v>197.2K</v>
      </c>
    </row>
    <row r="118" ht="15.75" customHeight="1">
      <c r="A118" s="1" t="s">
        <v>242</v>
      </c>
      <c r="B118" s="1" t="s">
        <v>243</v>
      </c>
      <c r="C118" s="1" t="s">
        <v>12</v>
      </c>
      <c r="D118" s="1" t="s">
        <v>234</v>
      </c>
      <c r="E118" s="4">
        <v>1006870.0</v>
      </c>
      <c r="F118" s="2">
        <v>2.0</v>
      </c>
      <c r="G118" s="2" t="s">
        <v>1</v>
      </c>
      <c r="H118" s="2" t="s">
        <v>18</v>
      </c>
      <c r="I118" s="2" t="s">
        <v>15</v>
      </c>
      <c r="J118" s="2" t="s">
        <v>15</v>
      </c>
    </row>
    <row r="119" ht="15.75" customHeight="1">
      <c r="A119" s="1" t="s">
        <v>244</v>
      </c>
      <c r="B119" s="1" t="s">
        <v>201</v>
      </c>
      <c r="C119" s="1" t="s">
        <v>12</v>
      </c>
      <c r="D119" s="1" t="s">
        <v>234</v>
      </c>
      <c r="E119" s="4">
        <v>1006870.0</v>
      </c>
      <c r="F119" s="2">
        <v>2.0</v>
      </c>
      <c r="G119" s="2" t="s">
        <v>1</v>
      </c>
      <c r="H119" s="2" t="s">
        <v>53</v>
      </c>
      <c r="I119" s="2" t="s">
        <v>15</v>
      </c>
      <c r="J119" s="2" t="s">
        <v>15</v>
      </c>
    </row>
    <row r="120" ht="15.75" customHeight="1">
      <c r="A120" s="1" t="s">
        <v>245</v>
      </c>
      <c r="B120" s="1" t="s">
        <v>246</v>
      </c>
      <c r="C120" s="1" t="s">
        <v>12</v>
      </c>
      <c r="D120" s="1" t="s">
        <v>234</v>
      </c>
      <c r="E120" s="4">
        <v>1006870.0</v>
      </c>
      <c r="F120" s="2">
        <v>2.0</v>
      </c>
      <c r="G120" s="2" t="s">
        <v>1</v>
      </c>
      <c r="H120" s="2" t="s">
        <v>21</v>
      </c>
      <c r="I120" s="2" t="s">
        <v>15</v>
      </c>
      <c r="J120" s="2" t="s">
        <v>15</v>
      </c>
    </row>
    <row r="121" ht="15.75" customHeight="1">
      <c r="A121" s="1" t="s">
        <v>247</v>
      </c>
      <c r="B121" s="1" t="s">
        <v>248</v>
      </c>
      <c r="C121" s="1" t="s">
        <v>12</v>
      </c>
      <c r="D121" s="1" t="s">
        <v>234</v>
      </c>
      <c r="E121" s="4">
        <v>1006870.0</v>
      </c>
      <c r="F121" s="2">
        <v>3.0</v>
      </c>
      <c r="G121" s="2" t="s">
        <v>1</v>
      </c>
      <c r="H121" s="2" t="s">
        <v>14</v>
      </c>
      <c r="I121" s="5" t="str">
        <f>IFERROR(
  MID(
    SUBSTITUTE(B121, CHAR(10), ""),
    FIND("_Gross ROI=", SUBSTITUTE(B121, CHAR(10), "")) + LEN("_Gross ROI="),
    FIND("%", SUBSTITUTE(B121, CHAR(10), ""), FIND("_Gross ROI=", SUBSTITUTE(B121, CHAR(10), "")))
      - FIND("_Gross ROI=", SUBSTITUTE(B121, CHAR(10), "")) - LEN("_Gross ROI=") + 1
  ),
  ""
)</f>
        <v>5.58%</v>
      </c>
      <c r="J121" s="5" t="str">
        <f>IFERROR(
  MID(
    SUBSTITUTE(B121, CHAR(10), ""),
    FIND("_Median annual rent=", SUBSTITUTE(B121, CHAR(10), "")) + LEN("_Median annual rent="),
    FIND("K", SUBSTITUTE(B121, CHAR(10), ""), FIND("_Median annual rent=", SUBSTITUTE(B121, CHAR(10), "")))
      - FIND("_Median annual rent=", SUBSTITUTE(B121, CHAR(10), "")) - LEN("_Median annual rent=") + 1
  ),
  "")</f>
        <v>330K</v>
      </c>
    </row>
    <row r="122" ht="15.75" customHeight="1">
      <c r="A122" s="1" t="s">
        <v>249</v>
      </c>
      <c r="B122" s="1" t="s">
        <v>250</v>
      </c>
      <c r="C122" s="1" t="s">
        <v>12</v>
      </c>
      <c r="D122" s="1" t="s">
        <v>234</v>
      </c>
      <c r="E122" s="4">
        <v>1006870.0</v>
      </c>
      <c r="F122" s="2">
        <v>3.0</v>
      </c>
      <c r="G122" s="2" t="s">
        <v>1</v>
      </c>
      <c r="H122" s="2" t="s">
        <v>18</v>
      </c>
      <c r="I122" s="2" t="s">
        <v>15</v>
      </c>
      <c r="J122" s="2" t="s">
        <v>15</v>
      </c>
    </row>
    <row r="123" ht="15.75" customHeight="1">
      <c r="A123" s="1" t="s">
        <v>251</v>
      </c>
      <c r="B123" s="1" t="s">
        <v>209</v>
      </c>
      <c r="C123" s="1" t="s">
        <v>12</v>
      </c>
      <c r="D123" s="1" t="s">
        <v>234</v>
      </c>
      <c r="E123" s="4">
        <v>1006870.0</v>
      </c>
      <c r="F123" s="2">
        <v>3.0</v>
      </c>
      <c r="G123" s="2" t="s">
        <v>1</v>
      </c>
      <c r="H123" s="2" t="s">
        <v>53</v>
      </c>
      <c r="I123" s="2" t="s">
        <v>15</v>
      </c>
      <c r="J123" s="2" t="s">
        <v>15</v>
      </c>
    </row>
    <row r="124" ht="15.75" customHeight="1">
      <c r="A124" s="1" t="s">
        <v>252</v>
      </c>
      <c r="B124" s="1" t="s">
        <v>253</v>
      </c>
      <c r="C124" s="1" t="s">
        <v>12</v>
      </c>
      <c r="D124" s="1" t="s">
        <v>234</v>
      </c>
      <c r="E124" s="4">
        <v>1006870.0</v>
      </c>
      <c r="F124" s="2">
        <v>3.0</v>
      </c>
      <c r="G124" s="2" t="s">
        <v>1</v>
      </c>
      <c r="H124" s="2" t="s">
        <v>21</v>
      </c>
      <c r="I124" s="2" t="s">
        <v>15</v>
      </c>
      <c r="J124" s="2" t="s">
        <v>15</v>
      </c>
    </row>
    <row r="125" ht="15.75" customHeight="1">
      <c r="A125" s="1" t="s">
        <v>254</v>
      </c>
      <c r="B125" s="1" t="s">
        <v>255</v>
      </c>
      <c r="C125" s="1" t="s">
        <v>12</v>
      </c>
      <c r="D125" s="1" t="s">
        <v>234</v>
      </c>
      <c r="E125" s="4">
        <v>1006870.0</v>
      </c>
      <c r="F125" s="2">
        <v>4.0</v>
      </c>
      <c r="G125" s="2" t="s">
        <v>1</v>
      </c>
      <c r="H125" s="2" t="s">
        <v>14</v>
      </c>
      <c r="I125" s="2" t="s">
        <v>15</v>
      </c>
      <c r="J125" s="2" t="s">
        <v>15</v>
      </c>
    </row>
    <row r="126" ht="15.75" customHeight="1">
      <c r="A126" s="1" t="s">
        <v>256</v>
      </c>
      <c r="B126" s="1" t="s">
        <v>257</v>
      </c>
      <c r="C126" s="1" t="s">
        <v>12</v>
      </c>
      <c r="D126" s="1" t="s">
        <v>234</v>
      </c>
      <c r="E126" s="4">
        <v>1006870.0</v>
      </c>
      <c r="F126" s="2">
        <v>4.0</v>
      </c>
      <c r="G126" s="2" t="s">
        <v>1</v>
      </c>
      <c r="H126" s="2" t="s">
        <v>18</v>
      </c>
      <c r="I126" s="2" t="s">
        <v>15</v>
      </c>
      <c r="J126" s="2" t="s">
        <v>15</v>
      </c>
    </row>
    <row r="127" ht="15.75" customHeight="1">
      <c r="A127" s="1" t="s">
        <v>258</v>
      </c>
      <c r="B127" s="1" t="s">
        <v>213</v>
      </c>
      <c r="C127" s="1" t="s">
        <v>12</v>
      </c>
      <c r="D127" s="1" t="s">
        <v>234</v>
      </c>
      <c r="E127" s="4">
        <v>1006870.0</v>
      </c>
      <c r="F127" s="2">
        <v>4.0</v>
      </c>
      <c r="G127" s="2" t="s">
        <v>1</v>
      </c>
      <c r="H127" s="2" t="s">
        <v>53</v>
      </c>
      <c r="I127" s="2" t="s">
        <v>15</v>
      </c>
      <c r="J127" s="2" t="s">
        <v>15</v>
      </c>
    </row>
    <row r="128" ht="15.75" customHeight="1">
      <c r="A128" s="1" t="s">
        <v>259</v>
      </c>
      <c r="B128" s="1" t="s">
        <v>215</v>
      </c>
      <c r="C128" s="1" t="s">
        <v>12</v>
      </c>
      <c r="D128" s="1" t="s">
        <v>234</v>
      </c>
      <c r="E128" s="4">
        <v>1006870.0</v>
      </c>
      <c r="F128" s="2" t="s">
        <v>15</v>
      </c>
      <c r="G128" s="2" t="s">
        <v>1</v>
      </c>
      <c r="H128" s="2" t="s">
        <v>53</v>
      </c>
      <c r="I128" s="2" t="s">
        <v>15</v>
      </c>
      <c r="J128" s="2" t="s">
        <v>15</v>
      </c>
    </row>
    <row r="129" ht="15.75" customHeight="1">
      <c r="A129" s="1" t="s">
        <v>260</v>
      </c>
      <c r="B129" s="1" t="s">
        <v>217</v>
      </c>
      <c r="C129" s="1" t="s">
        <v>12</v>
      </c>
      <c r="D129" s="1" t="s">
        <v>234</v>
      </c>
      <c r="E129" s="4">
        <v>1006870.0</v>
      </c>
      <c r="F129" s="2" t="s">
        <v>30</v>
      </c>
      <c r="G129" s="2" t="s">
        <v>1</v>
      </c>
      <c r="H129" s="2" t="s">
        <v>53</v>
      </c>
      <c r="I129" s="2" t="s">
        <v>15</v>
      </c>
      <c r="J129" s="2" t="s">
        <v>15</v>
      </c>
    </row>
    <row r="130" ht="15.75" customHeight="1">
      <c r="A130" s="1" t="s">
        <v>261</v>
      </c>
      <c r="B130" s="1" t="s">
        <v>262</v>
      </c>
      <c r="C130" s="1" t="s">
        <v>12</v>
      </c>
      <c r="D130" s="1" t="s">
        <v>234</v>
      </c>
      <c r="E130" s="4">
        <v>1006870.0</v>
      </c>
      <c r="F130" s="2" t="s">
        <v>30</v>
      </c>
      <c r="G130" s="2" t="s">
        <v>1</v>
      </c>
      <c r="H130" s="2" t="s">
        <v>14</v>
      </c>
      <c r="I130" s="2" t="s">
        <v>15</v>
      </c>
      <c r="J130" s="2" t="s">
        <v>15</v>
      </c>
    </row>
    <row r="131" ht="15.75" customHeight="1">
      <c r="A131" s="1" t="s">
        <v>263</v>
      </c>
      <c r="B131" s="1" t="s">
        <v>264</v>
      </c>
      <c r="C131" s="1" t="s">
        <v>12</v>
      </c>
      <c r="D131" s="1" t="s">
        <v>234</v>
      </c>
      <c r="E131" s="4">
        <v>1006870.0</v>
      </c>
      <c r="F131" s="2" t="s">
        <v>15</v>
      </c>
      <c r="G131" s="2" t="s">
        <v>33</v>
      </c>
      <c r="H131" s="2" t="s">
        <v>15</v>
      </c>
      <c r="I131" s="2" t="s">
        <v>15</v>
      </c>
      <c r="J131" s="2" t="s">
        <v>15</v>
      </c>
    </row>
    <row r="132" ht="15.75" customHeight="1">
      <c r="A132" s="1" t="s">
        <v>265</v>
      </c>
      <c r="B132" s="1" t="s">
        <v>266</v>
      </c>
      <c r="C132" s="1" t="s">
        <v>12</v>
      </c>
      <c r="D132" s="1" t="s">
        <v>234</v>
      </c>
      <c r="E132" s="4">
        <v>1006870.0</v>
      </c>
      <c r="F132" s="2">
        <v>1.0</v>
      </c>
      <c r="G132" s="2" t="s">
        <v>1</v>
      </c>
      <c r="H132" s="2" t="s">
        <v>37</v>
      </c>
      <c r="I132" s="2" t="s">
        <v>15</v>
      </c>
      <c r="J132" s="2" t="s">
        <v>15</v>
      </c>
    </row>
    <row r="133" ht="15.75" customHeight="1">
      <c r="A133" s="1" t="s">
        <v>267</v>
      </c>
      <c r="B133" s="1" t="s">
        <v>268</v>
      </c>
      <c r="C133" s="1" t="s">
        <v>12</v>
      </c>
      <c r="D133" s="1" t="s">
        <v>234</v>
      </c>
      <c r="E133" s="4">
        <v>1006870.0</v>
      </c>
      <c r="F133" s="2">
        <v>2.0</v>
      </c>
      <c r="G133" s="2" t="s">
        <v>1</v>
      </c>
      <c r="H133" s="2" t="s">
        <v>37</v>
      </c>
      <c r="I133" s="2" t="s">
        <v>15</v>
      </c>
      <c r="J133" s="2" t="s">
        <v>15</v>
      </c>
    </row>
    <row r="134" ht="15.75" customHeight="1">
      <c r="A134" s="1" t="s">
        <v>269</v>
      </c>
      <c r="B134" s="1" t="s">
        <v>270</v>
      </c>
      <c r="C134" s="1" t="s">
        <v>12</v>
      </c>
      <c r="D134" s="1" t="s">
        <v>234</v>
      </c>
      <c r="E134" s="4">
        <v>1006870.0</v>
      </c>
      <c r="F134" s="2">
        <v>3.0</v>
      </c>
      <c r="G134" s="2" t="s">
        <v>1</v>
      </c>
      <c r="H134" s="2" t="s">
        <v>37</v>
      </c>
      <c r="I134" s="2" t="s">
        <v>15</v>
      </c>
      <c r="J134" s="2" t="s">
        <v>15</v>
      </c>
    </row>
    <row r="135" ht="15.75" customHeight="1">
      <c r="A135" s="1" t="s">
        <v>271</v>
      </c>
      <c r="B135" s="1" t="s">
        <v>272</v>
      </c>
      <c r="C135" s="1" t="s">
        <v>12</v>
      </c>
      <c r="D135" s="1" t="s">
        <v>234</v>
      </c>
      <c r="E135" s="4">
        <v>1006870.0</v>
      </c>
      <c r="F135" s="2" t="s">
        <v>30</v>
      </c>
      <c r="G135" s="2" t="s">
        <v>1</v>
      </c>
      <c r="H135" s="2" t="s">
        <v>37</v>
      </c>
      <c r="I135" s="2" t="s">
        <v>15</v>
      </c>
      <c r="J135" s="2" t="s">
        <v>15</v>
      </c>
    </row>
    <row r="136" ht="15.75" customHeight="1">
      <c r="A136" s="1" t="s">
        <v>273</v>
      </c>
      <c r="B136" s="1" t="s">
        <v>274</v>
      </c>
      <c r="C136" s="1" t="s">
        <v>12</v>
      </c>
      <c r="D136" s="1" t="s">
        <v>275</v>
      </c>
      <c r="E136" s="4">
        <v>1006934.0</v>
      </c>
      <c r="F136" s="2">
        <v>1.0</v>
      </c>
      <c r="G136" s="2" t="s">
        <v>1</v>
      </c>
      <c r="H136" s="2" t="s">
        <v>14</v>
      </c>
      <c r="I136" s="5" t="str">
        <f>IFERROR(
  MID(
    SUBSTITUTE(B136, CHAR(10), ""),
    FIND("_Gross ROI=", SUBSTITUTE(B136, CHAR(10), "")) + LEN("_Gross ROI="),
    FIND("%", SUBSTITUTE(B136, CHAR(10), ""), FIND("_Gross ROI=", SUBSTITUTE(B136, CHAR(10), "")))
      - FIND("_Gross ROI=", SUBSTITUTE(B136, CHAR(10), "")) - LEN("_Gross ROI=") + 1
  ),
  ""
)</f>
        <v>6.14%</v>
      </c>
      <c r="J136" s="5" t="str">
        <f>IFERROR(
  MID(
    SUBSTITUTE(B136, CHAR(10), ""),
    FIND("_Median annual rent=", SUBSTITUTE(B136, CHAR(10), "")) + LEN("_Median annual rent="),
    FIND("K", SUBSTITUTE(B136, CHAR(10), ""), FIND("_Median annual rent=", SUBSTITUTE(B136, CHAR(10), "")))
      - FIND("_Median annual rent=", SUBSTITUTE(B136, CHAR(10), "")) - LEN("_Median annual rent=") + 1
  ),
  "")</f>
        <v>130K</v>
      </c>
    </row>
    <row r="137" ht="15.75" customHeight="1">
      <c r="A137" s="1" t="s">
        <v>276</v>
      </c>
      <c r="B137" s="1" t="s">
        <v>277</v>
      </c>
      <c r="C137" s="1" t="s">
        <v>12</v>
      </c>
      <c r="D137" s="1" t="s">
        <v>275</v>
      </c>
      <c r="E137" s="4">
        <v>1006934.0</v>
      </c>
      <c r="F137" s="2">
        <v>1.0</v>
      </c>
      <c r="G137" s="2" t="s">
        <v>1</v>
      </c>
      <c r="H137" s="2" t="s">
        <v>18</v>
      </c>
      <c r="I137" s="2" t="s">
        <v>15</v>
      </c>
      <c r="J137" s="2" t="s">
        <v>15</v>
      </c>
    </row>
    <row r="138" ht="15.75" customHeight="1">
      <c r="A138" s="1" t="s">
        <v>278</v>
      </c>
      <c r="B138" s="1" t="s">
        <v>193</v>
      </c>
      <c r="C138" s="1" t="s">
        <v>12</v>
      </c>
      <c r="D138" s="1" t="s">
        <v>275</v>
      </c>
      <c r="E138" s="4">
        <v>1006934.0</v>
      </c>
      <c r="F138" s="2">
        <v>1.0</v>
      </c>
      <c r="G138" s="2" t="s">
        <v>1</v>
      </c>
      <c r="H138" s="2" t="s">
        <v>53</v>
      </c>
      <c r="I138" s="2" t="s">
        <v>15</v>
      </c>
      <c r="J138" s="2" t="s">
        <v>15</v>
      </c>
    </row>
    <row r="139" ht="15.75" customHeight="1">
      <c r="A139" s="1" t="s">
        <v>279</v>
      </c>
      <c r="B139" s="1" t="s">
        <v>280</v>
      </c>
      <c r="C139" s="1" t="s">
        <v>12</v>
      </c>
      <c r="D139" s="1" t="s">
        <v>275</v>
      </c>
      <c r="E139" s="4">
        <v>1006934.0</v>
      </c>
      <c r="F139" s="2">
        <v>1.0</v>
      </c>
      <c r="G139" s="2" t="s">
        <v>1</v>
      </c>
      <c r="H139" s="2" t="s">
        <v>21</v>
      </c>
      <c r="I139" s="2" t="s">
        <v>15</v>
      </c>
      <c r="J139" s="2" t="s">
        <v>15</v>
      </c>
    </row>
    <row r="140" ht="15.75" customHeight="1">
      <c r="A140" s="1" t="s">
        <v>281</v>
      </c>
      <c r="B140" s="1" t="s">
        <v>282</v>
      </c>
      <c r="C140" s="1" t="s">
        <v>12</v>
      </c>
      <c r="D140" s="1" t="s">
        <v>275</v>
      </c>
      <c r="E140" s="4">
        <v>1006934.0</v>
      </c>
      <c r="F140" s="2">
        <v>2.0</v>
      </c>
      <c r="G140" s="2" t="s">
        <v>1</v>
      </c>
      <c r="H140" s="2" t="s">
        <v>14</v>
      </c>
      <c r="I140" s="5" t="str">
        <f>IFERROR(
  MID(
    SUBSTITUTE(B140, CHAR(10), ""),
    FIND("_Gross ROI=", SUBSTITUTE(B140, CHAR(10), "")) + LEN("_Gross ROI="),
    FIND("%", SUBSTITUTE(B140, CHAR(10), ""), FIND("_Gross ROI=", SUBSTITUTE(B140, CHAR(10), "")))
      - FIND("_Gross ROI=", SUBSTITUTE(B140, CHAR(10), "")) - LEN("_Gross ROI=") + 1
  ),
  ""
)</f>
        <v>5.75%</v>
      </c>
      <c r="J140" s="5" t="str">
        <f>IFERROR(
  MID(
    SUBSTITUTE(B140, CHAR(10), ""),
    FIND("_Median annual rent=", SUBSTITUTE(B140, CHAR(10), "")) + LEN("_Median annual rent="),
    FIND("K", SUBSTITUTE(B140, CHAR(10), ""), FIND("_Median annual rent=", SUBSTITUTE(B140, CHAR(10), "")))
      - FIND("_Median annual rent=", SUBSTITUTE(B140, CHAR(10), "")) - LEN("_Median annual rent=") + 1
  ),
  "")</f>
        <v>197.2K</v>
      </c>
    </row>
    <row r="141" ht="15.75" customHeight="1">
      <c r="A141" s="1" t="s">
        <v>283</v>
      </c>
      <c r="B141" s="1" t="s">
        <v>284</v>
      </c>
      <c r="C141" s="1" t="s">
        <v>12</v>
      </c>
      <c r="D141" s="1" t="s">
        <v>275</v>
      </c>
      <c r="E141" s="4">
        <v>1006934.0</v>
      </c>
      <c r="F141" s="2">
        <v>2.0</v>
      </c>
      <c r="G141" s="2" t="s">
        <v>1</v>
      </c>
      <c r="H141" s="2" t="s">
        <v>18</v>
      </c>
      <c r="I141" s="2" t="s">
        <v>15</v>
      </c>
      <c r="J141" s="2" t="s">
        <v>15</v>
      </c>
    </row>
    <row r="142" ht="15.75" customHeight="1">
      <c r="A142" s="1" t="s">
        <v>285</v>
      </c>
      <c r="B142" s="1" t="s">
        <v>201</v>
      </c>
      <c r="C142" s="1" t="s">
        <v>12</v>
      </c>
      <c r="D142" s="1" t="s">
        <v>275</v>
      </c>
      <c r="E142" s="4">
        <v>1006934.0</v>
      </c>
      <c r="F142" s="2">
        <v>2.0</v>
      </c>
      <c r="G142" s="2" t="s">
        <v>1</v>
      </c>
      <c r="H142" s="2" t="s">
        <v>53</v>
      </c>
      <c r="I142" s="2" t="s">
        <v>15</v>
      </c>
      <c r="J142" s="2" t="s">
        <v>15</v>
      </c>
    </row>
    <row r="143" ht="15.75" customHeight="1">
      <c r="A143" s="1" t="s">
        <v>286</v>
      </c>
      <c r="B143" s="1" t="s">
        <v>287</v>
      </c>
      <c r="C143" s="1" t="s">
        <v>12</v>
      </c>
      <c r="D143" s="1" t="s">
        <v>275</v>
      </c>
      <c r="E143" s="4">
        <v>1006934.0</v>
      </c>
      <c r="F143" s="2">
        <v>2.0</v>
      </c>
      <c r="G143" s="2" t="s">
        <v>1</v>
      </c>
      <c r="H143" s="2" t="s">
        <v>21</v>
      </c>
      <c r="I143" s="2" t="s">
        <v>15</v>
      </c>
      <c r="J143" s="2" t="s">
        <v>15</v>
      </c>
    </row>
    <row r="144" ht="15.75" customHeight="1">
      <c r="A144" s="1" t="s">
        <v>288</v>
      </c>
      <c r="B144" s="1" t="s">
        <v>289</v>
      </c>
      <c r="C144" s="1" t="s">
        <v>12</v>
      </c>
      <c r="D144" s="1" t="s">
        <v>275</v>
      </c>
      <c r="E144" s="4">
        <v>1006934.0</v>
      </c>
      <c r="F144" s="2">
        <v>3.0</v>
      </c>
      <c r="G144" s="2" t="s">
        <v>1</v>
      </c>
      <c r="H144" s="2" t="s">
        <v>14</v>
      </c>
      <c r="I144" s="5" t="str">
        <f>IFERROR(
  MID(
    SUBSTITUTE(B144, CHAR(10), ""),
    FIND("_Gross ROI=", SUBSTITUTE(B144, CHAR(10), "")) + LEN("_Gross ROI="),
    FIND("%", SUBSTITUTE(B144, CHAR(10), ""), FIND("_Gross ROI=", SUBSTITUTE(B144, CHAR(10), "")))
      - FIND("_Gross ROI=", SUBSTITUTE(B144, CHAR(10), "")) - LEN("_Gross ROI=") + 1
  ),
  ""
)</f>
        <v>6.29%</v>
      </c>
      <c r="J144" s="5" t="str">
        <f>IFERROR(
  MID(
    SUBSTITUTE(B144, CHAR(10), ""),
    FIND("_Median annual rent=", SUBSTITUTE(B144, CHAR(10), "")) + LEN("_Median annual rent="),
    FIND("K", SUBSTITUTE(B144, CHAR(10), ""), FIND("_Median annual rent=", SUBSTITUTE(B144, CHAR(10), "")))
      - FIND("_Median annual rent=", SUBSTITUTE(B144, CHAR(10), "")) - LEN("_Median annual rent=") + 1
  ),
  "")</f>
        <v>330K</v>
      </c>
    </row>
    <row r="145" ht="15.75" customHeight="1">
      <c r="A145" s="1" t="s">
        <v>290</v>
      </c>
      <c r="B145" s="1" t="s">
        <v>291</v>
      </c>
      <c r="C145" s="1" t="s">
        <v>12</v>
      </c>
      <c r="D145" s="1" t="s">
        <v>275</v>
      </c>
      <c r="E145" s="4">
        <v>1006934.0</v>
      </c>
      <c r="F145" s="2">
        <v>3.0</v>
      </c>
      <c r="G145" s="2" t="s">
        <v>1</v>
      </c>
      <c r="H145" s="2" t="s">
        <v>18</v>
      </c>
      <c r="I145" s="2" t="s">
        <v>15</v>
      </c>
      <c r="J145" s="2" t="s">
        <v>15</v>
      </c>
    </row>
    <row r="146" ht="15.75" customHeight="1">
      <c r="A146" s="1" t="s">
        <v>292</v>
      </c>
      <c r="B146" s="1" t="s">
        <v>209</v>
      </c>
      <c r="C146" s="1" t="s">
        <v>12</v>
      </c>
      <c r="D146" s="1" t="s">
        <v>275</v>
      </c>
      <c r="E146" s="4">
        <v>1006934.0</v>
      </c>
      <c r="F146" s="2">
        <v>3.0</v>
      </c>
      <c r="G146" s="2" t="s">
        <v>1</v>
      </c>
      <c r="H146" s="2" t="s">
        <v>53</v>
      </c>
      <c r="I146" s="2" t="s">
        <v>15</v>
      </c>
      <c r="J146" s="2" t="s">
        <v>15</v>
      </c>
    </row>
    <row r="147" ht="15.75" customHeight="1">
      <c r="A147" s="1" t="s">
        <v>293</v>
      </c>
      <c r="B147" s="1" t="s">
        <v>294</v>
      </c>
      <c r="C147" s="1" t="s">
        <v>12</v>
      </c>
      <c r="D147" s="1" t="s">
        <v>275</v>
      </c>
      <c r="E147" s="4">
        <v>1006934.0</v>
      </c>
      <c r="F147" s="2">
        <v>3.0</v>
      </c>
      <c r="G147" s="2" t="s">
        <v>1</v>
      </c>
      <c r="H147" s="2" t="s">
        <v>21</v>
      </c>
      <c r="I147" s="2" t="s">
        <v>15</v>
      </c>
      <c r="J147" s="2" t="s">
        <v>15</v>
      </c>
    </row>
    <row r="148" ht="15.75" customHeight="1">
      <c r="A148" s="1" t="s">
        <v>295</v>
      </c>
      <c r="B148" s="1" t="s">
        <v>296</v>
      </c>
      <c r="C148" s="1" t="s">
        <v>12</v>
      </c>
      <c r="D148" s="1" t="s">
        <v>275</v>
      </c>
      <c r="E148" s="4">
        <v>1006934.0</v>
      </c>
      <c r="F148" s="2">
        <v>4.0</v>
      </c>
      <c r="G148" s="2" t="s">
        <v>1</v>
      </c>
      <c r="H148" s="2" t="s">
        <v>14</v>
      </c>
      <c r="I148" s="2" t="s">
        <v>15</v>
      </c>
      <c r="J148" s="2" t="s">
        <v>15</v>
      </c>
    </row>
    <row r="149" ht="15.75" customHeight="1">
      <c r="A149" s="1" t="s">
        <v>297</v>
      </c>
      <c r="B149" s="1" t="s">
        <v>298</v>
      </c>
      <c r="C149" s="1" t="s">
        <v>12</v>
      </c>
      <c r="D149" s="1" t="s">
        <v>275</v>
      </c>
      <c r="E149" s="4">
        <v>1006934.0</v>
      </c>
      <c r="F149" s="2">
        <v>4.0</v>
      </c>
      <c r="G149" s="2" t="s">
        <v>1</v>
      </c>
      <c r="H149" s="2" t="s">
        <v>18</v>
      </c>
      <c r="I149" s="2" t="s">
        <v>15</v>
      </c>
      <c r="J149" s="2" t="s">
        <v>15</v>
      </c>
    </row>
    <row r="150" ht="15.75" customHeight="1">
      <c r="A150" s="1" t="s">
        <v>299</v>
      </c>
      <c r="B150" s="1" t="s">
        <v>213</v>
      </c>
      <c r="C150" s="1" t="s">
        <v>12</v>
      </c>
      <c r="D150" s="1" t="s">
        <v>275</v>
      </c>
      <c r="E150" s="4">
        <v>1006934.0</v>
      </c>
      <c r="F150" s="2">
        <v>4.0</v>
      </c>
      <c r="G150" s="2" t="s">
        <v>1</v>
      </c>
      <c r="H150" s="2" t="s">
        <v>53</v>
      </c>
      <c r="I150" s="2" t="s">
        <v>15</v>
      </c>
      <c r="J150" s="2" t="s">
        <v>15</v>
      </c>
    </row>
    <row r="151" ht="15.75" customHeight="1">
      <c r="A151" s="1" t="s">
        <v>300</v>
      </c>
      <c r="B151" s="1" t="s">
        <v>301</v>
      </c>
      <c r="C151" s="1" t="s">
        <v>12</v>
      </c>
      <c r="D151" s="1" t="s">
        <v>275</v>
      </c>
      <c r="E151" s="4">
        <v>1006934.0</v>
      </c>
      <c r="F151" s="2">
        <v>4.0</v>
      </c>
      <c r="G151" s="2" t="s">
        <v>1</v>
      </c>
      <c r="H151" s="2" t="s">
        <v>21</v>
      </c>
      <c r="I151" s="2" t="s">
        <v>15</v>
      </c>
      <c r="J151" s="2" t="s">
        <v>15</v>
      </c>
    </row>
    <row r="152" ht="15.75" customHeight="1">
      <c r="A152" s="1" t="s">
        <v>302</v>
      </c>
      <c r="B152" s="1" t="s">
        <v>215</v>
      </c>
      <c r="C152" s="1" t="s">
        <v>12</v>
      </c>
      <c r="D152" s="1" t="s">
        <v>275</v>
      </c>
      <c r="E152" s="4">
        <v>1006934.0</v>
      </c>
      <c r="F152" s="2" t="s">
        <v>15</v>
      </c>
      <c r="G152" s="2" t="s">
        <v>1</v>
      </c>
      <c r="H152" s="2" t="s">
        <v>53</v>
      </c>
      <c r="I152" s="2" t="s">
        <v>15</v>
      </c>
      <c r="J152" s="2" t="s">
        <v>15</v>
      </c>
    </row>
    <row r="153" ht="15.75" customHeight="1">
      <c r="A153" s="1" t="s">
        <v>303</v>
      </c>
      <c r="B153" s="1" t="s">
        <v>217</v>
      </c>
      <c r="C153" s="1" t="s">
        <v>12</v>
      </c>
      <c r="D153" s="1" t="s">
        <v>275</v>
      </c>
      <c r="E153" s="4">
        <v>1006934.0</v>
      </c>
      <c r="F153" s="2" t="s">
        <v>30</v>
      </c>
      <c r="G153" s="2" t="s">
        <v>1</v>
      </c>
      <c r="H153" s="2" t="s">
        <v>53</v>
      </c>
      <c r="I153" s="2" t="s">
        <v>15</v>
      </c>
      <c r="J153" s="2" t="s">
        <v>15</v>
      </c>
    </row>
    <row r="154" ht="15.75" customHeight="1">
      <c r="A154" s="1" t="s">
        <v>304</v>
      </c>
      <c r="B154" s="1" t="s">
        <v>305</v>
      </c>
      <c r="C154" s="1" t="s">
        <v>12</v>
      </c>
      <c r="D154" s="1" t="s">
        <v>275</v>
      </c>
      <c r="E154" s="4">
        <v>1006934.0</v>
      </c>
      <c r="F154" s="2" t="s">
        <v>30</v>
      </c>
      <c r="G154" s="2" t="s">
        <v>1</v>
      </c>
      <c r="H154" s="2" t="s">
        <v>14</v>
      </c>
      <c r="I154" s="2" t="s">
        <v>15</v>
      </c>
      <c r="J154" s="2" t="s">
        <v>15</v>
      </c>
    </row>
    <row r="155" ht="15.75" customHeight="1">
      <c r="A155" s="1" t="s">
        <v>306</v>
      </c>
      <c r="B155" s="1" t="s">
        <v>307</v>
      </c>
      <c r="C155" s="1" t="s">
        <v>12</v>
      </c>
      <c r="D155" s="1" t="s">
        <v>275</v>
      </c>
      <c r="E155" s="4">
        <v>1006934.0</v>
      </c>
      <c r="F155" s="2" t="s">
        <v>15</v>
      </c>
      <c r="G155" s="2" t="s">
        <v>33</v>
      </c>
      <c r="H155" s="2" t="s">
        <v>15</v>
      </c>
      <c r="I155" s="2" t="s">
        <v>15</v>
      </c>
      <c r="J155" s="2" t="s">
        <v>15</v>
      </c>
    </row>
    <row r="156" ht="15.75" customHeight="1">
      <c r="A156" s="1" t="s">
        <v>308</v>
      </c>
      <c r="B156" s="1" t="s">
        <v>309</v>
      </c>
      <c r="C156" s="1" t="s">
        <v>12</v>
      </c>
      <c r="D156" s="1" t="s">
        <v>275</v>
      </c>
      <c r="E156" s="4">
        <v>1006934.0</v>
      </c>
      <c r="F156" s="2">
        <v>1.0</v>
      </c>
      <c r="G156" s="2" t="s">
        <v>1</v>
      </c>
      <c r="H156" s="2" t="s">
        <v>37</v>
      </c>
      <c r="I156" s="2" t="s">
        <v>15</v>
      </c>
      <c r="J156" s="2" t="s">
        <v>15</v>
      </c>
    </row>
    <row r="157" ht="15.75" customHeight="1">
      <c r="A157" s="1" t="s">
        <v>310</v>
      </c>
      <c r="B157" s="1" t="s">
        <v>311</v>
      </c>
      <c r="C157" s="1" t="s">
        <v>12</v>
      </c>
      <c r="D157" s="1" t="s">
        <v>275</v>
      </c>
      <c r="E157" s="4">
        <v>1006934.0</v>
      </c>
      <c r="F157" s="2">
        <v>2.0</v>
      </c>
      <c r="G157" s="2" t="s">
        <v>1</v>
      </c>
      <c r="H157" s="2" t="s">
        <v>37</v>
      </c>
      <c r="I157" s="2" t="s">
        <v>15</v>
      </c>
      <c r="J157" s="2" t="s">
        <v>15</v>
      </c>
    </row>
    <row r="158" ht="15.75" customHeight="1">
      <c r="A158" s="1" t="s">
        <v>312</v>
      </c>
      <c r="B158" s="1" t="s">
        <v>313</v>
      </c>
      <c r="C158" s="1" t="s">
        <v>12</v>
      </c>
      <c r="D158" s="1" t="s">
        <v>275</v>
      </c>
      <c r="E158" s="4">
        <v>1006934.0</v>
      </c>
      <c r="F158" s="2">
        <v>3.0</v>
      </c>
      <c r="G158" s="2" t="s">
        <v>1</v>
      </c>
      <c r="H158" s="2" t="s">
        <v>37</v>
      </c>
      <c r="I158" s="2" t="s">
        <v>15</v>
      </c>
      <c r="J158" s="2" t="s">
        <v>15</v>
      </c>
    </row>
    <row r="159" ht="15.75" customHeight="1">
      <c r="A159" s="1" t="s">
        <v>314</v>
      </c>
      <c r="B159" s="1" t="s">
        <v>315</v>
      </c>
      <c r="C159" s="1" t="s">
        <v>12</v>
      </c>
      <c r="D159" s="1" t="s">
        <v>275</v>
      </c>
      <c r="E159" s="4">
        <v>1006934.0</v>
      </c>
      <c r="F159" s="2">
        <v>4.0</v>
      </c>
      <c r="G159" s="2" t="s">
        <v>1</v>
      </c>
      <c r="H159" s="2" t="s">
        <v>37</v>
      </c>
      <c r="I159" s="2" t="s">
        <v>15</v>
      </c>
      <c r="J159" s="2" t="s">
        <v>15</v>
      </c>
    </row>
    <row r="160" ht="15.75" customHeight="1">
      <c r="A160" s="1" t="s">
        <v>316</v>
      </c>
      <c r="B160" s="1" t="s">
        <v>317</v>
      </c>
      <c r="C160" s="1" t="s">
        <v>12</v>
      </c>
      <c r="D160" s="1" t="s">
        <v>275</v>
      </c>
      <c r="E160" s="4">
        <v>1006934.0</v>
      </c>
      <c r="F160" s="2" t="s">
        <v>30</v>
      </c>
      <c r="G160" s="2" t="s">
        <v>1</v>
      </c>
      <c r="H160" s="2" t="s">
        <v>37</v>
      </c>
      <c r="I160" s="2" t="s">
        <v>15</v>
      </c>
      <c r="J160" s="2" t="s">
        <v>15</v>
      </c>
    </row>
    <row r="161" ht="15.75" customHeight="1">
      <c r="A161" s="1" t="s">
        <v>318</v>
      </c>
      <c r="B161" s="1" t="s">
        <v>319</v>
      </c>
      <c r="C161" s="1" t="s">
        <v>12</v>
      </c>
      <c r="D161" s="1" t="s">
        <v>320</v>
      </c>
      <c r="E161" s="4">
        <v>1006998.0</v>
      </c>
      <c r="F161" s="2">
        <v>4.0</v>
      </c>
      <c r="G161" s="2" t="s">
        <v>1</v>
      </c>
      <c r="H161" s="2" t="s">
        <v>14</v>
      </c>
      <c r="I161" s="2" t="s">
        <v>15</v>
      </c>
      <c r="J161" s="2" t="s">
        <v>15</v>
      </c>
    </row>
    <row r="162" ht="15.75" customHeight="1">
      <c r="A162" s="1" t="s">
        <v>321</v>
      </c>
      <c r="B162" s="1" t="s">
        <v>322</v>
      </c>
      <c r="C162" s="1" t="s">
        <v>12</v>
      </c>
      <c r="D162" s="1" t="s">
        <v>320</v>
      </c>
      <c r="E162" s="4">
        <v>1006998.0</v>
      </c>
      <c r="F162" s="2">
        <v>4.0</v>
      </c>
      <c r="G162" s="2" t="s">
        <v>1</v>
      </c>
      <c r="H162" s="2" t="s">
        <v>18</v>
      </c>
      <c r="I162" s="2" t="s">
        <v>15</v>
      </c>
      <c r="J162" s="2" t="s">
        <v>15</v>
      </c>
    </row>
    <row r="163" ht="15.75" customHeight="1">
      <c r="A163" s="1" t="s">
        <v>323</v>
      </c>
      <c r="B163" s="1" t="s">
        <v>324</v>
      </c>
      <c r="C163" s="1" t="s">
        <v>12</v>
      </c>
      <c r="D163" s="1" t="s">
        <v>320</v>
      </c>
      <c r="E163" s="4">
        <v>1006998.0</v>
      </c>
      <c r="F163" s="2">
        <v>4.0</v>
      </c>
      <c r="G163" s="2" t="s">
        <v>1</v>
      </c>
      <c r="H163" s="2" t="s">
        <v>21</v>
      </c>
      <c r="I163" s="2" t="s">
        <v>15</v>
      </c>
      <c r="J163" s="2" t="s">
        <v>15</v>
      </c>
    </row>
    <row r="164" ht="15.75" customHeight="1">
      <c r="A164" s="1" t="s">
        <v>325</v>
      </c>
      <c r="B164" s="1" t="s">
        <v>326</v>
      </c>
      <c r="C164" s="1" t="s">
        <v>12</v>
      </c>
      <c r="D164" s="1" t="s">
        <v>320</v>
      </c>
      <c r="E164" s="4">
        <v>1006998.0</v>
      </c>
      <c r="F164" s="2" t="s">
        <v>15</v>
      </c>
      <c r="G164" s="2" t="s">
        <v>33</v>
      </c>
      <c r="H164" s="2" t="s">
        <v>15</v>
      </c>
      <c r="I164" s="2" t="s">
        <v>15</v>
      </c>
      <c r="J164" s="2" t="s">
        <v>15</v>
      </c>
    </row>
    <row r="165" ht="15.75" customHeight="1">
      <c r="A165" s="1" t="s">
        <v>327</v>
      </c>
      <c r="B165" s="1" t="s">
        <v>328</v>
      </c>
      <c r="C165" s="1" t="s">
        <v>12</v>
      </c>
      <c r="D165" s="1" t="s">
        <v>320</v>
      </c>
      <c r="E165" s="4">
        <v>1006998.0</v>
      </c>
      <c r="F165" s="2">
        <v>3.0</v>
      </c>
      <c r="G165" s="2" t="s">
        <v>1</v>
      </c>
      <c r="H165" s="2" t="s">
        <v>37</v>
      </c>
      <c r="I165" s="2" t="s">
        <v>15</v>
      </c>
      <c r="J165" s="2" t="s">
        <v>15</v>
      </c>
    </row>
    <row r="166" ht="15.75" customHeight="1">
      <c r="A166" s="1" t="s">
        <v>329</v>
      </c>
      <c r="B166" s="1" t="s">
        <v>330</v>
      </c>
      <c r="C166" s="1" t="s">
        <v>12</v>
      </c>
      <c r="D166" s="1" t="s">
        <v>320</v>
      </c>
      <c r="E166" s="4">
        <v>1006998.0</v>
      </c>
      <c r="F166" s="2">
        <v>4.0</v>
      </c>
      <c r="G166" s="2" t="s">
        <v>1</v>
      </c>
      <c r="H166" s="2" t="s">
        <v>37</v>
      </c>
      <c r="I166" s="2" t="s">
        <v>15</v>
      </c>
      <c r="J166" s="2" t="s">
        <v>15</v>
      </c>
    </row>
    <row r="167" ht="15.75" customHeight="1">
      <c r="A167" s="1" t="s">
        <v>331</v>
      </c>
      <c r="B167" s="1" t="s">
        <v>332</v>
      </c>
      <c r="C167" s="1" t="s">
        <v>12</v>
      </c>
      <c r="D167" s="1" t="s">
        <v>320</v>
      </c>
      <c r="E167" s="4">
        <v>1006998.0</v>
      </c>
      <c r="F167" s="2">
        <v>5.0</v>
      </c>
      <c r="G167" s="2" t="s">
        <v>1</v>
      </c>
      <c r="H167" s="2" t="s">
        <v>37</v>
      </c>
      <c r="I167" s="2" t="s">
        <v>15</v>
      </c>
      <c r="J167" s="2" t="s">
        <v>15</v>
      </c>
    </row>
    <row r="168" ht="15.75" customHeight="1">
      <c r="A168" s="1" t="s">
        <v>333</v>
      </c>
      <c r="B168" s="1" t="s">
        <v>334</v>
      </c>
      <c r="C168" s="1" t="s">
        <v>12</v>
      </c>
      <c r="D168" s="1" t="s">
        <v>320</v>
      </c>
      <c r="E168" s="4">
        <v>1006998.0</v>
      </c>
      <c r="F168" s="2" t="s">
        <v>30</v>
      </c>
      <c r="G168" s="2" t="s">
        <v>1</v>
      </c>
      <c r="H168" s="2" t="s">
        <v>37</v>
      </c>
      <c r="I168" s="2" t="s">
        <v>15</v>
      </c>
      <c r="J168" s="2" t="s">
        <v>15</v>
      </c>
    </row>
    <row r="169" ht="15.75" customHeight="1">
      <c r="A169" s="1" t="s">
        <v>335</v>
      </c>
      <c r="B169" s="1" t="s">
        <v>336</v>
      </c>
      <c r="C169" s="1" t="s">
        <v>12</v>
      </c>
      <c r="D169" s="1" t="s">
        <v>337</v>
      </c>
      <c r="E169" s="4">
        <v>1007062.0</v>
      </c>
      <c r="F169" s="2">
        <v>1.0</v>
      </c>
      <c r="G169" s="2" t="s">
        <v>1</v>
      </c>
      <c r="H169" s="2" t="s">
        <v>14</v>
      </c>
      <c r="I169" s="2" t="s">
        <v>15</v>
      </c>
      <c r="J169" s="2" t="s">
        <v>15</v>
      </c>
    </row>
    <row r="170" ht="15.75" customHeight="1">
      <c r="A170" s="1" t="s">
        <v>338</v>
      </c>
      <c r="B170" s="1" t="s">
        <v>339</v>
      </c>
      <c r="C170" s="1" t="s">
        <v>12</v>
      </c>
      <c r="D170" s="1" t="s">
        <v>337</v>
      </c>
      <c r="E170" s="4">
        <v>1007062.0</v>
      </c>
      <c r="F170" s="2">
        <v>1.0</v>
      </c>
      <c r="G170" s="2" t="s">
        <v>1</v>
      </c>
      <c r="H170" s="2" t="s">
        <v>18</v>
      </c>
      <c r="I170" s="2" t="s">
        <v>15</v>
      </c>
      <c r="J170" s="2" t="s">
        <v>15</v>
      </c>
    </row>
    <row r="171" ht="15.75" customHeight="1">
      <c r="A171" s="1" t="s">
        <v>340</v>
      </c>
      <c r="B171" s="1" t="s">
        <v>341</v>
      </c>
      <c r="C171" s="1" t="s">
        <v>12</v>
      </c>
      <c r="D171" s="1" t="s">
        <v>337</v>
      </c>
      <c r="E171" s="4">
        <v>1007062.0</v>
      </c>
      <c r="F171" s="2">
        <v>2.0</v>
      </c>
      <c r="G171" s="2" t="s">
        <v>1</v>
      </c>
      <c r="H171" s="2" t="s">
        <v>14</v>
      </c>
      <c r="I171" s="2" t="s">
        <v>15</v>
      </c>
      <c r="J171" s="2" t="s">
        <v>15</v>
      </c>
    </row>
    <row r="172" ht="15.75" customHeight="1">
      <c r="A172" s="1" t="s">
        <v>342</v>
      </c>
      <c r="B172" s="1" t="s">
        <v>343</v>
      </c>
      <c r="C172" s="1" t="s">
        <v>12</v>
      </c>
      <c r="D172" s="1" t="s">
        <v>337</v>
      </c>
      <c r="E172" s="4">
        <v>1007062.0</v>
      </c>
      <c r="F172" s="2">
        <v>2.0</v>
      </c>
      <c r="G172" s="2" t="s">
        <v>1</v>
      </c>
      <c r="H172" s="2" t="s">
        <v>18</v>
      </c>
      <c r="I172" s="2" t="s">
        <v>15</v>
      </c>
      <c r="J172" s="2" t="s">
        <v>15</v>
      </c>
    </row>
    <row r="173" ht="15.75" customHeight="1">
      <c r="A173" s="1" t="s">
        <v>344</v>
      </c>
      <c r="B173" s="1" t="s">
        <v>345</v>
      </c>
      <c r="C173" s="1" t="s">
        <v>12</v>
      </c>
      <c r="D173" s="1" t="s">
        <v>337</v>
      </c>
      <c r="E173" s="4">
        <v>1007062.0</v>
      </c>
      <c r="F173" s="2">
        <v>3.0</v>
      </c>
      <c r="G173" s="2" t="s">
        <v>1</v>
      </c>
      <c r="H173" s="2" t="s">
        <v>14</v>
      </c>
      <c r="I173" s="2" t="s">
        <v>15</v>
      </c>
      <c r="J173" s="2" t="s">
        <v>15</v>
      </c>
    </row>
    <row r="174" ht="15.75" customHeight="1">
      <c r="A174" s="1" t="s">
        <v>346</v>
      </c>
      <c r="B174" s="1" t="s">
        <v>347</v>
      </c>
      <c r="C174" s="1" t="s">
        <v>12</v>
      </c>
      <c r="D174" s="1" t="s">
        <v>337</v>
      </c>
      <c r="E174" s="4">
        <v>1007062.0</v>
      </c>
      <c r="F174" s="2">
        <v>3.0</v>
      </c>
      <c r="G174" s="2" t="s">
        <v>1</v>
      </c>
      <c r="H174" s="2" t="s">
        <v>18</v>
      </c>
      <c r="I174" s="2" t="s">
        <v>15</v>
      </c>
      <c r="J174" s="2" t="s">
        <v>15</v>
      </c>
    </row>
    <row r="175" ht="15.75" customHeight="1">
      <c r="A175" s="1" t="s">
        <v>348</v>
      </c>
      <c r="B175" s="1" t="s">
        <v>349</v>
      </c>
      <c r="C175" s="1" t="s">
        <v>12</v>
      </c>
      <c r="D175" s="1" t="s">
        <v>337</v>
      </c>
      <c r="E175" s="4">
        <v>1007062.0</v>
      </c>
      <c r="F175" s="2" t="s">
        <v>30</v>
      </c>
      <c r="G175" s="2" t="s">
        <v>1</v>
      </c>
      <c r="H175" s="2" t="s">
        <v>14</v>
      </c>
      <c r="I175" s="2" t="s">
        <v>15</v>
      </c>
      <c r="J175" s="2" t="s">
        <v>15</v>
      </c>
    </row>
    <row r="176" ht="15.75" customHeight="1">
      <c r="A176" s="1" t="s">
        <v>350</v>
      </c>
      <c r="B176" s="1" t="s">
        <v>351</v>
      </c>
      <c r="C176" s="1" t="s">
        <v>12</v>
      </c>
      <c r="D176" s="1" t="s">
        <v>337</v>
      </c>
      <c r="E176" s="4">
        <v>1007062.0</v>
      </c>
      <c r="F176" s="2" t="s">
        <v>15</v>
      </c>
      <c r="G176" s="2" t="s">
        <v>33</v>
      </c>
      <c r="H176" s="2" t="s">
        <v>15</v>
      </c>
      <c r="I176" s="2" t="s">
        <v>15</v>
      </c>
      <c r="J176" s="2" t="s">
        <v>15</v>
      </c>
    </row>
    <row r="177" ht="15.75" customHeight="1">
      <c r="A177" s="1" t="s">
        <v>352</v>
      </c>
      <c r="B177" s="3" t="s">
        <v>353</v>
      </c>
      <c r="C177" s="1" t="s">
        <v>12</v>
      </c>
      <c r="D177" s="1" t="s">
        <v>354</v>
      </c>
      <c r="E177" s="4">
        <v>1007126.0</v>
      </c>
      <c r="F177" s="2" t="s">
        <v>36</v>
      </c>
      <c r="G177" s="2" t="s">
        <v>1</v>
      </c>
      <c r="H177" s="2" t="s">
        <v>14</v>
      </c>
      <c r="I177" s="5" t="str">
        <f>IFERROR(
  MID(
    SUBSTITUTE(B177, CHAR(10), ""),
    FIND("_Gross ROI=", SUBSTITUTE(B177, CHAR(10), "")) + LEN("_Gross ROI="),
    FIND("%", SUBSTITUTE(B177, CHAR(10), ""), FIND("_Gross ROI=", SUBSTITUTE(B177, CHAR(10), "")))
      - FIND("_Gross ROI=", SUBSTITUTE(B177, CHAR(10), "")) - LEN("_Gross ROI=") + 1
  ),
  ""
)</f>
        <v>7.33%</v>
      </c>
      <c r="J177" s="5" t="str">
        <f>IFERROR(
  MID(
    SUBSTITUTE(B177, CHAR(10), ""),
    FIND("_Median annual rent=", SUBSTITUTE(B177, CHAR(10), "")) + LEN("_Median annual rent="),
    FIND("K", SUBSTITUTE(B177, CHAR(10), ""), FIND("_Median annual rent=", SUBSTITUTE(B177, CHAR(10), "")))
      - FIND("_Median annual rent=", SUBSTITUTE(B177, CHAR(10), "")) - LEN("_Median annual rent=") + 1
  ),
  "")</f>
        <v>64.5K</v>
      </c>
    </row>
    <row r="178" ht="15.75" customHeight="1">
      <c r="A178" s="1" t="s">
        <v>355</v>
      </c>
      <c r="B178" s="1" t="s">
        <v>356</v>
      </c>
      <c r="C178" s="1" t="s">
        <v>12</v>
      </c>
      <c r="D178" s="1" t="s">
        <v>354</v>
      </c>
      <c r="E178" s="4">
        <v>1007126.0</v>
      </c>
      <c r="F178" s="2" t="s">
        <v>36</v>
      </c>
      <c r="G178" s="2" t="s">
        <v>1</v>
      </c>
      <c r="H178" s="2" t="s">
        <v>18</v>
      </c>
      <c r="I178" s="2" t="s">
        <v>15</v>
      </c>
      <c r="J178" s="2" t="s">
        <v>15</v>
      </c>
    </row>
    <row r="179" ht="15.75" customHeight="1">
      <c r="A179" s="1" t="s">
        <v>357</v>
      </c>
      <c r="B179" s="1" t="s">
        <v>358</v>
      </c>
      <c r="C179" s="1" t="s">
        <v>12</v>
      </c>
      <c r="D179" s="1" t="s">
        <v>354</v>
      </c>
      <c r="E179" s="4">
        <v>1007126.0</v>
      </c>
      <c r="F179" s="2" t="s">
        <v>36</v>
      </c>
      <c r="G179" s="2" t="s">
        <v>1</v>
      </c>
      <c r="H179" s="2" t="s">
        <v>53</v>
      </c>
      <c r="I179" s="2" t="s">
        <v>15</v>
      </c>
      <c r="J179" s="2" t="s">
        <v>15</v>
      </c>
    </row>
    <row r="180" ht="15.75" customHeight="1">
      <c r="A180" s="1" t="s">
        <v>359</v>
      </c>
      <c r="B180" s="1" t="s">
        <v>360</v>
      </c>
      <c r="C180" s="1" t="s">
        <v>12</v>
      </c>
      <c r="D180" s="1" t="s">
        <v>354</v>
      </c>
      <c r="E180" s="4">
        <v>1007126.0</v>
      </c>
      <c r="F180" s="2">
        <v>1.0</v>
      </c>
      <c r="G180" s="2" t="s">
        <v>1</v>
      </c>
      <c r="H180" s="2" t="s">
        <v>14</v>
      </c>
      <c r="I180" s="5" t="str">
        <f>IFERROR(
  MID(
    SUBSTITUTE(B180, CHAR(10), ""),
    FIND("_Gross ROI=", SUBSTITUTE(B180, CHAR(10), "")) + LEN("_Gross ROI="),
    FIND("%", SUBSTITUTE(B180, CHAR(10), ""), FIND("_Gross ROI=", SUBSTITUTE(B180, CHAR(10), "")))
      - FIND("_Gross ROI=", SUBSTITUTE(B180, CHAR(10), "")) - LEN("_Gross ROI=") + 1
  ),
  ""
)</f>
        <v>7.62%</v>
      </c>
      <c r="J180" s="5" t="str">
        <f>IFERROR(
  MID(
    SUBSTITUTE(B180, CHAR(10), ""),
    FIND("_Median annual rent=", SUBSTITUTE(B180, CHAR(10), "")) + LEN("_Median annual rent="),
    FIND("K", SUBSTITUTE(B180, CHAR(10), ""), FIND("_Median annual rent=", SUBSTITUTE(B180, CHAR(10), "")))
      - FIND("_Median annual rent=", SUBSTITUTE(B180, CHAR(10), "")) - LEN("_Median annual rent=") + 1
  ),
  "")</f>
        <v>90K</v>
      </c>
    </row>
    <row r="181" ht="15.75" customHeight="1">
      <c r="A181" s="1" t="s">
        <v>361</v>
      </c>
      <c r="B181" s="1" t="s">
        <v>362</v>
      </c>
      <c r="C181" s="1" t="s">
        <v>12</v>
      </c>
      <c r="D181" s="1" t="s">
        <v>354</v>
      </c>
      <c r="E181" s="4">
        <v>1007126.0</v>
      </c>
      <c r="F181" s="2">
        <v>1.0</v>
      </c>
      <c r="G181" s="2" t="s">
        <v>1</v>
      </c>
      <c r="H181" s="2" t="s">
        <v>18</v>
      </c>
      <c r="I181" s="2" t="s">
        <v>15</v>
      </c>
      <c r="J181" s="2" t="s">
        <v>15</v>
      </c>
    </row>
    <row r="182" ht="15.75" customHeight="1">
      <c r="A182" s="1" t="s">
        <v>363</v>
      </c>
      <c r="B182" s="1" t="s">
        <v>364</v>
      </c>
      <c r="C182" s="1" t="s">
        <v>12</v>
      </c>
      <c r="D182" s="1" t="s">
        <v>354</v>
      </c>
      <c r="E182" s="4">
        <v>1007126.0</v>
      </c>
      <c r="F182" s="2">
        <v>1.0</v>
      </c>
      <c r="G182" s="2" t="s">
        <v>1</v>
      </c>
      <c r="H182" s="2" t="s">
        <v>53</v>
      </c>
      <c r="I182" s="2" t="s">
        <v>15</v>
      </c>
      <c r="J182" s="2" t="s">
        <v>15</v>
      </c>
    </row>
    <row r="183" ht="15.75" customHeight="1">
      <c r="A183" s="1" t="s">
        <v>365</v>
      </c>
      <c r="B183" s="1" t="s">
        <v>366</v>
      </c>
      <c r="C183" s="1" t="s">
        <v>12</v>
      </c>
      <c r="D183" s="1" t="s">
        <v>354</v>
      </c>
      <c r="E183" s="4">
        <v>1007126.0</v>
      </c>
      <c r="F183" s="2">
        <v>1.0</v>
      </c>
      <c r="G183" s="2" t="s">
        <v>1</v>
      </c>
      <c r="H183" s="2" t="s">
        <v>21</v>
      </c>
      <c r="I183" s="2" t="s">
        <v>15</v>
      </c>
      <c r="J183" s="2" t="s">
        <v>15</v>
      </c>
    </row>
    <row r="184" ht="15.75" customHeight="1">
      <c r="A184" s="1" t="s">
        <v>367</v>
      </c>
      <c r="B184" s="1" t="s">
        <v>368</v>
      </c>
      <c r="C184" s="1" t="s">
        <v>12</v>
      </c>
      <c r="D184" s="1" t="s">
        <v>354</v>
      </c>
      <c r="E184" s="4">
        <v>1007126.0</v>
      </c>
      <c r="F184" s="2">
        <v>2.0</v>
      </c>
      <c r="G184" s="2" t="s">
        <v>1</v>
      </c>
      <c r="H184" s="2" t="s">
        <v>14</v>
      </c>
      <c r="I184" s="5" t="str">
        <f>IFERROR(
  MID(
    SUBSTITUTE(B184, CHAR(10), ""),
    FIND("_Gross ROI=", SUBSTITUTE(B184, CHAR(10), "")) + LEN("_Gross ROI="),
    FIND("%", SUBSTITUTE(B184, CHAR(10), ""), FIND("_Gross ROI=", SUBSTITUTE(B184, CHAR(10), "")))
      - FIND("_Gross ROI=", SUBSTITUTE(B184, CHAR(10), "")) - LEN("_Gross ROI=") + 1
  ),
  ""
)</f>
        <v>8%</v>
      </c>
      <c r="J184" s="5" t="str">
        <f>IFERROR(
  MID(
    SUBSTITUTE(B184, CHAR(10), ""),
    FIND("_Median annual rent=", SUBSTITUTE(B184, CHAR(10), "")) + LEN("_Median annual rent="),
    FIND("K", SUBSTITUTE(B184, CHAR(10), ""), FIND("_Median annual rent=", SUBSTITUTE(B184, CHAR(10), "")))
      - FIND("_Median annual rent=", SUBSTITUTE(B184, CHAR(10), "")) - LEN("_Median annual rent=") + 1
  ),
  "")</f>
        <v>147.5K</v>
      </c>
    </row>
    <row r="185" ht="15.75" customHeight="1">
      <c r="A185" s="1" t="s">
        <v>369</v>
      </c>
      <c r="B185" s="1" t="s">
        <v>370</v>
      </c>
      <c r="C185" s="1" t="s">
        <v>12</v>
      </c>
      <c r="D185" s="1" t="s">
        <v>354</v>
      </c>
      <c r="E185" s="4">
        <v>1007126.0</v>
      </c>
      <c r="F185" s="2">
        <v>2.0</v>
      </c>
      <c r="G185" s="2" t="s">
        <v>1</v>
      </c>
      <c r="H185" s="2" t="s">
        <v>18</v>
      </c>
      <c r="I185" s="2" t="s">
        <v>15</v>
      </c>
      <c r="J185" s="2" t="s">
        <v>15</v>
      </c>
    </row>
    <row r="186" ht="15.75" customHeight="1">
      <c r="A186" s="1" t="s">
        <v>371</v>
      </c>
      <c r="B186" s="1" t="s">
        <v>372</v>
      </c>
      <c r="C186" s="1" t="s">
        <v>12</v>
      </c>
      <c r="D186" s="1" t="s">
        <v>354</v>
      </c>
      <c r="E186" s="4">
        <v>1007126.0</v>
      </c>
      <c r="F186" s="2">
        <v>2.0</v>
      </c>
      <c r="G186" s="2" t="s">
        <v>1</v>
      </c>
      <c r="H186" s="2" t="s">
        <v>53</v>
      </c>
      <c r="I186" s="2" t="s">
        <v>15</v>
      </c>
      <c r="J186" s="2" t="s">
        <v>15</v>
      </c>
    </row>
    <row r="187" ht="15.75" customHeight="1">
      <c r="A187" s="1" t="s">
        <v>373</v>
      </c>
      <c r="B187" s="1" t="s">
        <v>374</v>
      </c>
      <c r="C187" s="1" t="s">
        <v>12</v>
      </c>
      <c r="D187" s="1" t="s">
        <v>354</v>
      </c>
      <c r="E187" s="4">
        <v>1007126.0</v>
      </c>
      <c r="F187" s="2">
        <v>3.0</v>
      </c>
      <c r="G187" s="2" t="s">
        <v>1</v>
      </c>
      <c r="H187" s="2" t="s">
        <v>14</v>
      </c>
      <c r="I187" s="2" t="s">
        <v>15</v>
      </c>
      <c r="J187" s="2" t="s">
        <v>15</v>
      </c>
    </row>
    <row r="188" ht="15.75" customHeight="1">
      <c r="A188" s="1" t="s">
        <v>375</v>
      </c>
      <c r="B188" s="1" t="s">
        <v>376</v>
      </c>
      <c r="C188" s="1" t="s">
        <v>12</v>
      </c>
      <c r="D188" s="1" t="s">
        <v>354</v>
      </c>
      <c r="E188" s="4">
        <v>1007126.0</v>
      </c>
      <c r="F188" s="2">
        <v>3.0</v>
      </c>
      <c r="G188" s="2" t="s">
        <v>1</v>
      </c>
      <c r="H188" s="2" t="s">
        <v>18</v>
      </c>
      <c r="I188" s="2" t="s">
        <v>15</v>
      </c>
      <c r="J188" s="2" t="s">
        <v>15</v>
      </c>
    </row>
    <row r="189" ht="15.75" customHeight="1">
      <c r="A189" s="1" t="s">
        <v>377</v>
      </c>
      <c r="B189" s="1" t="s">
        <v>378</v>
      </c>
      <c r="C189" s="1" t="s">
        <v>12</v>
      </c>
      <c r="D189" s="1" t="s">
        <v>354</v>
      </c>
      <c r="E189" s="4">
        <v>1007126.0</v>
      </c>
      <c r="F189" s="2">
        <v>3.0</v>
      </c>
      <c r="G189" s="2" t="s">
        <v>1</v>
      </c>
      <c r="H189" s="2" t="s">
        <v>53</v>
      </c>
      <c r="I189" s="2" t="s">
        <v>15</v>
      </c>
      <c r="J189" s="2" t="s">
        <v>15</v>
      </c>
    </row>
    <row r="190" ht="15.75" customHeight="1">
      <c r="A190" s="1" t="s">
        <v>379</v>
      </c>
      <c r="B190" s="1" t="s">
        <v>380</v>
      </c>
      <c r="C190" s="1" t="s">
        <v>12</v>
      </c>
      <c r="D190" s="1" t="s">
        <v>354</v>
      </c>
      <c r="E190" s="4">
        <v>1007126.0</v>
      </c>
      <c r="F190" s="2" t="s">
        <v>381</v>
      </c>
      <c r="G190" s="2" t="s">
        <v>1</v>
      </c>
      <c r="H190" s="2" t="s">
        <v>14</v>
      </c>
      <c r="I190" s="2" t="s">
        <v>15</v>
      </c>
      <c r="J190" s="2" t="s">
        <v>15</v>
      </c>
    </row>
    <row r="191" ht="15.75" customHeight="1">
      <c r="A191" s="1" t="s">
        <v>382</v>
      </c>
      <c r="B191" s="1" t="s">
        <v>383</v>
      </c>
      <c r="C191" s="1" t="s">
        <v>12</v>
      </c>
      <c r="D191" s="1" t="s">
        <v>354</v>
      </c>
      <c r="E191" s="4">
        <v>1007126.0</v>
      </c>
      <c r="F191" s="2" t="s">
        <v>381</v>
      </c>
      <c r="G191" s="2" t="s">
        <v>1</v>
      </c>
      <c r="H191" s="2" t="s">
        <v>18</v>
      </c>
      <c r="I191" s="2" t="s">
        <v>15</v>
      </c>
      <c r="J191" s="2" t="s">
        <v>15</v>
      </c>
    </row>
    <row r="192" ht="15.75" customHeight="1">
      <c r="A192" s="1" t="s">
        <v>384</v>
      </c>
      <c r="B192" s="1" t="s">
        <v>385</v>
      </c>
      <c r="C192" s="1" t="s">
        <v>12</v>
      </c>
      <c r="D192" s="1" t="s">
        <v>354</v>
      </c>
      <c r="E192" s="4">
        <v>1007126.0</v>
      </c>
      <c r="F192" s="2" t="s">
        <v>381</v>
      </c>
      <c r="G192" s="2" t="s">
        <v>1</v>
      </c>
      <c r="H192" s="2" t="s">
        <v>53</v>
      </c>
      <c r="I192" s="2" t="s">
        <v>15</v>
      </c>
      <c r="J192" s="2" t="s">
        <v>15</v>
      </c>
    </row>
    <row r="193" ht="15.75" customHeight="1">
      <c r="A193" s="1" t="s">
        <v>386</v>
      </c>
      <c r="B193" s="1" t="s">
        <v>387</v>
      </c>
      <c r="C193" s="1" t="s">
        <v>12</v>
      </c>
      <c r="D193" s="1" t="s">
        <v>354</v>
      </c>
      <c r="E193" s="4">
        <v>1007126.0</v>
      </c>
      <c r="F193" s="2" t="s">
        <v>30</v>
      </c>
      <c r="G193" s="2" t="s">
        <v>1</v>
      </c>
      <c r="H193" s="2" t="s">
        <v>53</v>
      </c>
      <c r="I193" s="2" t="s">
        <v>15</v>
      </c>
      <c r="J193" s="2" t="s">
        <v>15</v>
      </c>
    </row>
    <row r="194" ht="15.75" customHeight="1">
      <c r="A194" s="1" t="s">
        <v>388</v>
      </c>
      <c r="B194" s="1" t="s">
        <v>389</v>
      </c>
      <c r="C194" s="1" t="s">
        <v>12</v>
      </c>
      <c r="D194" s="1" t="s">
        <v>354</v>
      </c>
      <c r="E194" s="4">
        <v>1007126.0</v>
      </c>
      <c r="F194" s="2" t="s">
        <v>30</v>
      </c>
      <c r="G194" s="2" t="s">
        <v>1</v>
      </c>
      <c r="H194" s="2" t="s">
        <v>14</v>
      </c>
      <c r="I194" s="2" t="s">
        <v>15</v>
      </c>
      <c r="J194" s="2" t="s">
        <v>15</v>
      </c>
    </row>
    <row r="195" ht="15.75" customHeight="1">
      <c r="A195" s="1" t="s">
        <v>390</v>
      </c>
      <c r="B195" s="1" t="s">
        <v>391</v>
      </c>
      <c r="C195" s="1" t="s">
        <v>12</v>
      </c>
      <c r="D195" s="1" t="s">
        <v>354</v>
      </c>
      <c r="E195" s="4">
        <v>1007126.0</v>
      </c>
      <c r="F195" s="2" t="s">
        <v>15</v>
      </c>
      <c r="G195" s="2" t="s">
        <v>33</v>
      </c>
      <c r="H195" s="2" t="s">
        <v>15</v>
      </c>
      <c r="I195" s="2" t="s">
        <v>15</v>
      </c>
      <c r="J195" s="2" t="s">
        <v>15</v>
      </c>
    </row>
    <row r="196" ht="15.75" customHeight="1">
      <c r="A196" s="1" t="s">
        <v>392</v>
      </c>
      <c r="B196" s="1" t="s">
        <v>393</v>
      </c>
      <c r="C196" s="1" t="s">
        <v>12</v>
      </c>
      <c r="D196" s="1" t="s">
        <v>354</v>
      </c>
      <c r="E196" s="4">
        <v>1007126.0</v>
      </c>
      <c r="F196" s="2">
        <v>1.0</v>
      </c>
      <c r="G196" s="2" t="s">
        <v>1</v>
      </c>
      <c r="H196" s="2" t="s">
        <v>37</v>
      </c>
      <c r="I196" s="2" t="s">
        <v>15</v>
      </c>
      <c r="J196" s="2" t="s">
        <v>15</v>
      </c>
    </row>
    <row r="197" ht="15.75" customHeight="1">
      <c r="A197" s="1" t="s">
        <v>394</v>
      </c>
      <c r="B197" s="1" t="s">
        <v>395</v>
      </c>
      <c r="C197" s="1" t="s">
        <v>12</v>
      </c>
      <c r="D197" s="1" t="s">
        <v>354</v>
      </c>
      <c r="E197" s="4">
        <v>1007126.0</v>
      </c>
      <c r="F197" s="2" t="s">
        <v>30</v>
      </c>
      <c r="G197" s="2" t="s">
        <v>1</v>
      </c>
      <c r="H197" s="2" t="s">
        <v>37</v>
      </c>
      <c r="I197" s="2" t="s">
        <v>15</v>
      </c>
      <c r="J197" s="2" t="s">
        <v>15</v>
      </c>
    </row>
    <row r="198" ht="15.75" customHeight="1">
      <c r="A198" s="1" t="s">
        <v>396</v>
      </c>
      <c r="B198" s="1" t="s">
        <v>397</v>
      </c>
      <c r="C198" s="1" t="s">
        <v>12</v>
      </c>
      <c r="D198" s="1" t="s">
        <v>398</v>
      </c>
      <c r="E198" s="4">
        <v>1007190.0</v>
      </c>
      <c r="F198" s="2" t="s">
        <v>399</v>
      </c>
      <c r="G198" s="2" t="s">
        <v>1</v>
      </c>
      <c r="H198" s="2" t="s">
        <v>14</v>
      </c>
      <c r="I198" s="2" t="s">
        <v>15</v>
      </c>
      <c r="J198" s="2" t="s">
        <v>15</v>
      </c>
    </row>
    <row r="199" ht="15.75" customHeight="1">
      <c r="A199" s="1" t="s">
        <v>400</v>
      </c>
      <c r="B199" s="1" t="s">
        <v>401</v>
      </c>
      <c r="C199" s="1" t="s">
        <v>12</v>
      </c>
      <c r="D199" s="1" t="s">
        <v>398</v>
      </c>
      <c r="E199" s="4">
        <v>1007190.0</v>
      </c>
      <c r="F199" s="2" t="s">
        <v>399</v>
      </c>
      <c r="G199" s="2" t="s">
        <v>1</v>
      </c>
      <c r="H199" s="2" t="s">
        <v>18</v>
      </c>
      <c r="I199" s="2" t="s">
        <v>15</v>
      </c>
      <c r="J199" s="2" t="s">
        <v>15</v>
      </c>
    </row>
    <row r="200" ht="15.75" customHeight="1">
      <c r="A200" s="1" t="s">
        <v>402</v>
      </c>
      <c r="B200" s="1" t="s">
        <v>403</v>
      </c>
      <c r="C200" s="1" t="s">
        <v>12</v>
      </c>
      <c r="D200" s="1" t="s">
        <v>398</v>
      </c>
      <c r="E200" s="4">
        <v>1007190.0</v>
      </c>
      <c r="F200" s="2" t="s">
        <v>15</v>
      </c>
      <c r="G200" s="2" t="s">
        <v>33</v>
      </c>
      <c r="H200" s="2" t="s">
        <v>15</v>
      </c>
      <c r="I200" s="2" t="s">
        <v>15</v>
      </c>
      <c r="J200" s="2" t="s">
        <v>15</v>
      </c>
    </row>
    <row r="201" ht="15.75" customHeight="1">
      <c r="A201" s="1" t="s">
        <v>404</v>
      </c>
      <c r="B201" s="1" t="s">
        <v>405</v>
      </c>
      <c r="C201" s="1" t="s">
        <v>12</v>
      </c>
      <c r="D201" s="1" t="s">
        <v>406</v>
      </c>
      <c r="E201" s="4">
        <v>1007254.0</v>
      </c>
      <c r="F201" s="2">
        <v>1.0</v>
      </c>
      <c r="G201" s="2" t="s">
        <v>1</v>
      </c>
      <c r="H201" s="2" t="s">
        <v>14</v>
      </c>
      <c r="I201" s="2" t="s">
        <v>15</v>
      </c>
      <c r="J201" s="2" t="s">
        <v>15</v>
      </c>
    </row>
    <row r="202" ht="15.75" customHeight="1">
      <c r="A202" s="1" t="s">
        <v>407</v>
      </c>
      <c r="B202" s="1" t="s">
        <v>408</v>
      </c>
      <c r="C202" s="1" t="s">
        <v>12</v>
      </c>
      <c r="D202" s="1" t="s">
        <v>406</v>
      </c>
      <c r="E202" s="4">
        <v>1007254.0</v>
      </c>
      <c r="F202" s="2">
        <v>1.0</v>
      </c>
      <c r="G202" s="2" t="s">
        <v>1</v>
      </c>
      <c r="H202" s="2" t="s">
        <v>18</v>
      </c>
      <c r="I202" s="2" t="s">
        <v>15</v>
      </c>
      <c r="J202" s="2" t="s">
        <v>15</v>
      </c>
    </row>
    <row r="203" ht="15.75" customHeight="1">
      <c r="A203" s="1" t="s">
        <v>409</v>
      </c>
      <c r="B203" s="1" t="s">
        <v>410</v>
      </c>
      <c r="C203" s="1" t="s">
        <v>12</v>
      </c>
      <c r="D203" s="1" t="s">
        <v>406</v>
      </c>
      <c r="E203" s="4">
        <v>1007254.0</v>
      </c>
      <c r="F203" s="2">
        <v>2.0</v>
      </c>
      <c r="G203" s="2" t="s">
        <v>1</v>
      </c>
      <c r="H203" s="2" t="s">
        <v>14</v>
      </c>
      <c r="I203" s="2" t="s">
        <v>15</v>
      </c>
      <c r="J203" s="2" t="s">
        <v>15</v>
      </c>
    </row>
    <row r="204" ht="15.75" customHeight="1">
      <c r="A204" s="1" t="s">
        <v>411</v>
      </c>
      <c r="B204" s="1" t="s">
        <v>412</v>
      </c>
      <c r="C204" s="1" t="s">
        <v>12</v>
      </c>
      <c r="D204" s="1" t="s">
        <v>406</v>
      </c>
      <c r="E204" s="4">
        <v>1007254.0</v>
      </c>
      <c r="F204" s="2">
        <v>2.0</v>
      </c>
      <c r="G204" s="2" t="s">
        <v>1</v>
      </c>
      <c r="H204" s="2" t="s">
        <v>18</v>
      </c>
      <c r="I204" s="2" t="s">
        <v>15</v>
      </c>
      <c r="J204" s="2" t="s">
        <v>15</v>
      </c>
    </row>
    <row r="205" ht="15.75" customHeight="1">
      <c r="A205" s="1" t="s">
        <v>413</v>
      </c>
      <c r="B205" s="1" t="s">
        <v>414</v>
      </c>
      <c r="C205" s="1" t="s">
        <v>12</v>
      </c>
      <c r="D205" s="1" t="s">
        <v>406</v>
      </c>
      <c r="E205" s="4">
        <v>1007254.0</v>
      </c>
      <c r="F205" s="2">
        <v>3.0</v>
      </c>
      <c r="G205" s="2" t="s">
        <v>1</v>
      </c>
      <c r="H205" s="2" t="s">
        <v>14</v>
      </c>
      <c r="I205" s="2" t="s">
        <v>15</v>
      </c>
      <c r="J205" s="2" t="s">
        <v>15</v>
      </c>
    </row>
    <row r="206" ht="15.75" customHeight="1">
      <c r="A206" s="1" t="s">
        <v>415</v>
      </c>
      <c r="B206" s="1" t="s">
        <v>416</v>
      </c>
      <c r="C206" s="1" t="s">
        <v>12</v>
      </c>
      <c r="D206" s="1" t="s">
        <v>406</v>
      </c>
      <c r="E206" s="4">
        <v>1007254.0</v>
      </c>
      <c r="F206" s="2">
        <v>3.0</v>
      </c>
      <c r="G206" s="2" t="s">
        <v>1</v>
      </c>
      <c r="H206" s="2" t="s">
        <v>18</v>
      </c>
      <c r="I206" s="2" t="s">
        <v>15</v>
      </c>
      <c r="J206" s="2" t="s">
        <v>15</v>
      </c>
    </row>
    <row r="207" ht="15.75" customHeight="1">
      <c r="A207" s="1" t="s">
        <v>417</v>
      </c>
      <c r="B207" s="1" t="s">
        <v>418</v>
      </c>
      <c r="C207" s="1" t="s">
        <v>12</v>
      </c>
      <c r="D207" s="1" t="s">
        <v>406</v>
      </c>
      <c r="E207" s="4">
        <v>1007254.0</v>
      </c>
      <c r="F207" s="2" t="s">
        <v>30</v>
      </c>
      <c r="G207" s="2" t="s">
        <v>1</v>
      </c>
      <c r="H207" s="2" t="s">
        <v>14</v>
      </c>
      <c r="I207" s="2" t="s">
        <v>15</v>
      </c>
      <c r="J207" s="2" t="s">
        <v>15</v>
      </c>
    </row>
    <row r="208" ht="15.75" customHeight="1">
      <c r="A208" s="1" t="s">
        <v>419</v>
      </c>
      <c r="B208" s="1" t="s">
        <v>420</v>
      </c>
      <c r="C208" s="1" t="s">
        <v>12</v>
      </c>
      <c r="D208" s="1" t="s">
        <v>406</v>
      </c>
      <c r="E208" s="4">
        <v>1007254.0</v>
      </c>
      <c r="F208" s="2" t="s">
        <v>15</v>
      </c>
      <c r="G208" s="2" t="s">
        <v>33</v>
      </c>
      <c r="H208" s="2" t="s">
        <v>15</v>
      </c>
      <c r="I208" s="2" t="s">
        <v>15</v>
      </c>
      <c r="J208" s="2" t="s">
        <v>15</v>
      </c>
    </row>
    <row r="209" ht="15.75" customHeight="1">
      <c r="A209" s="1" t="s">
        <v>421</v>
      </c>
      <c r="B209" s="1" t="s">
        <v>422</v>
      </c>
      <c r="C209" s="1" t="s">
        <v>12</v>
      </c>
      <c r="D209" s="1" t="s">
        <v>423</v>
      </c>
      <c r="E209" s="4">
        <v>1007318.0</v>
      </c>
      <c r="F209" s="2">
        <v>1.0</v>
      </c>
      <c r="G209" s="2" t="s">
        <v>1</v>
      </c>
      <c r="H209" s="2" t="s">
        <v>14</v>
      </c>
      <c r="I209" s="2" t="s">
        <v>15</v>
      </c>
      <c r="J209" s="2" t="s">
        <v>15</v>
      </c>
    </row>
    <row r="210" ht="15.75" customHeight="1">
      <c r="A210" s="1" t="s">
        <v>424</v>
      </c>
      <c r="B210" s="1" t="s">
        <v>425</v>
      </c>
      <c r="C210" s="1" t="s">
        <v>12</v>
      </c>
      <c r="D210" s="1" t="s">
        <v>423</v>
      </c>
      <c r="E210" s="4">
        <v>1007318.0</v>
      </c>
      <c r="F210" s="2">
        <v>1.0</v>
      </c>
      <c r="G210" s="2" t="s">
        <v>1</v>
      </c>
      <c r="H210" s="2" t="s">
        <v>18</v>
      </c>
      <c r="I210" s="2" t="s">
        <v>15</v>
      </c>
      <c r="J210" s="2" t="s">
        <v>15</v>
      </c>
    </row>
    <row r="211" ht="15.75" customHeight="1">
      <c r="A211" s="1" t="s">
        <v>426</v>
      </c>
      <c r="B211" s="1" t="s">
        <v>427</v>
      </c>
      <c r="C211" s="1" t="s">
        <v>12</v>
      </c>
      <c r="D211" s="1" t="s">
        <v>423</v>
      </c>
      <c r="E211" s="4">
        <v>1007318.0</v>
      </c>
      <c r="F211" s="2">
        <v>2.0</v>
      </c>
      <c r="G211" s="2" t="s">
        <v>1</v>
      </c>
      <c r="H211" s="2" t="s">
        <v>14</v>
      </c>
      <c r="I211" s="2" t="s">
        <v>15</v>
      </c>
      <c r="J211" s="2" t="s">
        <v>15</v>
      </c>
    </row>
    <row r="212" ht="15.75" customHeight="1">
      <c r="A212" s="1" t="s">
        <v>428</v>
      </c>
      <c r="B212" s="1" t="s">
        <v>429</v>
      </c>
      <c r="C212" s="1" t="s">
        <v>12</v>
      </c>
      <c r="D212" s="1" t="s">
        <v>423</v>
      </c>
      <c r="E212" s="4">
        <v>1007318.0</v>
      </c>
      <c r="F212" s="2">
        <v>2.0</v>
      </c>
      <c r="G212" s="2" t="s">
        <v>1</v>
      </c>
      <c r="H212" s="2" t="s">
        <v>18</v>
      </c>
      <c r="I212" s="2" t="s">
        <v>15</v>
      </c>
      <c r="J212" s="2" t="s">
        <v>15</v>
      </c>
    </row>
    <row r="213" ht="15.75" customHeight="1">
      <c r="A213" s="1" t="s">
        <v>430</v>
      </c>
      <c r="B213" s="1" t="s">
        <v>431</v>
      </c>
      <c r="C213" s="1" t="s">
        <v>12</v>
      </c>
      <c r="D213" s="1" t="s">
        <v>423</v>
      </c>
      <c r="E213" s="4">
        <v>1007318.0</v>
      </c>
      <c r="F213" s="2" t="s">
        <v>30</v>
      </c>
      <c r="G213" s="2" t="s">
        <v>1</v>
      </c>
      <c r="H213" s="2" t="s">
        <v>14</v>
      </c>
      <c r="I213" s="2" t="s">
        <v>15</v>
      </c>
      <c r="J213" s="2" t="s">
        <v>15</v>
      </c>
    </row>
    <row r="214" ht="15.75" customHeight="1">
      <c r="A214" s="1" t="s">
        <v>432</v>
      </c>
      <c r="B214" s="1" t="s">
        <v>433</v>
      </c>
      <c r="C214" s="1" t="s">
        <v>12</v>
      </c>
      <c r="D214" s="1" t="s">
        <v>423</v>
      </c>
      <c r="E214" s="4">
        <v>1007318.0</v>
      </c>
      <c r="F214" s="2" t="s">
        <v>15</v>
      </c>
      <c r="G214" s="2" t="s">
        <v>33</v>
      </c>
      <c r="H214" s="2" t="s">
        <v>15</v>
      </c>
      <c r="I214" s="2" t="s">
        <v>15</v>
      </c>
      <c r="J214" s="2" t="s">
        <v>15</v>
      </c>
    </row>
    <row r="215" ht="15.75" customHeight="1">
      <c r="A215" s="1" t="s">
        <v>434</v>
      </c>
      <c r="B215" s="1" t="s">
        <v>435</v>
      </c>
      <c r="C215" s="1" t="s">
        <v>12</v>
      </c>
      <c r="D215" s="1" t="s">
        <v>436</v>
      </c>
      <c r="E215" s="4">
        <v>1007382.0</v>
      </c>
      <c r="F215" s="2">
        <v>1.0</v>
      </c>
      <c r="G215" s="2" t="s">
        <v>1</v>
      </c>
      <c r="H215" s="2" t="s">
        <v>14</v>
      </c>
      <c r="I215" s="2" t="s">
        <v>15</v>
      </c>
      <c r="J215" s="2" t="s">
        <v>15</v>
      </c>
    </row>
    <row r="216" ht="15.75" customHeight="1">
      <c r="A216" s="1" t="s">
        <v>437</v>
      </c>
      <c r="B216" s="1" t="s">
        <v>438</v>
      </c>
      <c r="C216" s="1" t="s">
        <v>12</v>
      </c>
      <c r="D216" s="1" t="s">
        <v>436</v>
      </c>
      <c r="E216" s="4">
        <v>1007382.0</v>
      </c>
      <c r="F216" s="2">
        <v>1.0</v>
      </c>
      <c r="G216" s="2" t="s">
        <v>1</v>
      </c>
      <c r="H216" s="2" t="s">
        <v>18</v>
      </c>
      <c r="I216" s="2" t="s">
        <v>15</v>
      </c>
      <c r="J216" s="2" t="s">
        <v>15</v>
      </c>
    </row>
    <row r="217" ht="15.75" customHeight="1">
      <c r="A217" s="1" t="s">
        <v>439</v>
      </c>
      <c r="B217" s="1" t="s">
        <v>440</v>
      </c>
      <c r="C217" s="1" t="s">
        <v>12</v>
      </c>
      <c r="D217" s="1" t="s">
        <v>436</v>
      </c>
      <c r="E217" s="4">
        <v>1007382.0</v>
      </c>
      <c r="F217" s="2">
        <v>2.0</v>
      </c>
      <c r="G217" s="2" t="s">
        <v>1</v>
      </c>
      <c r="H217" s="2" t="s">
        <v>14</v>
      </c>
      <c r="I217" s="2" t="s">
        <v>15</v>
      </c>
      <c r="J217" s="2" t="s">
        <v>15</v>
      </c>
    </row>
    <row r="218" ht="15.75" customHeight="1">
      <c r="A218" s="1" t="s">
        <v>441</v>
      </c>
      <c r="B218" s="1" t="s">
        <v>442</v>
      </c>
      <c r="C218" s="1" t="s">
        <v>12</v>
      </c>
      <c r="D218" s="1" t="s">
        <v>436</v>
      </c>
      <c r="E218" s="4">
        <v>1007382.0</v>
      </c>
      <c r="F218" s="2">
        <v>2.0</v>
      </c>
      <c r="G218" s="2" t="s">
        <v>1</v>
      </c>
      <c r="H218" s="2" t="s">
        <v>18</v>
      </c>
      <c r="I218" s="2" t="s">
        <v>15</v>
      </c>
      <c r="J218" s="2" t="s">
        <v>15</v>
      </c>
    </row>
    <row r="219" ht="15.75" customHeight="1">
      <c r="A219" s="1" t="s">
        <v>443</v>
      </c>
      <c r="B219" s="1" t="s">
        <v>444</v>
      </c>
      <c r="C219" s="1" t="s">
        <v>12</v>
      </c>
      <c r="D219" s="1" t="s">
        <v>436</v>
      </c>
      <c r="E219" s="4">
        <v>1007382.0</v>
      </c>
      <c r="F219" s="2">
        <v>3.0</v>
      </c>
      <c r="G219" s="2" t="s">
        <v>1</v>
      </c>
      <c r="H219" s="2" t="s">
        <v>14</v>
      </c>
      <c r="I219" s="2" t="s">
        <v>15</v>
      </c>
      <c r="J219" s="2" t="s">
        <v>15</v>
      </c>
    </row>
    <row r="220" ht="15.75" customHeight="1">
      <c r="A220" s="1" t="s">
        <v>445</v>
      </c>
      <c r="B220" s="1" t="s">
        <v>446</v>
      </c>
      <c r="C220" s="1" t="s">
        <v>12</v>
      </c>
      <c r="D220" s="1" t="s">
        <v>436</v>
      </c>
      <c r="E220" s="4">
        <v>1007382.0</v>
      </c>
      <c r="F220" s="2">
        <v>3.0</v>
      </c>
      <c r="G220" s="2" t="s">
        <v>1</v>
      </c>
      <c r="H220" s="2" t="s">
        <v>18</v>
      </c>
      <c r="I220" s="2" t="s">
        <v>15</v>
      </c>
      <c r="J220" s="2" t="s">
        <v>15</v>
      </c>
    </row>
    <row r="221" ht="15.75" customHeight="1">
      <c r="A221" s="1" t="s">
        <v>447</v>
      </c>
      <c r="B221" s="1" t="s">
        <v>448</v>
      </c>
      <c r="C221" s="1" t="s">
        <v>12</v>
      </c>
      <c r="D221" s="1" t="s">
        <v>436</v>
      </c>
      <c r="E221" s="4">
        <v>1007382.0</v>
      </c>
      <c r="F221" s="2" t="s">
        <v>30</v>
      </c>
      <c r="G221" s="2" t="s">
        <v>1</v>
      </c>
      <c r="H221" s="2" t="s">
        <v>14</v>
      </c>
      <c r="I221" s="2" t="s">
        <v>15</v>
      </c>
      <c r="J221" s="2" t="s">
        <v>15</v>
      </c>
    </row>
    <row r="222" ht="15.75" customHeight="1">
      <c r="A222" s="1" t="s">
        <v>449</v>
      </c>
      <c r="B222" s="1" t="s">
        <v>450</v>
      </c>
      <c r="C222" s="1" t="s">
        <v>12</v>
      </c>
      <c r="D222" s="1" t="s">
        <v>436</v>
      </c>
      <c r="E222" s="4">
        <v>1007382.0</v>
      </c>
      <c r="F222" s="2" t="s">
        <v>15</v>
      </c>
      <c r="G222" s="2" t="s">
        <v>33</v>
      </c>
      <c r="H222" s="2" t="s">
        <v>15</v>
      </c>
      <c r="I222" s="2" t="s">
        <v>15</v>
      </c>
      <c r="J222" s="2" t="s">
        <v>15</v>
      </c>
    </row>
    <row r="223" ht="15.75" customHeight="1">
      <c r="A223" s="1" t="s">
        <v>451</v>
      </c>
      <c r="B223" s="1" t="s">
        <v>452</v>
      </c>
      <c r="C223" s="1" t="s">
        <v>12</v>
      </c>
      <c r="D223" s="1" t="s">
        <v>453</v>
      </c>
      <c r="E223" s="4">
        <v>1007446.0</v>
      </c>
      <c r="F223" s="2">
        <v>2.0</v>
      </c>
      <c r="G223" s="2" t="s">
        <v>1</v>
      </c>
      <c r="H223" s="2" t="s">
        <v>14</v>
      </c>
      <c r="I223" s="2" t="s">
        <v>15</v>
      </c>
      <c r="J223" s="2" t="s">
        <v>15</v>
      </c>
    </row>
    <row r="224" ht="15.75" customHeight="1">
      <c r="A224" s="1" t="s">
        <v>454</v>
      </c>
      <c r="B224" s="1" t="s">
        <v>455</v>
      </c>
      <c r="C224" s="1" t="s">
        <v>12</v>
      </c>
      <c r="D224" s="1" t="s">
        <v>453</v>
      </c>
      <c r="E224" s="4">
        <v>1007446.0</v>
      </c>
      <c r="F224" s="2">
        <v>2.0</v>
      </c>
      <c r="G224" s="2" t="s">
        <v>1</v>
      </c>
      <c r="H224" s="2" t="s">
        <v>18</v>
      </c>
      <c r="I224" s="2" t="s">
        <v>15</v>
      </c>
      <c r="J224" s="2" t="s">
        <v>15</v>
      </c>
    </row>
    <row r="225" ht="15.75" customHeight="1">
      <c r="A225" s="1" t="s">
        <v>456</v>
      </c>
      <c r="B225" s="1" t="s">
        <v>457</v>
      </c>
      <c r="C225" s="1" t="s">
        <v>12</v>
      </c>
      <c r="D225" s="1" t="s">
        <v>453</v>
      </c>
      <c r="E225" s="4">
        <v>1007446.0</v>
      </c>
      <c r="F225" s="2">
        <v>2.0</v>
      </c>
      <c r="G225" s="2" t="s">
        <v>1</v>
      </c>
      <c r="H225" s="2" t="s">
        <v>21</v>
      </c>
      <c r="I225" s="2" t="s">
        <v>15</v>
      </c>
      <c r="J225" s="2" t="s">
        <v>15</v>
      </c>
    </row>
    <row r="226" ht="15.75" customHeight="1">
      <c r="A226" s="1" t="s">
        <v>458</v>
      </c>
      <c r="B226" s="1" t="s">
        <v>459</v>
      </c>
      <c r="C226" s="1" t="s">
        <v>12</v>
      </c>
      <c r="D226" s="1" t="s">
        <v>453</v>
      </c>
      <c r="E226" s="4">
        <v>1007446.0</v>
      </c>
      <c r="F226" s="2">
        <v>3.0</v>
      </c>
      <c r="G226" s="2" t="s">
        <v>1</v>
      </c>
      <c r="H226" s="2" t="s">
        <v>14</v>
      </c>
      <c r="I226" s="2" t="s">
        <v>15</v>
      </c>
      <c r="J226" s="2" t="s">
        <v>15</v>
      </c>
    </row>
    <row r="227" ht="15.75" customHeight="1">
      <c r="A227" s="1" t="s">
        <v>460</v>
      </c>
      <c r="B227" s="1" t="s">
        <v>461</v>
      </c>
      <c r="C227" s="1" t="s">
        <v>12</v>
      </c>
      <c r="D227" s="1" t="s">
        <v>453</v>
      </c>
      <c r="E227" s="4">
        <v>1007446.0</v>
      </c>
      <c r="F227" s="2">
        <v>3.0</v>
      </c>
      <c r="G227" s="2" t="s">
        <v>1</v>
      </c>
      <c r="H227" s="2" t="s">
        <v>18</v>
      </c>
      <c r="I227" s="2" t="s">
        <v>15</v>
      </c>
      <c r="J227" s="2" t="s">
        <v>15</v>
      </c>
    </row>
    <row r="228" ht="15.75" customHeight="1">
      <c r="A228" s="1" t="s">
        <v>462</v>
      </c>
      <c r="B228" s="1" t="s">
        <v>463</v>
      </c>
      <c r="C228" s="1" t="s">
        <v>12</v>
      </c>
      <c r="D228" s="1" t="s">
        <v>453</v>
      </c>
      <c r="E228" s="4">
        <v>1007446.0</v>
      </c>
      <c r="F228" s="2">
        <v>3.0</v>
      </c>
      <c r="G228" s="2" t="s">
        <v>1</v>
      </c>
      <c r="H228" s="2" t="s">
        <v>21</v>
      </c>
      <c r="I228" s="2" t="s">
        <v>15</v>
      </c>
      <c r="J228" s="2" t="s">
        <v>15</v>
      </c>
    </row>
    <row r="229" ht="15.75" customHeight="1">
      <c r="A229" s="1" t="s">
        <v>464</v>
      </c>
      <c r="B229" s="1" t="s">
        <v>465</v>
      </c>
      <c r="C229" s="1" t="s">
        <v>12</v>
      </c>
      <c r="D229" s="1" t="s">
        <v>453</v>
      </c>
      <c r="E229" s="4">
        <v>1007446.0</v>
      </c>
      <c r="F229" s="2">
        <v>4.0</v>
      </c>
      <c r="G229" s="2" t="s">
        <v>1</v>
      </c>
      <c r="H229" s="2" t="s">
        <v>14</v>
      </c>
      <c r="I229" s="2" t="s">
        <v>15</v>
      </c>
      <c r="J229" s="2" t="s">
        <v>15</v>
      </c>
    </row>
    <row r="230" ht="15.75" customHeight="1">
      <c r="A230" s="1" t="s">
        <v>466</v>
      </c>
      <c r="B230" s="1" t="s">
        <v>467</v>
      </c>
      <c r="C230" s="1" t="s">
        <v>12</v>
      </c>
      <c r="D230" s="1" t="s">
        <v>453</v>
      </c>
      <c r="E230" s="4">
        <v>1007446.0</v>
      </c>
      <c r="F230" s="2">
        <v>4.0</v>
      </c>
      <c r="G230" s="2" t="s">
        <v>1</v>
      </c>
      <c r="H230" s="2" t="s">
        <v>18</v>
      </c>
      <c r="I230" s="2" t="s">
        <v>15</v>
      </c>
      <c r="J230" s="2" t="s">
        <v>15</v>
      </c>
    </row>
    <row r="231" ht="15.75" customHeight="1">
      <c r="A231" s="1" t="s">
        <v>468</v>
      </c>
      <c r="B231" s="1" t="s">
        <v>469</v>
      </c>
      <c r="C231" s="1" t="s">
        <v>12</v>
      </c>
      <c r="D231" s="1" t="s">
        <v>453</v>
      </c>
      <c r="E231" s="4">
        <v>1007446.0</v>
      </c>
      <c r="F231" s="2" t="s">
        <v>30</v>
      </c>
      <c r="G231" s="2" t="s">
        <v>1</v>
      </c>
      <c r="H231" s="2" t="s">
        <v>14</v>
      </c>
      <c r="I231" s="2" t="s">
        <v>15</v>
      </c>
      <c r="J231" s="2" t="s">
        <v>15</v>
      </c>
    </row>
    <row r="232" ht="15.75" customHeight="1">
      <c r="A232" s="1" t="s">
        <v>470</v>
      </c>
      <c r="B232" s="1" t="s">
        <v>471</v>
      </c>
      <c r="C232" s="1" t="s">
        <v>12</v>
      </c>
      <c r="D232" s="1" t="s">
        <v>453</v>
      </c>
      <c r="E232" s="4">
        <v>1007446.0</v>
      </c>
      <c r="F232" s="2" t="s">
        <v>15</v>
      </c>
      <c r="G232" s="2" t="s">
        <v>33</v>
      </c>
      <c r="H232" s="2" t="s">
        <v>15</v>
      </c>
      <c r="I232" s="2" t="s">
        <v>15</v>
      </c>
      <c r="J232" s="2" t="s">
        <v>15</v>
      </c>
    </row>
    <row r="233" ht="15.75" customHeight="1">
      <c r="A233" s="1" t="s">
        <v>472</v>
      </c>
      <c r="B233" s="1" t="s">
        <v>473</v>
      </c>
      <c r="C233" s="1" t="s">
        <v>12</v>
      </c>
      <c r="D233" s="1" t="s">
        <v>453</v>
      </c>
      <c r="E233" s="4">
        <v>1007446.0</v>
      </c>
      <c r="F233" s="2">
        <v>2.0</v>
      </c>
      <c r="G233" s="2" t="s">
        <v>1</v>
      </c>
      <c r="H233" s="2" t="s">
        <v>37</v>
      </c>
      <c r="I233" s="2" t="s">
        <v>15</v>
      </c>
      <c r="J233" s="2" t="s">
        <v>15</v>
      </c>
    </row>
    <row r="234" ht="15.75" customHeight="1">
      <c r="A234" s="1" t="s">
        <v>474</v>
      </c>
      <c r="B234" s="1" t="s">
        <v>475</v>
      </c>
      <c r="C234" s="1" t="s">
        <v>12</v>
      </c>
      <c r="D234" s="1" t="s">
        <v>453</v>
      </c>
      <c r="E234" s="4">
        <v>1007446.0</v>
      </c>
      <c r="F234" s="2">
        <v>3.0</v>
      </c>
      <c r="G234" s="2" t="s">
        <v>1</v>
      </c>
      <c r="H234" s="2" t="s">
        <v>37</v>
      </c>
      <c r="I234" s="2" t="s">
        <v>15</v>
      </c>
      <c r="J234" s="2" t="s">
        <v>15</v>
      </c>
    </row>
    <row r="235" ht="15.75" customHeight="1">
      <c r="A235" s="1" t="s">
        <v>476</v>
      </c>
      <c r="B235" s="1" t="s">
        <v>477</v>
      </c>
      <c r="C235" s="1" t="s">
        <v>12</v>
      </c>
      <c r="D235" s="1" t="s">
        <v>453</v>
      </c>
      <c r="E235" s="4">
        <v>1007446.0</v>
      </c>
      <c r="F235" s="2" t="s">
        <v>30</v>
      </c>
      <c r="G235" s="2" t="s">
        <v>1</v>
      </c>
      <c r="H235" s="2" t="s">
        <v>37</v>
      </c>
      <c r="I235" s="2" t="s">
        <v>15</v>
      </c>
      <c r="J235" s="2" t="s">
        <v>15</v>
      </c>
    </row>
    <row r="236" ht="15.75" customHeight="1">
      <c r="A236" s="1" t="s">
        <v>478</v>
      </c>
      <c r="B236" s="1" t="s">
        <v>479</v>
      </c>
      <c r="C236" s="1" t="s">
        <v>12</v>
      </c>
      <c r="D236" s="1" t="s">
        <v>480</v>
      </c>
      <c r="E236" s="4">
        <v>1007510.0</v>
      </c>
      <c r="F236" s="2">
        <v>3.0</v>
      </c>
      <c r="G236" s="2" t="s">
        <v>1</v>
      </c>
      <c r="H236" s="2" t="s">
        <v>14</v>
      </c>
      <c r="I236" s="2" t="s">
        <v>15</v>
      </c>
      <c r="J236" s="2" t="s">
        <v>15</v>
      </c>
    </row>
    <row r="237" ht="15.75" customHeight="1">
      <c r="A237" s="1" t="s">
        <v>481</v>
      </c>
      <c r="B237" s="1" t="s">
        <v>482</v>
      </c>
      <c r="C237" s="1" t="s">
        <v>12</v>
      </c>
      <c r="D237" s="1" t="s">
        <v>480</v>
      </c>
      <c r="E237" s="4">
        <v>1007510.0</v>
      </c>
      <c r="F237" s="2">
        <v>3.0</v>
      </c>
      <c r="G237" s="2" t="s">
        <v>1</v>
      </c>
      <c r="H237" s="2" t="s">
        <v>18</v>
      </c>
      <c r="I237" s="2" t="s">
        <v>15</v>
      </c>
      <c r="J237" s="2" t="s">
        <v>15</v>
      </c>
    </row>
    <row r="238" ht="15.75" customHeight="1">
      <c r="A238" s="1" t="s">
        <v>483</v>
      </c>
      <c r="B238" s="1" t="s">
        <v>484</v>
      </c>
      <c r="C238" s="1" t="s">
        <v>12</v>
      </c>
      <c r="D238" s="1" t="s">
        <v>480</v>
      </c>
      <c r="E238" s="4">
        <v>1007510.0</v>
      </c>
      <c r="F238" s="2">
        <v>3.0</v>
      </c>
      <c r="G238" s="2" t="s">
        <v>1</v>
      </c>
      <c r="H238" s="2" t="s">
        <v>21</v>
      </c>
      <c r="I238" s="2" t="s">
        <v>15</v>
      </c>
      <c r="J238" s="2" t="s">
        <v>15</v>
      </c>
    </row>
    <row r="239" ht="15.75" customHeight="1">
      <c r="A239" s="1" t="s">
        <v>485</v>
      </c>
      <c r="B239" s="1" t="s">
        <v>486</v>
      </c>
      <c r="C239" s="1" t="s">
        <v>12</v>
      </c>
      <c r="D239" s="1" t="s">
        <v>480</v>
      </c>
      <c r="E239" s="4">
        <v>1007510.0</v>
      </c>
      <c r="F239" s="2">
        <v>4.0</v>
      </c>
      <c r="G239" s="2" t="s">
        <v>1</v>
      </c>
      <c r="H239" s="2" t="s">
        <v>14</v>
      </c>
      <c r="I239" s="2" t="s">
        <v>15</v>
      </c>
      <c r="J239" s="2" t="s">
        <v>15</v>
      </c>
    </row>
    <row r="240" ht="15.75" customHeight="1">
      <c r="A240" s="1" t="s">
        <v>487</v>
      </c>
      <c r="B240" s="1" t="s">
        <v>488</v>
      </c>
      <c r="C240" s="1" t="s">
        <v>12</v>
      </c>
      <c r="D240" s="1" t="s">
        <v>480</v>
      </c>
      <c r="E240" s="4">
        <v>1007510.0</v>
      </c>
      <c r="F240" s="2">
        <v>4.0</v>
      </c>
      <c r="G240" s="2" t="s">
        <v>1</v>
      </c>
      <c r="H240" s="2" t="s">
        <v>18</v>
      </c>
      <c r="I240" s="2" t="s">
        <v>15</v>
      </c>
      <c r="J240" s="2" t="s">
        <v>15</v>
      </c>
    </row>
    <row r="241" ht="15.75" customHeight="1">
      <c r="A241" s="1" t="s">
        <v>489</v>
      </c>
      <c r="B241" s="1" t="s">
        <v>490</v>
      </c>
      <c r="C241" s="1" t="s">
        <v>12</v>
      </c>
      <c r="D241" s="1" t="s">
        <v>480</v>
      </c>
      <c r="E241" s="4">
        <v>1007510.0</v>
      </c>
      <c r="F241" s="2" t="s">
        <v>30</v>
      </c>
      <c r="G241" s="2" t="s">
        <v>1</v>
      </c>
      <c r="H241" s="2" t="s">
        <v>14</v>
      </c>
      <c r="I241" s="2" t="s">
        <v>15</v>
      </c>
      <c r="J241" s="2" t="s">
        <v>15</v>
      </c>
    </row>
    <row r="242" ht="15.75" customHeight="1">
      <c r="A242" s="1" t="s">
        <v>491</v>
      </c>
      <c r="B242" s="1" t="s">
        <v>492</v>
      </c>
      <c r="C242" s="1" t="s">
        <v>12</v>
      </c>
      <c r="D242" s="1" t="s">
        <v>480</v>
      </c>
      <c r="E242" s="4">
        <v>1007510.0</v>
      </c>
      <c r="F242" s="2" t="s">
        <v>15</v>
      </c>
      <c r="G242" s="2" t="s">
        <v>33</v>
      </c>
      <c r="H242" s="2" t="s">
        <v>15</v>
      </c>
      <c r="I242" s="2" t="s">
        <v>15</v>
      </c>
      <c r="J242" s="2" t="s">
        <v>15</v>
      </c>
    </row>
    <row r="243" ht="15.75" customHeight="1">
      <c r="A243" s="1" t="s">
        <v>493</v>
      </c>
      <c r="B243" s="1" t="s">
        <v>494</v>
      </c>
      <c r="C243" s="1" t="s">
        <v>12</v>
      </c>
      <c r="D243" s="1" t="s">
        <v>480</v>
      </c>
      <c r="E243" s="4">
        <v>1007510.0</v>
      </c>
      <c r="F243" s="2">
        <v>3.0</v>
      </c>
      <c r="G243" s="2" t="s">
        <v>1</v>
      </c>
      <c r="H243" s="2" t="s">
        <v>37</v>
      </c>
      <c r="I243" s="2" t="s">
        <v>15</v>
      </c>
      <c r="J243" s="2" t="s">
        <v>15</v>
      </c>
    </row>
    <row r="244" ht="15.75" customHeight="1">
      <c r="A244" s="1" t="s">
        <v>495</v>
      </c>
      <c r="B244" s="1" t="s">
        <v>496</v>
      </c>
      <c r="C244" s="1" t="s">
        <v>12</v>
      </c>
      <c r="D244" s="1" t="s">
        <v>480</v>
      </c>
      <c r="E244" s="4">
        <v>1007510.0</v>
      </c>
      <c r="F244" s="2" t="s">
        <v>30</v>
      </c>
      <c r="G244" s="2" t="s">
        <v>1</v>
      </c>
      <c r="H244" s="2" t="s">
        <v>37</v>
      </c>
      <c r="I244" s="2" t="s">
        <v>15</v>
      </c>
      <c r="J244" s="2" t="s">
        <v>15</v>
      </c>
    </row>
    <row r="245" ht="15.75" customHeight="1">
      <c r="A245" s="1" t="s">
        <v>497</v>
      </c>
      <c r="B245" s="1" t="s">
        <v>498</v>
      </c>
      <c r="C245" s="1" t="s">
        <v>12</v>
      </c>
      <c r="D245" s="1" t="s">
        <v>499</v>
      </c>
      <c r="E245" s="4">
        <v>1007574.0</v>
      </c>
      <c r="F245" s="2">
        <v>2.0</v>
      </c>
      <c r="G245" s="2" t="s">
        <v>1</v>
      </c>
      <c r="H245" s="2" t="s">
        <v>14</v>
      </c>
      <c r="I245" s="2" t="s">
        <v>15</v>
      </c>
      <c r="J245" s="2" t="s">
        <v>15</v>
      </c>
    </row>
    <row r="246" ht="15.75" customHeight="1">
      <c r="A246" s="1" t="s">
        <v>500</v>
      </c>
      <c r="B246" s="1" t="s">
        <v>501</v>
      </c>
      <c r="C246" s="1" t="s">
        <v>12</v>
      </c>
      <c r="D246" s="1" t="s">
        <v>499</v>
      </c>
      <c r="E246" s="4">
        <v>1007574.0</v>
      </c>
      <c r="F246" s="2">
        <v>2.0</v>
      </c>
      <c r="G246" s="2" t="s">
        <v>1</v>
      </c>
      <c r="H246" s="2" t="s">
        <v>18</v>
      </c>
      <c r="I246" s="2" t="s">
        <v>15</v>
      </c>
      <c r="J246" s="2" t="s">
        <v>15</v>
      </c>
    </row>
    <row r="247" ht="15.75" customHeight="1">
      <c r="A247" s="1" t="s">
        <v>502</v>
      </c>
      <c r="B247" s="1" t="s">
        <v>503</v>
      </c>
      <c r="C247" s="1" t="s">
        <v>12</v>
      </c>
      <c r="D247" s="1" t="s">
        <v>499</v>
      </c>
      <c r="E247" s="4">
        <v>1007574.0</v>
      </c>
      <c r="F247" s="2">
        <v>2.0</v>
      </c>
      <c r="G247" s="2" t="s">
        <v>1</v>
      </c>
      <c r="H247" s="2" t="s">
        <v>21</v>
      </c>
      <c r="I247" s="2" t="s">
        <v>15</v>
      </c>
      <c r="J247" s="2" t="s">
        <v>15</v>
      </c>
    </row>
    <row r="248" ht="15.75" customHeight="1">
      <c r="A248" s="1" t="s">
        <v>504</v>
      </c>
      <c r="B248" s="1" t="s">
        <v>505</v>
      </c>
      <c r="C248" s="1" t="s">
        <v>12</v>
      </c>
      <c r="D248" s="1" t="s">
        <v>499</v>
      </c>
      <c r="E248" s="4">
        <v>1007574.0</v>
      </c>
      <c r="F248" s="2">
        <v>3.0</v>
      </c>
      <c r="G248" s="2" t="s">
        <v>1</v>
      </c>
      <c r="H248" s="2" t="s">
        <v>14</v>
      </c>
      <c r="I248" s="2" t="s">
        <v>15</v>
      </c>
      <c r="J248" s="2" t="s">
        <v>15</v>
      </c>
    </row>
    <row r="249" ht="15.75" customHeight="1">
      <c r="A249" s="1" t="s">
        <v>506</v>
      </c>
      <c r="B249" s="1" t="s">
        <v>507</v>
      </c>
      <c r="C249" s="1" t="s">
        <v>12</v>
      </c>
      <c r="D249" s="1" t="s">
        <v>499</v>
      </c>
      <c r="E249" s="4">
        <v>1007574.0</v>
      </c>
      <c r="F249" s="2">
        <v>3.0</v>
      </c>
      <c r="G249" s="2" t="s">
        <v>1</v>
      </c>
      <c r="H249" s="2" t="s">
        <v>18</v>
      </c>
      <c r="I249" s="2" t="s">
        <v>15</v>
      </c>
      <c r="J249" s="2" t="s">
        <v>15</v>
      </c>
    </row>
    <row r="250" ht="15.75" customHeight="1">
      <c r="A250" s="1" t="s">
        <v>508</v>
      </c>
      <c r="B250" s="1" t="s">
        <v>509</v>
      </c>
      <c r="C250" s="1" t="s">
        <v>12</v>
      </c>
      <c r="D250" s="1" t="s">
        <v>499</v>
      </c>
      <c r="E250" s="4">
        <v>1007574.0</v>
      </c>
      <c r="F250" s="2">
        <v>3.0</v>
      </c>
      <c r="G250" s="2" t="s">
        <v>1</v>
      </c>
      <c r="H250" s="2" t="s">
        <v>21</v>
      </c>
      <c r="I250" s="2" t="s">
        <v>15</v>
      </c>
      <c r="J250" s="2" t="s">
        <v>15</v>
      </c>
    </row>
    <row r="251" ht="15.75" customHeight="1">
      <c r="A251" s="1" t="s">
        <v>510</v>
      </c>
      <c r="B251" s="1" t="s">
        <v>511</v>
      </c>
      <c r="C251" s="1" t="s">
        <v>12</v>
      </c>
      <c r="D251" s="1" t="s">
        <v>499</v>
      </c>
      <c r="E251" s="4">
        <v>1007574.0</v>
      </c>
      <c r="F251" s="2">
        <v>4.0</v>
      </c>
      <c r="G251" s="2" t="s">
        <v>1</v>
      </c>
      <c r="H251" s="2" t="s">
        <v>14</v>
      </c>
      <c r="I251" s="2" t="s">
        <v>15</v>
      </c>
      <c r="J251" s="2" t="s">
        <v>15</v>
      </c>
    </row>
    <row r="252" ht="15.75" customHeight="1">
      <c r="A252" s="1" t="s">
        <v>512</v>
      </c>
      <c r="B252" s="1" t="s">
        <v>513</v>
      </c>
      <c r="C252" s="1" t="s">
        <v>12</v>
      </c>
      <c r="D252" s="1" t="s">
        <v>499</v>
      </c>
      <c r="E252" s="4">
        <v>1007574.0</v>
      </c>
      <c r="F252" s="2">
        <v>4.0</v>
      </c>
      <c r="G252" s="2" t="s">
        <v>1</v>
      </c>
      <c r="H252" s="2" t="s">
        <v>18</v>
      </c>
      <c r="I252" s="2" t="s">
        <v>15</v>
      </c>
      <c r="J252" s="2" t="s">
        <v>15</v>
      </c>
    </row>
    <row r="253" ht="15.75" customHeight="1">
      <c r="A253" s="1" t="s">
        <v>514</v>
      </c>
      <c r="B253" s="1" t="s">
        <v>515</v>
      </c>
      <c r="C253" s="1" t="s">
        <v>12</v>
      </c>
      <c r="D253" s="1" t="s">
        <v>499</v>
      </c>
      <c r="E253" s="4">
        <v>1007574.0</v>
      </c>
      <c r="F253" s="2" t="s">
        <v>30</v>
      </c>
      <c r="G253" s="2" t="s">
        <v>1</v>
      </c>
      <c r="H253" s="2" t="s">
        <v>14</v>
      </c>
      <c r="I253" s="2" t="s">
        <v>15</v>
      </c>
      <c r="J253" s="2" t="s">
        <v>15</v>
      </c>
    </row>
    <row r="254" ht="15.75" customHeight="1">
      <c r="A254" s="1" t="s">
        <v>516</v>
      </c>
      <c r="B254" s="1" t="s">
        <v>517</v>
      </c>
      <c r="C254" s="1" t="s">
        <v>12</v>
      </c>
      <c r="D254" s="1" t="s">
        <v>499</v>
      </c>
      <c r="E254" s="4">
        <v>1007574.0</v>
      </c>
      <c r="F254" s="2" t="s">
        <v>15</v>
      </c>
      <c r="G254" s="2" t="s">
        <v>33</v>
      </c>
      <c r="H254" s="2" t="s">
        <v>15</v>
      </c>
      <c r="I254" s="2" t="s">
        <v>15</v>
      </c>
      <c r="J254" s="2" t="s">
        <v>15</v>
      </c>
    </row>
    <row r="255" ht="15.75" customHeight="1">
      <c r="A255" s="1" t="s">
        <v>518</v>
      </c>
      <c r="B255" s="1" t="s">
        <v>519</v>
      </c>
      <c r="C255" s="1" t="s">
        <v>12</v>
      </c>
      <c r="D255" s="1" t="s">
        <v>499</v>
      </c>
      <c r="E255" s="4">
        <v>1007574.0</v>
      </c>
      <c r="F255" s="2">
        <v>2.0</v>
      </c>
      <c r="G255" s="2" t="s">
        <v>1</v>
      </c>
      <c r="H255" s="2" t="s">
        <v>37</v>
      </c>
      <c r="I255" s="2" t="s">
        <v>15</v>
      </c>
      <c r="J255" s="2" t="s">
        <v>15</v>
      </c>
    </row>
    <row r="256" ht="15.75" customHeight="1">
      <c r="A256" s="1" t="s">
        <v>520</v>
      </c>
      <c r="B256" s="1" t="s">
        <v>521</v>
      </c>
      <c r="C256" s="1" t="s">
        <v>12</v>
      </c>
      <c r="D256" s="1" t="s">
        <v>499</v>
      </c>
      <c r="E256" s="4">
        <v>1007574.0</v>
      </c>
      <c r="F256" s="2">
        <v>3.0</v>
      </c>
      <c r="G256" s="2" t="s">
        <v>1</v>
      </c>
      <c r="H256" s="2" t="s">
        <v>37</v>
      </c>
      <c r="I256" s="2" t="s">
        <v>15</v>
      </c>
      <c r="J256" s="2" t="s">
        <v>15</v>
      </c>
    </row>
    <row r="257" ht="15.75" customHeight="1">
      <c r="A257" s="1" t="s">
        <v>522</v>
      </c>
      <c r="B257" s="1" t="s">
        <v>523</v>
      </c>
      <c r="C257" s="1" t="s">
        <v>12</v>
      </c>
      <c r="D257" s="1" t="s">
        <v>499</v>
      </c>
      <c r="E257" s="4">
        <v>1007574.0</v>
      </c>
      <c r="F257" s="2" t="s">
        <v>30</v>
      </c>
      <c r="G257" s="2" t="s">
        <v>1</v>
      </c>
      <c r="H257" s="2" t="s">
        <v>37</v>
      </c>
      <c r="I257" s="2" t="s">
        <v>15</v>
      </c>
      <c r="J257" s="2" t="s">
        <v>15</v>
      </c>
    </row>
    <row r="258" ht="15.75" customHeight="1">
      <c r="A258" s="1" t="s">
        <v>524</v>
      </c>
      <c r="B258" s="3" t="s">
        <v>525</v>
      </c>
      <c r="C258" s="1" t="s">
        <v>12</v>
      </c>
      <c r="D258" s="1" t="s">
        <v>526</v>
      </c>
      <c r="E258" s="4">
        <v>1007638.0</v>
      </c>
      <c r="F258" s="2">
        <v>1.0</v>
      </c>
      <c r="G258" s="2" t="s">
        <v>1</v>
      </c>
      <c r="H258" s="2" t="s">
        <v>14</v>
      </c>
      <c r="I258" s="5" t="str">
        <f>IFERROR(
  MID(
    SUBSTITUTE(B258, CHAR(10), ""),
    FIND("_Gross ROI=", SUBSTITUTE(B258, CHAR(10), "")) + LEN("_Gross ROI="),
    FIND("%", SUBSTITUTE(B258, CHAR(10), ""), FIND("_Gross ROI=", SUBSTITUTE(B258, CHAR(10), "")))
      - FIND("_Gross ROI=", SUBSTITUTE(B258, CHAR(10), "")) - LEN("_Gross ROI=") + 1
  ),
  ""
)</f>
        <v>6.46%</v>
      </c>
      <c r="J258" s="5" t="str">
        <f>IFERROR(
  MID(
    SUBSTITUTE(B258, CHAR(10), ""),
    FIND("_Median annual rent=", SUBSTITUTE(B258, CHAR(10), "")) + LEN("_Median annual rent="),
    FIND("K", SUBSTITUTE(B258, CHAR(10), ""), FIND("_Median annual rent=", SUBSTITUTE(B258, CHAR(10), "")))
      - FIND("_Median annual rent=", SUBSTITUTE(B258, CHAR(10), "")) - LEN("_Median annual rent=") + 1
  ),
  "")</f>
        <v>110K</v>
      </c>
    </row>
    <row r="259" ht="15.75" customHeight="1">
      <c r="A259" s="1" t="s">
        <v>527</v>
      </c>
      <c r="B259" s="1" t="s">
        <v>528</v>
      </c>
      <c r="C259" s="1" t="s">
        <v>12</v>
      </c>
      <c r="D259" s="1" t="s">
        <v>526</v>
      </c>
      <c r="E259" s="4">
        <v>1007638.0</v>
      </c>
      <c r="F259" s="2">
        <v>1.0</v>
      </c>
      <c r="G259" s="2" t="s">
        <v>1</v>
      </c>
      <c r="H259" s="2" t="s">
        <v>18</v>
      </c>
      <c r="I259" s="2" t="s">
        <v>15</v>
      </c>
      <c r="J259" s="2" t="s">
        <v>15</v>
      </c>
    </row>
    <row r="260" ht="15.75" customHeight="1">
      <c r="A260" s="1" t="s">
        <v>529</v>
      </c>
      <c r="B260" s="1" t="s">
        <v>530</v>
      </c>
      <c r="C260" s="1" t="s">
        <v>12</v>
      </c>
      <c r="D260" s="1" t="s">
        <v>526</v>
      </c>
      <c r="E260" s="4">
        <v>1007638.0</v>
      </c>
      <c r="F260" s="2">
        <v>1.0</v>
      </c>
      <c r="G260" s="2" t="s">
        <v>1</v>
      </c>
      <c r="H260" s="2" t="s">
        <v>53</v>
      </c>
      <c r="I260" s="2" t="s">
        <v>15</v>
      </c>
      <c r="J260" s="2" t="s">
        <v>15</v>
      </c>
    </row>
    <row r="261" ht="15.75" customHeight="1">
      <c r="A261" s="1" t="s">
        <v>531</v>
      </c>
      <c r="B261" s="1" t="s">
        <v>532</v>
      </c>
      <c r="C261" s="1" t="s">
        <v>12</v>
      </c>
      <c r="D261" s="1" t="s">
        <v>526</v>
      </c>
      <c r="E261" s="4">
        <v>1007638.0</v>
      </c>
      <c r="F261" s="2">
        <v>1.0</v>
      </c>
      <c r="G261" s="2" t="s">
        <v>1</v>
      </c>
      <c r="H261" s="2" t="s">
        <v>21</v>
      </c>
      <c r="I261" s="2" t="s">
        <v>15</v>
      </c>
      <c r="J261" s="2" t="s">
        <v>15</v>
      </c>
    </row>
    <row r="262" ht="15.75" customHeight="1">
      <c r="A262" s="1" t="s">
        <v>533</v>
      </c>
      <c r="B262" s="3" t="s">
        <v>534</v>
      </c>
      <c r="C262" s="1" t="s">
        <v>12</v>
      </c>
      <c r="D262" s="1" t="s">
        <v>526</v>
      </c>
      <c r="E262" s="4">
        <v>1007638.0</v>
      </c>
      <c r="F262" s="2">
        <v>2.0</v>
      </c>
      <c r="G262" s="2" t="s">
        <v>1</v>
      </c>
      <c r="H262" s="2" t="s">
        <v>14</v>
      </c>
      <c r="I262" s="5" t="str">
        <f>IFERROR(
  MID(
    SUBSTITUTE(B262, CHAR(10), ""),
    FIND("_Gross ROI=", SUBSTITUTE(B262, CHAR(10), "")) + LEN("_Gross ROI="),
    FIND("%", SUBSTITUTE(B262, CHAR(10), ""), FIND("_Gross ROI=", SUBSTITUTE(B262, CHAR(10), "")))
      - FIND("_Gross ROI=", SUBSTITUTE(B262, CHAR(10), "")) - LEN("_Gross ROI=") + 1
  ),
  ""
)</f>
        <v>6.4%</v>
      </c>
      <c r="J262" s="5" t="str">
        <f>IFERROR(
  MID(
    SUBSTITUTE(B262, CHAR(10), ""),
    FIND("_Median annual rent=", SUBSTITUTE(B262, CHAR(10), "")) + LEN("_Median annual rent="),
    FIND("K", SUBSTITUTE(B262, CHAR(10), ""), FIND("_Median annual rent=", SUBSTITUTE(B262, CHAR(10), "")))
      - FIND("_Median annual rent=", SUBSTITUTE(B262, CHAR(10), "")) - LEN("_Median annual rent=") + 1
  ),
  "")</f>
        <v>160K</v>
      </c>
    </row>
    <row r="263" ht="15.75" customHeight="1">
      <c r="A263" s="1" t="s">
        <v>535</v>
      </c>
      <c r="B263" s="1" t="s">
        <v>536</v>
      </c>
      <c r="C263" s="1" t="s">
        <v>12</v>
      </c>
      <c r="D263" s="1" t="s">
        <v>526</v>
      </c>
      <c r="E263" s="4">
        <v>1007638.0</v>
      </c>
      <c r="F263" s="2">
        <v>2.0</v>
      </c>
      <c r="G263" s="2" t="s">
        <v>1</v>
      </c>
      <c r="H263" s="2" t="s">
        <v>18</v>
      </c>
      <c r="I263" s="2" t="s">
        <v>15</v>
      </c>
      <c r="J263" s="2" t="s">
        <v>15</v>
      </c>
    </row>
    <row r="264" ht="15.75" customHeight="1">
      <c r="A264" s="1" t="s">
        <v>537</v>
      </c>
      <c r="B264" s="1" t="s">
        <v>538</v>
      </c>
      <c r="C264" s="1" t="s">
        <v>12</v>
      </c>
      <c r="D264" s="1" t="s">
        <v>526</v>
      </c>
      <c r="E264" s="4">
        <v>1007638.0</v>
      </c>
      <c r="F264" s="2">
        <v>2.0</v>
      </c>
      <c r="G264" s="2" t="s">
        <v>1</v>
      </c>
      <c r="H264" s="2" t="s">
        <v>53</v>
      </c>
      <c r="I264" s="2" t="s">
        <v>15</v>
      </c>
      <c r="J264" s="2" t="s">
        <v>15</v>
      </c>
    </row>
    <row r="265" ht="15.75" customHeight="1">
      <c r="A265" s="1" t="s">
        <v>539</v>
      </c>
      <c r="B265" s="1" t="s">
        <v>540</v>
      </c>
      <c r="C265" s="1" t="s">
        <v>12</v>
      </c>
      <c r="D265" s="1" t="s">
        <v>526</v>
      </c>
      <c r="E265" s="4">
        <v>1007638.0</v>
      </c>
      <c r="F265" s="2">
        <v>2.0</v>
      </c>
      <c r="G265" s="2" t="s">
        <v>1</v>
      </c>
      <c r="H265" s="2" t="s">
        <v>21</v>
      </c>
      <c r="I265" s="2" t="s">
        <v>15</v>
      </c>
      <c r="J265" s="2" t="s">
        <v>15</v>
      </c>
    </row>
    <row r="266" ht="15.75" customHeight="1">
      <c r="A266" s="1" t="s">
        <v>541</v>
      </c>
      <c r="B266" s="3" t="s">
        <v>542</v>
      </c>
      <c r="C266" s="1" t="s">
        <v>12</v>
      </c>
      <c r="D266" s="1" t="s">
        <v>526</v>
      </c>
      <c r="E266" s="4">
        <v>1007638.0</v>
      </c>
      <c r="F266" s="2">
        <v>3.0</v>
      </c>
      <c r="G266" s="2" t="s">
        <v>1</v>
      </c>
      <c r="H266" s="2" t="s">
        <v>14</v>
      </c>
      <c r="I266" s="2" t="s">
        <v>15</v>
      </c>
      <c r="J266" s="2" t="s">
        <v>15</v>
      </c>
    </row>
    <row r="267" ht="15.75" customHeight="1">
      <c r="A267" s="1" t="s">
        <v>543</v>
      </c>
      <c r="B267" s="1" t="s">
        <v>544</v>
      </c>
      <c r="C267" s="1" t="s">
        <v>12</v>
      </c>
      <c r="D267" s="1" t="s">
        <v>526</v>
      </c>
      <c r="E267" s="4">
        <v>1007638.0</v>
      </c>
      <c r="F267" s="2">
        <v>3.0</v>
      </c>
      <c r="G267" s="2" t="s">
        <v>1</v>
      </c>
      <c r="H267" s="2" t="s">
        <v>18</v>
      </c>
      <c r="I267" s="2" t="s">
        <v>15</v>
      </c>
      <c r="J267" s="2" t="s">
        <v>15</v>
      </c>
    </row>
    <row r="268" ht="15.75" customHeight="1">
      <c r="A268" s="1" t="s">
        <v>545</v>
      </c>
      <c r="B268" s="1" t="s">
        <v>546</v>
      </c>
      <c r="C268" s="1" t="s">
        <v>12</v>
      </c>
      <c r="D268" s="1" t="s">
        <v>526</v>
      </c>
      <c r="E268" s="4">
        <v>1007638.0</v>
      </c>
      <c r="F268" s="2">
        <v>3.0</v>
      </c>
      <c r="G268" s="2" t="s">
        <v>1</v>
      </c>
      <c r="H268" s="2" t="s">
        <v>53</v>
      </c>
      <c r="I268" s="2" t="s">
        <v>15</v>
      </c>
      <c r="J268" s="2" t="s">
        <v>15</v>
      </c>
    </row>
    <row r="269" ht="15.75" customHeight="1">
      <c r="A269" s="1" t="s">
        <v>547</v>
      </c>
      <c r="B269" s="1" t="s">
        <v>548</v>
      </c>
      <c r="C269" s="1" t="s">
        <v>12</v>
      </c>
      <c r="D269" s="1" t="s">
        <v>526</v>
      </c>
      <c r="E269" s="4">
        <v>1007638.0</v>
      </c>
      <c r="F269" s="2">
        <v>3.0</v>
      </c>
      <c r="G269" s="2" t="s">
        <v>1</v>
      </c>
      <c r="H269" s="2" t="s">
        <v>21</v>
      </c>
      <c r="I269" s="2" t="s">
        <v>15</v>
      </c>
      <c r="J269" s="2" t="s">
        <v>15</v>
      </c>
    </row>
    <row r="270" ht="15.75" customHeight="1">
      <c r="A270" s="1" t="s">
        <v>549</v>
      </c>
      <c r="B270" s="1" t="s">
        <v>550</v>
      </c>
      <c r="C270" s="1" t="s">
        <v>12</v>
      </c>
      <c r="D270" s="1" t="s">
        <v>526</v>
      </c>
      <c r="E270" s="4">
        <v>1007638.0</v>
      </c>
      <c r="F270" s="2" t="s">
        <v>381</v>
      </c>
      <c r="G270" s="2" t="s">
        <v>1</v>
      </c>
      <c r="H270" s="2" t="s">
        <v>53</v>
      </c>
      <c r="I270" s="2" t="s">
        <v>15</v>
      </c>
      <c r="J270" s="2" t="s">
        <v>15</v>
      </c>
    </row>
    <row r="271" ht="15.75" customHeight="1">
      <c r="A271" s="1" t="s">
        <v>551</v>
      </c>
      <c r="B271" s="1" t="s">
        <v>552</v>
      </c>
      <c r="C271" s="1" t="s">
        <v>12</v>
      </c>
      <c r="D271" s="1" t="s">
        <v>526</v>
      </c>
      <c r="E271" s="4">
        <v>1007638.0</v>
      </c>
      <c r="F271" s="2" t="s">
        <v>30</v>
      </c>
      <c r="G271" s="2" t="s">
        <v>1</v>
      </c>
      <c r="H271" s="2" t="s">
        <v>53</v>
      </c>
      <c r="I271" s="2" t="s">
        <v>15</v>
      </c>
      <c r="J271" s="2" t="s">
        <v>15</v>
      </c>
    </row>
    <row r="272" ht="15.75" customHeight="1">
      <c r="A272" s="1" t="s">
        <v>553</v>
      </c>
      <c r="B272" s="1" t="s">
        <v>554</v>
      </c>
      <c r="C272" s="1" t="s">
        <v>12</v>
      </c>
      <c r="D272" s="1" t="s">
        <v>526</v>
      </c>
      <c r="E272" s="4">
        <v>1007638.0</v>
      </c>
      <c r="F272" s="2" t="s">
        <v>30</v>
      </c>
      <c r="G272" s="2" t="s">
        <v>1</v>
      </c>
      <c r="H272" s="2" t="s">
        <v>14</v>
      </c>
      <c r="I272" s="2" t="s">
        <v>15</v>
      </c>
      <c r="J272" s="2" t="s">
        <v>15</v>
      </c>
    </row>
    <row r="273" ht="15.75" customHeight="1">
      <c r="A273" s="1" t="s">
        <v>555</v>
      </c>
      <c r="B273" s="1" t="s">
        <v>556</v>
      </c>
      <c r="C273" s="1" t="s">
        <v>12</v>
      </c>
      <c r="D273" s="1" t="s">
        <v>526</v>
      </c>
      <c r="E273" s="4">
        <v>1007638.0</v>
      </c>
      <c r="F273" s="2" t="s">
        <v>15</v>
      </c>
      <c r="G273" s="2" t="s">
        <v>33</v>
      </c>
      <c r="H273" s="2" t="s">
        <v>15</v>
      </c>
      <c r="I273" s="2" t="s">
        <v>15</v>
      </c>
      <c r="J273" s="2" t="s">
        <v>15</v>
      </c>
    </row>
    <row r="274" ht="15.75" customHeight="1">
      <c r="A274" s="1" t="s">
        <v>557</v>
      </c>
      <c r="B274" s="1" t="s">
        <v>558</v>
      </c>
      <c r="C274" s="1" t="s">
        <v>12</v>
      </c>
      <c r="D274" s="1" t="s">
        <v>526</v>
      </c>
      <c r="E274" s="4">
        <v>1007638.0</v>
      </c>
      <c r="F274" s="2">
        <v>1.0</v>
      </c>
      <c r="G274" s="2" t="s">
        <v>1</v>
      </c>
      <c r="H274" s="2" t="s">
        <v>37</v>
      </c>
      <c r="I274" s="2" t="s">
        <v>15</v>
      </c>
      <c r="J274" s="2" t="s">
        <v>15</v>
      </c>
    </row>
    <row r="275" ht="15.75" customHeight="1">
      <c r="A275" s="1" t="s">
        <v>559</v>
      </c>
      <c r="B275" s="1" t="s">
        <v>560</v>
      </c>
      <c r="C275" s="1" t="s">
        <v>12</v>
      </c>
      <c r="D275" s="1" t="s">
        <v>526</v>
      </c>
      <c r="E275" s="4">
        <v>1007638.0</v>
      </c>
      <c r="F275" s="2">
        <v>2.0</v>
      </c>
      <c r="G275" s="2" t="s">
        <v>1</v>
      </c>
      <c r="H275" s="2" t="s">
        <v>37</v>
      </c>
      <c r="I275" s="2" t="s">
        <v>15</v>
      </c>
      <c r="J275" s="2" t="s">
        <v>15</v>
      </c>
    </row>
    <row r="276" ht="15.75" customHeight="1">
      <c r="A276" s="1" t="s">
        <v>561</v>
      </c>
      <c r="B276" s="1" t="s">
        <v>562</v>
      </c>
      <c r="C276" s="1" t="s">
        <v>12</v>
      </c>
      <c r="D276" s="1" t="s">
        <v>526</v>
      </c>
      <c r="E276" s="4">
        <v>1007638.0</v>
      </c>
      <c r="F276" s="2">
        <v>3.0</v>
      </c>
      <c r="G276" s="2" t="s">
        <v>1</v>
      </c>
      <c r="H276" s="2" t="s">
        <v>37</v>
      </c>
      <c r="I276" s="2" t="s">
        <v>15</v>
      </c>
      <c r="J276" s="2" t="s">
        <v>15</v>
      </c>
    </row>
    <row r="277" ht="15.75" customHeight="1">
      <c r="A277" s="1" t="s">
        <v>563</v>
      </c>
      <c r="B277" s="1" t="s">
        <v>564</v>
      </c>
      <c r="C277" s="1" t="s">
        <v>12</v>
      </c>
      <c r="D277" s="1" t="s">
        <v>526</v>
      </c>
      <c r="E277" s="4">
        <v>1007638.0</v>
      </c>
      <c r="F277" s="2" t="s">
        <v>381</v>
      </c>
      <c r="G277" s="2" t="s">
        <v>1</v>
      </c>
      <c r="H277" s="2" t="s">
        <v>37</v>
      </c>
      <c r="I277" s="2" t="s">
        <v>15</v>
      </c>
      <c r="J277" s="2" t="s">
        <v>15</v>
      </c>
    </row>
    <row r="278" ht="15.75" customHeight="1">
      <c r="A278" s="1" t="s">
        <v>565</v>
      </c>
      <c r="B278" s="1" t="s">
        <v>566</v>
      </c>
      <c r="C278" s="1" t="s">
        <v>12</v>
      </c>
      <c r="D278" s="1" t="s">
        <v>526</v>
      </c>
      <c r="E278" s="4">
        <v>1007638.0</v>
      </c>
      <c r="F278" s="2" t="s">
        <v>30</v>
      </c>
      <c r="G278" s="2" t="s">
        <v>1</v>
      </c>
      <c r="H278" s="2" t="s">
        <v>37</v>
      </c>
      <c r="I278" s="2" t="s">
        <v>15</v>
      </c>
      <c r="J278" s="2" t="s">
        <v>15</v>
      </c>
    </row>
    <row r="279" ht="15.75" customHeight="1">
      <c r="A279" s="1" t="s">
        <v>567</v>
      </c>
      <c r="B279" s="3" t="s">
        <v>568</v>
      </c>
      <c r="C279" s="1" t="s">
        <v>12</v>
      </c>
      <c r="D279" s="1" t="s">
        <v>569</v>
      </c>
      <c r="E279" s="4">
        <v>1007702.0</v>
      </c>
      <c r="F279" s="2">
        <v>1.0</v>
      </c>
      <c r="G279" s="2" t="s">
        <v>1</v>
      </c>
      <c r="H279" s="2" t="s">
        <v>14</v>
      </c>
      <c r="I279" s="2" t="s">
        <v>15</v>
      </c>
      <c r="J279" s="2" t="s">
        <v>15</v>
      </c>
    </row>
    <row r="280" ht="15.75" customHeight="1">
      <c r="A280" s="1" t="s">
        <v>570</v>
      </c>
      <c r="B280" s="1" t="s">
        <v>571</v>
      </c>
      <c r="C280" s="1" t="s">
        <v>12</v>
      </c>
      <c r="D280" s="1" t="s">
        <v>569</v>
      </c>
      <c r="E280" s="4">
        <v>1007702.0</v>
      </c>
      <c r="F280" s="2">
        <v>1.0</v>
      </c>
      <c r="G280" s="2" t="s">
        <v>1</v>
      </c>
      <c r="H280" s="2" t="s">
        <v>18</v>
      </c>
      <c r="I280" s="2" t="s">
        <v>15</v>
      </c>
      <c r="J280" s="2" t="s">
        <v>15</v>
      </c>
    </row>
    <row r="281" ht="15.75" customHeight="1">
      <c r="A281" s="1" t="s">
        <v>572</v>
      </c>
      <c r="B281" s="1" t="s">
        <v>573</v>
      </c>
      <c r="C281" s="1" t="s">
        <v>12</v>
      </c>
      <c r="D281" s="1" t="s">
        <v>569</v>
      </c>
      <c r="E281" s="4">
        <v>1007702.0</v>
      </c>
      <c r="F281" s="2">
        <v>1.0</v>
      </c>
      <c r="G281" s="2" t="s">
        <v>1</v>
      </c>
      <c r="H281" s="2" t="s">
        <v>21</v>
      </c>
      <c r="I281" s="2" t="s">
        <v>15</v>
      </c>
      <c r="J281" s="2" t="s">
        <v>15</v>
      </c>
    </row>
    <row r="282" ht="15.75" customHeight="1">
      <c r="A282" s="1" t="s">
        <v>574</v>
      </c>
      <c r="B282" s="3" t="s">
        <v>575</v>
      </c>
      <c r="C282" s="1" t="s">
        <v>12</v>
      </c>
      <c r="D282" s="1" t="s">
        <v>569</v>
      </c>
      <c r="E282" s="4">
        <v>1007702.0</v>
      </c>
      <c r="F282" s="2">
        <v>2.0</v>
      </c>
      <c r="G282" s="2" t="s">
        <v>1</v>
      </c>
      <c r="H282" s="2" t="s">
        <v>14</v>
      </c>
      <c r="I282" s="2" t="s">
        <v>15</v>
      </c>
      <c r="J282" s="2" t="s">
        <v>15</v>
      </c>
    </row>
    <row r="283" ht="15.75" customHeight="1">
      <c r="A283" s="1" t="s">
        <v>576</v>
      </c>
      <c r="B283" s="1" t="s">
        <v>577</v>
      </c>
      <c r="C283" s="1" t="s">
        <v>12</v>
      </c>
      <c r="D283" s="1" t="s">
        <v>569</v>
      </c>
      <c r="E283" s="4">
        <v>1007702.0</v>
      </c>
      <c r="F283" s="2">
        <v>2.0</v>
      </c>
      <c r="G283" s="2" t="s">
        <v>1</v>
      </c>
      <c r="H283" s="2" t="s">
        <v>18</v>
      </c>
      <c r="I283" s="2" t="s">
        <v>15</v>
      </c>
      <c r="J283" s="2" t="s">
        <v>15</v>
      </c>
    </row>
    <row r="284" ht="15.75" customHeight="1">
      <c r="A284" s="1" t="s">
        <v>578</v>
      </c>
      <c r="B284" s="1" t="s">
        <v>579</v>
      </c>
      <c r="C284" s="1" t="s">
        <v>12</v>
      </c>
      <c r="D284" s="1" t="s">
        <v>569</v>
      </c>
      <c r="E284" s="4">
        <v>1007702.0</v>
      </c>
      <c r="F284" s="2">
        <v>3.0</v>
      </c>
      <c r="G284" s="2" t="s">
        <v>1</v>
      </c>
      <c r="H284" s="2" t="s">
        <v>14</v>
      </c>
      <c r="I284" s="2" t="s">
        <v>15</v>
      </c>
      <c r="J284" s="2" t="s">
        <v>15</v>
      </c>
    </row>
    <row r="285" ht="15.75" customHeight="1">
      <c r="A285" s="1" t="s">
        <v>580</v>
      </c>
      <c r="B285" s="1" t="s">
        <v>581</v>
      </c>
      <c r="C285" s="1" t="s">
        <v>12</v>
      </c>
      <c r="D285" s="1" t="s">
        <v>569</v>
      </c>
      <c r="E285" s="4">
        <v>1007702.0</v>
      </c>
      <c r="F285" s="2">
        <v>3.0</v>
      </c>
      <c r="G285" s="2" t="s">
        <v>1</v>
      </c>
      <c r="H285" s="2" t="s">
        <v>18</v>
      </c>
      <c r="I285" s="2" t="s">
        <v>15</v>
      </c>
      <c r="J285" s="2" t="s">
        <v>15</v>
      </c>
    </row>
    <row r="286" ht="15.75" customHeight="1">
      <c r="A286" s="1" t="s">
        <v>582</v>
      </c>
      <c r="B286" s="1" t="s">
        <v>583</v>
      </c>
      <c r="C286" s="1" t="s">
        <v>12</v>
      </c>
      <c r="D286" s="1" t="s">
        <v>569</v>
      </c>
      <c r="E286" s="4">
        <v>1007702.0</v>
      </c>
      <c r="F286" s="2">
        <v>3.0</v>
      </c>
      <c r="G286" s="2" t="s">
        <v>1</v>
      </c>
      <c r="H286" s="2" t="s">
        <v>21</v>
      </c>
      <c r="I286" s="2" t="s">
        <v>15</v>
      </c>
      <c r="J286" s="2" t="s">
        <v>15</v>
      </c>
    </row>
    <row r="287" ht="15.75" customHeight="1">
      <c r="A287" s="1" t="s">
        <v>584</v>
      </c>
      <c r="B287" s="1" t="s">
        <v>585</v>
      </c>
      <c r="C287" s="1" t="s">
        <v>12</v>
      </c>
      <c r="D287" s="1" t="s">
        <v>569</v>
      </c>
      <c r="E287" s="4">
        <v>1007702.0</v>
      </c>
      <c r="F287" s="2" t="s">
        <v>30</v>
      </c>
      <c r="G287" s="2" t="s">
        <v>1</v>
      </c>
      <c r="H287" s="2" t="s">
        <v>14</v>
      </c>
      <c r="I287" s="2" t="s">
        <v>15</v>
      </c>
      <c r="J287" s="2" t="s">
        <v>15</v>
      </c>
    </row>
    <row r="288" ht="15.75" customHeight="1">
      <c r="A288" s="1" t="s">
        <v>586</v>
      </c>
      <c r="B288" s="1" t="s">
        <v>587</v>
      </c>
      <c r="C288" s="1" t="s">
        <v>12</v>
      </c>
      <c r="D288" s="1" t="s">
        <v>569</v>
      </c>
      <c r="E288" s="4">
        <v>1007702.0</v>
      </c>
      <c r="F288" s="2" t="s">
        <v>15</v>
      </c>
      <c r="G288" s="2" t="s">
        <v>33</v>
      </c>
      <c r="H288" s="2" t="s">
        <v>15</v>
      </c>
      <c r="I288" s="2" t="s">
        <v>15</v>
      </c>
      <c r="J288" s="2" t="s">
        <v>15</v>
      </c>
    </row>
    <row r="289" ht="15.75" customHeight="1">
      <c r="A289" s="1" t="s">
        <v>588</v>
      </c>
      <c r="B289" s="1" t="s">
        <v>589</v>
      </c>
      <c r="C289" s="1" t="s">
        <v>12</v>
      </c>
      <c r="D289" s="1" t="s">
        <v>569</v>
      </c>
      <c r="E289" s="4">
        <v>1007702.0</v>
      </c>
      <c r="F289" s="2">
        <v>1.0</v>
      </c>
      <c r="G289" s="2" t="s">
        <v>1</v>
      </c>
      <c r="H289" s="2" t="s">
        <v>37</v>
      </c>
      <c r="I289" s="2" t="s">
        <v>15</v>
      </c>
      <c r="J289" s="2" t="s">
        <v>15</v>
      </c>
    </row>
    <row r="290" ht="15.75" customHeight="1">
      <c r="A290" s="1" t="s">
        <v>590</v>
      </c>
      <c r="B290" s="1" t="s">
        <v>591</v>
      </c>
      <c r="C290" s="1" t="s">
        <v>12</v>
      </c>
      <c r="D290" s="1" t="s">
        <v>569</v>
      </c>
      <c r="E290" s="4">
        <v>1007702.0</v>
      </c>
      <c r="F290" s="2">
        <v>3.0</v>
      </c>
      <c r="G290" s="2" t="s">
        <v>1</v>
      </c>
      <c r="H290" s="2" t="s">
        <v>37</v>
      </c>
      <c r="I290" s="2" t="s">
        <v>15</v>
      </c>
      <c r="J290" s="2" t="s">
        <v>15</v>
      </c>
    </row>
    <row r="291" ht="15.75" customHeight="1">
      <c r="A291" s="1" t="s">
        <v>592</v>
      </c>
      <c r="B291" s="1" t="s">
        <v>593</v>
      </c>
      <c r="C291" s="1" t="s">
        <v>12</v>
      </c>
      <c r="D291" s="1" t="s">
        <v>569</v>
      </c>
      <c r="E291" s="4">
        <v>1007702.0</v>
      </c>
      <c r="F291" s="2" t="s">
        <v>30</v>
      </c>
      <c r="G291" s="2" t="s">
        <v>1</v>
      </c>
      <c r="H291" s="2" t="s">
        <v>37</v>
      </c>
      <c r="I291" s="2" t="s">
        <v>15</v>
      </c>
      <c r="J291" s="2" t="s">
        <v>15</v>
      </c>
    </row>
    <row r="292" ht="15.75" customHeight="1">
      <c r="A292" s="1" t="s">
        <v>594</v>
      </c>
      <c r="B292" s="1" t="s">
        <v>595</v>
      </c>
      <c r="C292" s="1" t="s">
        <v>12</v>
      </c>
      <c r="D292" s="1" t="s">
        <v>596</v>
      </c>
      <c r="E292" s="4">
        <v>1007766.0</v>
      </c>
      <c r="F292" s="2">
        <v>1.0</v>
      </c>
      <c r="G292" s="2" t="s">
        <v>1</v>
      </c>
      <c r="H292" s="2" t="s">
        <v>14</v>
      </c>
      <c r="I292" s="2" t="s">
        <v>15</v>
      </c>
      <c r="J292" s="2" t="s">
        <v>15</v>
      </c>
    </row>
    <row r="293" ht="15.75" customHeight="1">
      <c r="A293" s="1" t="s">
        <v>597</v>
      </c>
      <c r="B293" s="1" t="s">
        <v>598</v>
      </c>
      <c r="C293" s="1" t="s">
        <v>12</v>
      </c>
      <c r="D293" s="1" t="s">
        <v>596</v>
      </c>
      <c r="E293" s="4">
        <v>1007766.0</v>
      </c>
      <c r="F293" s="2">
        <v>1.0</v>
      </c>
      <c r="G293" s="2" t="s">
        <v>1</v>
      </c>
      <c r="H293" s="2" t="s">
        <v>18</v>
      </c>
      <c r="I293" s="2" t="s">
        <v>15</v>
      </c>
      <c r="J293" s="2" t="s">
        <v>15</v>
      </c>
    </row>
    <row r="294" ht="15.75" customHeight="1">
      <c r="A294" s="1" t="s">
        <v>599</v>
      </c>
      <c r="B294" s="1" t="s">
        <v>600</v>
      </c>
      <c r="C294" s="1" t="s">
        <v>12</v>
      </c>
      <c r="D294" s="1" t="s">
        <v>596</v>
      </c>
      <c r="E294" s="4">
        <v>1007766.0</v>
      </c>
      <c r="F294" s="2">
        <v>2.0</v>
      </c>
      <c r="G294" s="2" t="s">
        <v>1</v>
      </c>
      <c r="H294" s="2" t="s">
        <v>14</v>
      </c>
      <c r="I294" s="2" t="s">
        <v>15</v>
      </c>
      <c r="J294" s="2" t="s">
        <v>15</v>
      </c>
    </row>
    <row r="295" ht="15.75" customHeight="1">
      <c r="A295" s="1" t="s">
        <v>601</v>
      </c>
      <c r="B295" s="1" t="s">
        <v>602</v>
      </c>
      <c r="C295" s="1" t="s">
        <v>12</v>
      </c>
      <c r="D295" s="1" t="s">
        <v>596</v>
      </c>
      <c r="E295" s="4">
        <v>1007766.0</v>
      </c>
      <c r="F295" s="2">
        <v>2.0</v>
      </c>
      <c r="G295" s="2" t="s">
        <v>1</v>
      </c>
      <c r="H295" s="2" t="s">
        <v>18</v>
      </c>
      <c r="I295" s="2" t="s">
        <v>15</v>
      </c>
      <c r="J295" s="2" t="s">
        <v>15</v>
      </c>
    </row>
    <row r="296" ht="15.75" customHeight="1">
      <c r="A296" s="1" t="s">
        <v>603</v>
      </c>
      <c r="B296" s="1" t="s">
        <v>604</v>
      </c>
      <c r="C296" s="1" t="s">
        <v>12</v>
      </c>
      <c r="D296" s="1" t="s">
        <v>596</v>
      </c>
      <c r="E296" s="4">
        <v>1007766.0</v>
      </c>
      <c r="F296" s="2">
        <v>3.0</v>
      </c>
      <c r="G296" s="2" t="s">
        <v>1</v>
      </c>
      <c r="H296" s="2" t="s">
        <v>14</v>
      </c>
      <c r="I296" s="2" t="s">
        <v>15</v>
      </c>
      <c r="J296" s="2" t="s">
        <v>15</v>
      </c>
    </row>
    <row r="297" ht="15.75" customHeight="1">
      <c r="A297" s="1" t="s">
        <v>605</v>
      </c>
      <c r="B297" s="1" t="s">
        <v>606</v>
      </c>
      <c r="C297" s="1" t="s">
        <v>12</v>
      </c>
      <c r="D297" s="1" t="s">
        <v>596</v>
      </c>
      <c r="E297" s="4">
        <v>1007766.0</v>
      </c>
      <c r="F297" s="2">
        <v>3.0</v>
      </c>
      <c r="G297" s="2" t="s">
        <v>1</v>
      </c>
      <c r="H297" s="2" t="s">
        <v>18</v>
      </c>
      <c r="I297" s="2" t="s">
        <v>15</v>
      </c>
      <c r="J297" s="2" t="s">
        <v>15</v>
      </c>
    </row>
    <row r="298" ht="15.75" customHeight="1">
      <c r="A298" s="1" t="s">
        <v>607</v>
      </c>
      <c r="B298" s="1" t="s">
        <v>608</v>
      </c>
      <c r="C298" s="1" t="s">
        <v>12</v>
      </c>
      <c r="D298" s="1" t="s">
        <v>596</v>
      </c>
      <c r="E298" s="4">
        <v>1007766.0</v>
      </c>
      <c r="F298" s="2" t="s">
        <v>30</v>
      </c>
      <c r="G298" s="2" t="s">
        <v>1</v>
      </c>
      <c r="H298" s="2" t="s">
        <v>14</v>
      </c>
      <c r="I298" s="2" t="s">
        <v>15</v>
      </c>
      <c r="J298" s="2" t="s">
        <v>15</v>
      </c>
    </row>
    <row r="299" ht="15.75" customHeight="1">
      <c r="A299" s="1" t="s">
        <v>609</v>
      </c>
      <c r="B299" s="1" t="s">
        <v>610</v>
      </c>
      <c r="C299" s="1" t="s">
        <v>12</v>
      </c>
      <c r="D299" s="1" t="s">
        <v>596</v>
      </c>
      <c r="E299" s="4">
        <v>1007766.0</v>
      </c>
      <c r="F299" s="2" t="s">
        <v>15</v>
      </c>
      <c r="G299" s="2" t="s">
        <v>33</v>
      </c>
      <c r="H299" s="2" t="s">
        <v>15</v>
      </c>
      <c r="I299" s="2" t="s">
        <v>15</v>
      </c>
      <c r="J299" s="2" t="s">
        <v>15</v>
      </c>
    </row>
    <row r="300" ht="15.75" customHeight="1">
      <c r="A300" s="1" t="s">
        <v>611</v>
      </c>
      <c r="B300" s="1" t="s">
        <v>612</v>
      </c>
      <c r="C300" s="1" t="s">
        <v>12</v>
      </c>
      <c r="D300" s="1" t="s">
        <v>613</v>
      </c>
      <c r="E300" s="4">
        <v>1007830.0</v>
      </c>
      <c r="F300" s="2">
        <v>1.0</v>
      </c>
      <c r="G300" s="2" t="s">
        <v>1</v>
      </c>
      <c r="H300" s="2" t="s">
        <v>14</v>
      </c>
      <c r="I300" s="2" t="s">
        <v>15</v>
      </c>
      <c r="J300" s="2" t="s">
        <v>15</v>
      </c>
    </row>
    <row r="301" ht="15.75" customHeight="1">
      <c r="A301" s="1" t="s">
        <v>614</v>
      </c>
      <c r="B301" s="1" t="s">
        <v>615</v>
      </c>
      <c r="C301" s="1" t="s">
        <v>12</v>
      </c>
      <c r="D301" s="1" t="s">
        <v>613</v>
      </c>
      <c r="E301" s="4">
        <v>1007830.0</v>
      </c>
      <c r="F301" s="2">
        <v>1.0</v>
      </c>
      <c r="G301" s="2" t="s">
        <v>1</v>
      </c>
      <c r="H301" s="2" t="s">
        <v>18</v>
      </c>
      <c r="I301" s="2" t="s">
        <v>15</v>
      </c>
      <c r="J301" s="2" t="s">
        <v>15</v>
      </c>
    </row>
    <row r="302" ht="15.75" customHeight="1">
      <c r="A302" s="1" t="s">
        <v>616</v>
      </c>
      <c r="B302" s="1" t="s">
        <v>617</v>
      </c>
      <c r="C302" s="1" t="s">
        <v>12</v>
      </c>
      <c r="D302" s="1" t="s">
        <v>613</v>
      </c>
      <c r="E302" s="4">
        <v>1007830.0</v>
      </c>
      <c r="F302" s="2">
        <v>1.0</v>
      </c>
      <c r="G302" s="2" t="s">
        <v>1</v>
      </c>
      <c r="H302" s="2" t="s">
        <v>21</v>
      </c>
      <c r="I302" s="2" t="s">
        <v>15</v>
      </c>
      <c r="J302" s="2" t="s">
        <v>15</v>
      </c>
    </row>
    <row r="303" ht="15.75" customHeight="1">
      <c r="A303" s="1" t="s">
        <v>618</v>
      </c>
      <c r="B303" s="1" t="s">
        <v>619</v>
      </c>
      <c r="C303" s="1" t="s">
        <v>12</v>
      </c>
      <c r="D303" s="1" t="s">
        <v>613</v>
      </c>
      <c r="E303" s="4">
        <v>1007830.0</v>
      </c>
      <c r="F303" s="2">
        <v>2.0</v>
      </c>
      <c r="G303" s="2" t="s">
        <v>1</v>
      </c>
      <c r="H303" s="2" t="s">
        <v>14</v>
      </c>
      <c r="I303" s="2" t="s">
        <v>15</v>
      </c>
      <c r="J303" s="2" t="s">
        <v>15</v>
      </c>
    </row>
    <row r="304" ht="15.75" customHeight="1">
      <c r="A304" s="1" t="s">
        <v>620</v>
      </c>
      <c r="B304" s="1" t="s">
        <v>621</v>
      </c>
      <c r="C304" s="1" t="s">
        <v>12</v>
      </c>
      <c r="D304" s="1" t="s">
        <v>613</v>
      </c>
      <c r="E304" s="4">
        <v>1007830.0</v>
      </c>
      <c r="F304" s="2">
        <v>2.0</v>
      </c>
      <c r="G304" s="2" t="s">
        <v>1</v>
      </c>
      <c r="H304" s="2" t="s">
        <v>18</v>
      </c>
      <c r="I304" s="2" t="s">
        <v>15</v>
      </c>
      <c r="J304" s="2" t="s">
        <v>15</v>
      </c>
    </row>
    <row r="305" ht="15.75" customHeight="1">
      <c r="A305" s="1" t="s">
        <v>622</v>
      </c>
      <c r="B305" s="1" t="s">
        <v>623</v>
      </c>
      <c r="C305" s="1" t="s">
        <v>12</v>
      </c>
      <c r="D305" s="1" t="s">
        <v>613</v>
      </c>
      <c r="E305" s="4">
        <v>1007830.0</v>
      </c>
      <c r="F305" s="2">
        <v>3.0</v>
      </c>
      <c r="G305" s="2" t="s">
        <v>1</v>
      </c>
      <c r="H305" s="2" t="s">
        <v>14</v>
      </c>
      <c r="I305" s="2" t="s">
        <v>15</v>
      </c>
      <c r="J305" s="2" t="s">
        <v>15</v>
      </c>
    </row>
    <row r="306" ht="15.75" customHeight="1">
      <c r="A306" s="1" t="s">
        <v>624</v>
      </c>
      <c r="B306" s="1" t="s">
        <v>625</v>
      </c>
      <c r="C306" s="1" t="s">
        <v>12</v>
      </c>
      <c r="D306" s="1" t="s">
        <v>613</v>
      </c>
      <c r="E306" s="4">
        <v>1007830.0</v>
      </c>
      <c r="F306" s="2">
        <v>3.0</v>
      </c>
      <c r="G306" s="2" t="s">
        <v>1</v>
      </c>
      <c r="H306" s="2" t="s">
        <v>18</v>
      </c>
      <c r="I306" s="2" t="s">
        <v>15</v>
      </c>
      <c r="J306" s="2" t="s">
        <v>15</v>
      </c>
    </row>
    <row r="307" ht="15.75" customHeight="1">
      <c r="A307" s="1" t="s">
        <v>626</v>
      </c>
      <c r="B307" s="1" t="s">
        <v>627</v>
      </c>
      <c r="C307" s="1" t="s">
        <v>12</v>
      </c>
      <c r="D307" s="1" t="s">
        <v>613</v>
      </c>
      <c r="E307" s="4">
        <v>1007830.0</v>
      </c>
      <c r="F307" s="2">
        <v>3.0</v>
      </c>
      <c r="G307" s="2" t="s">
        <v>1</v>
      </c>
      <c r="H307" s="2" t="s">
        <v>21</v>
      </c>
      <c r="I307" s="2" t="s">
        <v>15</v>
      </c>
      <c r="J307" s="2" t="s">
        <v>15</v>
      </c>
    </row>
    <row r="308" ht="15.75" customHeight="1">
      <c r="A308" s="1" t="s">
        <v>628</v>
      </c>
      <c r="B308" s="1" t="s">
        <v>629</v>
      </c>
      <c r="C308" s="1" t="s">
        <v>12</v>
      </c>
      <c r="D308" s="1" t="s">
        <v>613</v>
      </c>
      <c r="E308" s="4">
        <v>1007830.0</v>
      </c>
      <c r="F308" s="2" t="s">
        <v>30</v>
      </c>
      <c r="G308" s="2" t="s">
        <v>1</v>
      </c>
      <c r="H308" s="2" t="s">
        <v>14</v>
      </c>
      <c r="I308" s="2" t="s">
        <v>15</v>
      </c>
      <c r="J308" s="2" t="s">
        <v>15</v>
      </c>
    </row>
    <row r="309" ht="15.75" customHeight="1">
      <c r="A309" s="1" t="s">
        <v>630</v>
      </c>
      <c r="B309" s="1" t="s">
        <v>631</v>
      </c>
      <c r="C309" s="1" t="s">
        <v>12</v>
      </c>
      <c r="D309" s="1" t="s">
        <v>613</v>
      </c>
      <c r="E309" s="4">
        <v>1007830.0</v>
      </c>
      <c r="F309" s="2" t="s">
        <v>15</v>
      </c>
      <c r="G309" s="2" t="s">
        <v>33</v>
      </c>
      <c r="H309" s="2" t="s">
        <v>15</v>
      </c>
      <c r="I309" s="2" t="s">
        <v>15</v>
      </c>
      <c r="J309" s="2" t="s">
        <v>15</v>
      </c>
    </row>
    <row r="310" ht="15.75" customHeight="1">
      <c r="A310" s="1" t="s">
        <v>632</v>
      </c>
      <c r="B310" s="1" t="s">
        <v>633</v>
      </c>
      <c r="C310" s="1" t="s">
        <v>12</v>
      </c>
      <c r="D310" s="1" t="s">
        <v>613</v>
      </c>
      <c r="E310" s="4">
        <v>1007830.0</v>
      </c>
      <c r="F310" s="2">
        <v>1.0</v>
      </c>
      <c r="G310" s="2" t="s">
        <v>1</v>
      </c>
      <c r="H310" s="2" t="s">
        <v>37</v>
      </c>
      <c r="I310" s="2" t="s">
        <v>15</v>
      </c>
      <c r="J310" s="2" t="s">
        <v>15</v>
      </c>
    </row>
    <row r="311" ht="15.75" customHeight="1">
      <c r="A311" s="1" t="s">
        <v>634</v>
      </c>
      <c r="B311" s="1" t="s">
        <v>635</v>
      </c>
      <c r="C311" s="1" t="s">
        <v>12</v>
      </c>
      <c r="D311" s="1" t="s">
        <v>613</v>
      </c>
      <c r="E311" s="4">
        <v>1007830.0</v>
      </c>
      <c r="F311" s="2">
        <v>3.0</v>
      </c>
      <c r="G311" s="2" t="s">
        <v>1</v>
      </c>
      <c r="H311" s="2" t="s">
        <v>37</v>
      </c>
      <c r="I311" s="2" t="s">
        <v>15</v>
      </c>
      <c r="J311" s="2" t="s">
        <v>15</v>
      </c>
    </row>
    <row r="312" ht="15.75" customHeight="1">
      <c r="A312" s="1" t="s">
        <v>636</v>
      </c>
      <c r="B312" s="1" t="s">
        <v>637</v>
      </c>
      <c r="C312" s="1" t="s">
        <v>12</v>
      </c>
      <c r="D312" s="1" t="s">
        <v>613</v>
      </c>
      <c r="E312" s="4">
        <v>1007830.0</v>
      </c>
      <c r="F312" s="2" t="s">
        <v>30</v>
      </c>
      <c r="G312" s="2" t="s">
        <v>1</v>
      </c>
      <c r="H312" s="2" t="s">
        <v>37</v>
      </c>
      <c r="I312" s="2" t="s">
        <v>15</v>
      </c>
      <c r="J312" s="2" t="s">
        <v>15</v>
      </c>
    </row>
    <row r="313" ht="15.75" customHeight="1">
      <c r="A313" s="1" t="s">
        <v>638</v>
      </c>
      <c r="B313" s="1" t="s">
        <v>639</v>
      </c>
      <c r="C313" s="1" t="s">
        <v>12</v>
      </c>
      <c r="D313" s="1" t="s">
        <v>640</v>
      </c>
      <c r="E313" s="4">
        <v>1007894.0</v>
      </c>
      <c r="F313" s="2">
        <v>1.0</v>
      </c>
      <c r="G313" s="2" t="s">
        <v>1</v>
      </c>
      <c r="H313" s="2" t="s">
        <v>14</v>
      </c>
      <c r="I313" s="2" t="s">
        <v>15</v>
      </c>
      <c r="J313" s="2" t="s">
        <v>15</v>
      </c>
    </row>
    <row r="314" ht="15.75" customHeight="1">
      <c r="A314" s="1" t="s">
        <v>641</v>
      </c>
      <c r="B314" s="1" t="s">
        <v>642</v>
      </c>
      <c r="C314" s="1" t="s">
        <v>12</v>
      </c>
      <c r="D314" s="1" t="s">
        <v>640</v>
      </c>
      <c r="E314" s="4">
        <v>1007894.0</v>
      </c>
      <c r="F314" s="2">
        <v>1.0</v>
      </c>
      <c r="G314" s="2" t="s">
        <v>1</v>
      </c>
      <c r="H314" s="2" t="s">
        <v>18</v>
      </c>
      <c r="I314" s="2" t="s">
        <v>15</v>
      </c>
      <c r="J314" s="2" t="s">
        <v>15</v>
      </c>
    </row>
    <row r="315" ht="15.75" customHeight="1">
      <c r="A315" s="1" t="s">
        <v>643</v>
      </c>
      <c r="B315" s="1" t="s">
        <v>644</v>
      </c>
      <c r="C315" s="1" t="s">
        <v>12</v>
      </c>
      <c r="D315" s="1" t="s">
        <v>640</v>
      </c>
      <c r="E315" s="4">
        <v>1007894.0</v>
      </c>
      <c r="F315" s="2">
        <v>2.0</v>
      </c>
      <c r="G315" s="2" t="s">
        <v>1</v>
      </c>
      <c r="H315" s="2" t="s">
        <v>14</v>
      </c>
      <c r="I315" s="2" t="s">
        <v>15</v>
      </c>
      <c r="J315" s="2" t="s">
        <v>15</v>
      </c>
    </row>
    <row r="316" ht="15.75" customHeight="1">
      <c r="A316" s="1" t="s">
        <v>645</v>
      </c>
      <c r="B316" s="1" t="s">
        <v>646</v>
      </c>
      <c r="C316" s="1" t="s">
        <v>12</v>
      </c>
      <c r="D316" s="1" t="s">
        <v>640</v>
      </c>
      <c r="E316" s="4">
        <v>1007894.0</v>
      </c>
      <c r="F316" s="2">
        <v>2.0</v>
      </c>
      <c r="G316" s="2" t="s">
        <v>1</v>
      </c>
      <c r="H316" s="2" t="s">
        <v>18</v>
      </c>
      <c r="I316" s="2" t="s">
        <v>15</v>
      </c>
      <c r="J316" s="2" t="s">
        <v>15</v>
      </c>
    </row>
    <row r="317" ht="15.75" customHeight="1">
      <c r="A317" s="1" t="s">
        <v>647</v>
      </c>
      <c r="B317" s="1" t="s">
        <v>648</v>
      </c>
      <c r="C317" s="1" t="s">
        <v>12</v>
      </c>
      <c r="D317" s="1" t="s">
        <v>640</v>
      </c>
      <c r="E317" s="4">
        <v>1007894.0</v>
      </c>
      <c r="F317" s="2">
        <v>3.0</v>
      </c>
      <c r="G317" s="2" t="s">
        <v>1</v>
      </c>
      <c r="H317" s="2" t="s">
        <v>14</v>
      </c>
      <c r="I317" s="2" t="s">
        <v>15</v>
      </c>
      <c r="J317" s="2" t="s">
        <v>15</v>
      </c>
    </row>
    <row r="318" ht="15.75" customHeight="1">
      <c r="A318" s="1" t="s">
        <v>649</v>
      </c>
      <c r="B318" s="1" t="s">
        <v>650</v>
      </c>
      <c r="C318" s="1" t="s">
        <v>12</v>
      </c>
      <c r="D318" s="1" t="s">
        <v>640</v>
      </c>
      <c r="E318" s="4">
        <v>1007894.0</v>
      </c>
      <c r="F318" s="2">
        <v>3.0</v>
      </c>
      <c r="G318" s="2" t="s">
        <v>1</v>
      </c>
      <c r="H318" s="2" t="s">
        <v>18</v>
      </c>
      <c r="I318" s="2" t="s">
        <v>15</v>
      </c>
      <c r="J318" s="2" t="s">
        <v>15</v>
      </c>
    </row>
    <row r="319" ht="15.75" customHeight="1">
      <c r="A319" s="1" t="s">
        <v>651</v>
      </c>
      <c r="B319" s="1" t="s">
        <v>652</v>
      </c>
      <c r="C319" s="1" t="s">
        <v>12</v>
      </c>
      <c r="D319" s="1" t="s">
        <v>640</v>
      </c>
      <c r="E319" s="4">
        <v>1007894.0</v>
      </c>
      <c r="F319" s="2">
        <v>4.0</v>
      </c>
      <c r="G319" s="2" t="s">
        <v>1</v>
      </c>
      <c r="H319" s="2" t="s">
        <v>14</v>
      </c>
      <c r="I319" s="2" t="s">
        <v>15</v>
      </c>
      <c r="J319" s="2" t="s">
        <v>15</v>
      </c>
    </row>
    <row r="320" ht="15.75" customHeight="1">
      <c r="A320" s="1" t="s">
        <v>653</v>
      </c>
      <c r="B320" s="1" t="s">
        <v>654</v>
      </c>
      <c r="C320" s="1" t="s">
        <v>12</v>
      </c>
      <c r="D320" s="1" t="s">
        <v>640</v>
      </c>
      <c r="E320" s="4">
        <v>1007894.0</v>
      </c>
      <c r="F320" s="2">
        <v>4.0</v>
      </c>
      <c r="G320" s="2" t="s">
        <v>1</v>
      </c>
      <c r="H320" s="2" t="s">
        <v>18</v>
      </c>
      <c r="I320" s="2" t="s">
        <v>15</v>
      </c>
      <c r="J320" s="2" t="s">
        <v>15</v>
      </c>
    </row>
    <row r="321" ht="15.75" customHeight="1">
      <c r="A321" s="1" t="s">
        <v>655</v>
      </c>
      <c r="B321" s="1" t="s">
        <v>656</v>
      </c>
      <c r="C321" s="1" t="s">
        <v>12</v>
      </c>
      <c r="D321" s="1" t="s">
        <v>640</v>
      </c>
      <c r="E321" s="4">
        <v>1007894.0</v>
      </c>
      <c r="F321" s="2" t="s">
        <v>30</v>
      </c>
      <c r="G321" s="2" t="s">
        <v>1</v>
      </c>
      <c r="H321" s="2" t="s">
        <v>14</v>
      </c>
      <c r="I321" s="2" t="s">
        <v>15</v>
      </c>
      <c r="J321" s="2" t="s">
        <v>15</v>
      </c>
    </row>
    <row r="322" ht="15.75" customHeight="1">
      <c r="A322" s="1" t="s">
        <v>657</v>
      </c>
      <c r="B322" s="1" t="s">
        <v>658</v>
      </c>
      <c r="C322" s="1" t="s">
        <v>12</v>
      </c>
      <c r="D322" s="1" t="s">
        <v>640</v>
      </c>
      <c r="E322" s="4">
        <v>1007894.0</v>
      </c>
      <c r="F322" s="2" t="s">
        <v>15</v>
      </c>
      <c r="G322" s="2" t="s">
        <v>33</v>
      </c>
      <c r="H322" s="2" t="s">
        <v>15</v>
      </c>
      <c r="I322" s="2" t="s">
        <v>15</v>
      </c>
      <c r="J322" s="2" t="s">
        <v>15</v>
      </c>
    </row>
    <row r="323" ht="15.75" customHeight="1">
      <c r="A323" s="1" t="s">
        <v>659</v>
      </c>
      <c r="B323" s="1" t="s">
        <v>660</v>
      </c>
      <c r="C323" s="1" t="s">
        <v>12</v>
      </c>
      <c r="D323" s="1" t="s">
        <v>661</v>
      </c>
      <c r="E323" s="4">
        <v>1007958.0</v>
      </c>
      <c r="F323" s="2">
        <v>1.0</v>
      </c>
      <c r="G323" s="2" t="s">
        <v>1</v>
      </c>
      <c r="H323" s="2" t="s">
        <v>14</v>
      </c>
      <c r="I323" s="2" t="s">
        <v>15</v>
      </c>
      <c r="J323" s="2" t="s">
        <v>15</v>
      </c>
    </row>
    <row r="324" ht="15.75" customHeight="1">
      <c r="A324" s="1" t="s">
        <v>662</v>
      </c>
      <c r="B324" s="1" t="s">
        <v>663</v>
      </c>
      <c r="C324" s="1" t="s">
        <v>12</v>
      </c>
      <c r="D324" s="1" t="s">
        <v>661</v>
      </c>
      <c r="E324" s="4">
        <v>1007958.0</v>
      </c>
      <c r="F324" s="2">
        <v>1.0</v>
      </c>
      <c r="G324" s="2" t="s">
        <v>1</v>
      </c>
      <c r="H324" s="2" t="s">
        <v>18</v>
      </c>
      <c r="I324" s="2" t="s">
        <v>15</v>
      </c>
      <c r="J324" s="2" t="s">
        <v>15</v>
      </c>
    </row>
    <row r="325" ht="15.75" customHeight="1">
      <c r="A325" s="1" t="s">
        <v>664</v>
      </c>
      <c r="B325" s="1" t="s">
        <v>665</v>
      </c>
      <c r="C325" s="1" t="s">
        <v>12</v>
      </c>
      <c r="D325" s="1" t="s">
        <v>661</v>
      </c>
      <c r="E325" s="4">
        <v>1007958.0</v>
      </c>
      <c r="F325" s="2">
        <v>2.0</v>
      </c>
      <c r="G325" s="2" t="s">
        <v>1</v>
      </c>
      <c r="H325" s="2" t="s">
        <v>14</v>
      </c>
      <c r="I325" s="2" t="s">
        <v>15</v>
      </c>
      <c r="J325" s="2" t="s">
        <v>15</v>
      </c>
    </row>
    <row r="326" ht="15.75" customHeight="1">
      <c r="A326" s="1" t="s">
        <v>666</v>
      </c>
      <c r="B326" s="1" t="s">
        <v>667</v>
      </c>
      <c r="C326" s="1" t="s">
        <v>12</v>
      </c>
      <c r="D326" s="1" t="s">
        <v>661</v>
      </c>
      <c r="E326" s="4">
        <v>1007958.0</v>
      </c>
      <c r="F326" s="2">
        <v>2.0</v>
      </c>
      <c r="G326" s="2" t="s">
        <v>1</v>
      </c>
      <c r="H326" s="2" t="s">
        <v>18</v>
      </c>
      <c r="I326" s="2" t="s">
        <v>15</v>
      </c>
      <c r="J326" s="2" t="s">
        <v>15</v>
      </c>
    </row>
    <row r="327" ht="15.75" customHeight="1">
      <c r="A327" s="1" t="s">
        <v>668</v>
      </c>
      <c r="B327" s="1" t="s">
        <v>669</v>
      </c>
      <c r="C327" s="1" t="s">
        <v>12</v>
      </c>
      <c r="D327" s="1" t="s">
        <v>661</v>
      </c>
      <c r="E327" s="4">
        <v>1007958.0</v>
      </c>
      <c r="F327" s="2">
        <v>3.0</v>
      </c>
      <c r="G327" s="2" t="s">
        <v>1</v>
      </c>
      <c r="H327" s="2" t="s">
        <v>14</v>
      </c>
      <c r="I327" s="2" t="s">
        <v>15</v>
      </c>
      <c r="J327" s="2" t="s">
        <v>15</v>
      </c>
    </row>
    <row r="328" ht="15.75" customHeight="1">
      <c r="A328" s="1" t="s">
        <v>670</v>
      </c>
      <c r="B328" s="1" t="s">
        <v>671</v>
      </c>
      <c r="C328" s="1" t="s">
        <v>12</v>
      </c>
      <c r="D328" s="1" t="s">
        <v>661</v>
      </c>
      <c r="E328" s="4">
        <v>1007958.0</v>
      </c>
      <c r="F328" s="2">
        <v>3.0</v>
      </c>
      <c r="G328" s="2" t="s">
        <v>1</v>
      </c>
      <c r="H328" s="2" t="s">
        <v>18</v>
      </c>
      <c r="I328" s="2" t="s">
        <v>15</v>
      </c>
      <c r="J328" s="2" t="s">
        <v>15</v>
      </c>
    </row>
    <row r="329" ht="15.75" customHeight="1">
      <c r="A329" s="1" t="s">
        <v>672</v>
      </c>
      <c r="B329" s="1" t="s">
        <v>673</v>
      </c>
      <c r="C329" s="1" t="s">
        <v>12</v>
      </c>
      <c r="D329" s="1" t="s">
        <v>661</v>
      </c>
      <c r="E329" s="4">
        <v>1007958.0</v>
      </c>
      <c r="F329" s="2">
        <v>4.0</v>
      </c>
      <c r="G329" s="2" t="s">
        <v>1</v>
      </c>
      <c r="H329" s="2" t="s">
        <v>14</v>
      </c>
      <c r="I329" s="2" t="s">
        <v>15</v>
      </c>
      <c r="J329" s="2" t="s">
        <v>15</v>
      </c>
    </row>
    <row r="330" ht="15.75" customHeight="1">
      <c r="A330" s="1" t="s">
        <v>674</v>
      </c>
      <c r="B330" s="1" t="s">
        <v>675</v>
      </c>
      <c r="C330" s="1" t="s">
        <v>12</v>
      </c>
      <c r="D330" s="1" t="s">
        <v>661</v>
      </c>
      <c r="E330" s="4">
        <v>1007958.0</v>
      </c>
      <c r="F330" s="2">
        <v>4.0</v>
      </c>
      <c r="G330" s="2" t="s">
        <v>1</v>
      </c>
      <c r="H330" s="2" t="s">
        <v>18</v>
      </c>
      <c r="I330" s="2" t="s">
        <v>15</v>
      </c>
      <c r="J330" s="2" t="s">
        <v>15</v>
      </c>
    </row>
    <row r="331" ht="15.75" customHeight="1">
      <c r="A331" s="1" t="s">
        <v>676</v>
      </c>
      <c r="B331" s="1" t="s">
        <v>677</v>
      </c>
      <c r="C331" s="1" t="s">
        <v>12</v>
      </c>
      <c r="D331" s="1" t="s">
        <v>661</v>
      </c>
      <c r="E331" s="4">
        <v>1007958.0</v>
      </c>
      <c r="F331" s="2" t="s">
        <v>30</v>
      </c>
      <c r="G331" s="2" t="s">
        <v>1</v>
      </c>
      <c r="H331" s="2" t="s">
        <v>14</v>
      </c>
      <c r="I331" s="2" t="s">
        <v>15</v>
      </c>
      <c r="J331" s="2" t="s">
        <v>15</v>
      </c>
    </row>
    <row r="332" ht="15.75" customHeight="1">
      <c r="A332" s="1" t="s">
        <v>678</v>
      </c>
      <c r="B332" s="1" t="s">
        <v>679</v>
      </c>
      <c r="C332" s="1" t="s">
        <v>12</v>
      </c>
      <c r="D332" s="1" t="s">
        <v>661</v>
      </c>
      <c r="E332" s="4">
        <v>1007958.0</v>
      </c>
      <c r="F332" s="2" t="s">
        <v>15</v>
      </c>
      <c r="G332" s="2" t="s">
        <v>33</v>
      </c>
      <c r="H332" s="2" t="s">
        <v>15</v>
      </c>
      <c r="I332" s="2" t="s">
        <v>15</v>
      </c>
      <c r="J332" s="2" t="s">
        <v>15</v>
      </c>
    </row>
    <row r="333" ht="15.75" customHeight="1">
      <c r="A333" s="1" t="s">
        <v>680</v>
      </c>
      <c r="B333" s="1" t="s">
        <v>681</v>
      </c>
      <c r="C333" s="1" t="s">
        <v>12</v>
      </c>
      <c r="D333" s="1" t="s">
        <v>682</v>
      </c>
      <c r="E333" s="4">
        <v>1008022.0</v>
      </c>
      <c r="F333" s="2">
        <v>1.0</v>
      </c>
      <c r="G333" s="2" t="s">
        <v>1</v>
      </c>
      <c r="H333" s="2" t="s">
        <v>14</v>
      </c>
      <c r="I333" s="2" t="s">
        <v>15</v>
      </c>
      <c r="J333" s="2" t="s">
        <v>15</v>
      </c>
    </row>
    <row r="334" ht="15.75" customHeight="1">
      <c r="A334" s="1" t="s">
        <v>683</v>
      </c>
      <c r="B334" s="1" t="s">
        <v>684</v>
      </c>
      <c r="C334" s="1" t="s">
        <v>12</v>
      </c>
      <c r="D334" s="1" t="s">
        <v>682</v>
      </c>
      <c r="E334" s="4">
        <v>1008022.0</v>
      </c>
      <c r="F334" s="2">
        <v>1.0</v>
      </c>
      <c r="G334" s="2" t="s">
        <v>1</v>
      </c>
      <c r="H334" s="2" t="s">
        <v>18</v>
      </c>
      <c r="I334" s="2" t="s">
        <v>15</v>
      </c>
      <c r="J334" s="2" t="s">
        <v>15</v>
      </c>
    </row>
    <row r="335" ht="15.75" customHeight="1">
      <c r="A335" s="1" t="s">
        <v>685</v>
      </c>
      <c r="B335" s="1" t="s">
        <v>686</v>
      </c>
      <c r="C335" s="1" t="s">
        <v>12</v>
      </c>
      <c r="D335" s="1" t="s">
        <v>682</v>
      </c>
      <c r="E335" s="4">
        <v>1008022.0</v>
      </c>
      <c r="F335" s="2">
        <v>2.0</v>
      </c>
      <c r="G335" s="2" t="s">
        <v>1</v>
      </c>
      <c r="H335" s="2" t="s">
        <v>14</v>
      </c>
      <c r="I335" s="2" t="s">
        <v>15</v>
      </c>
      <c r="J335" s="2" t="s">
        <v>15</v>
      </c>
    </row>
    <row r="336" ht="15.75" customHeight="1">
      <c r="A336" s="1" t="s">
        <v>687</v>
      </c>
      <c r="B336" s="1" t="s">
        <v>688</v>
      </c>
      <c r="C336" s="1" t="s">
        <v>12</v>
      </c>
      <c r="D336" s="1" t="s">
        <v>682</v>
      </c>
      <c r="E336" s="4">
        <v>1008022.0</v>
      </c>
      <c r="F336" s="2">
        <v>2.0</v>
      </c>
      <c r="G336" s="2" t="s">
        <v>1</v>
      </c>
      <c r="H336" s="2" t="s">
        <v>18</v>
      </c>
      <c r="I336" s="2" t="s">
        <v>15</v>
      </c>
      <c r="J336" s="2" t="s">
        <v>15</v>
      </c>
    </row>
    <row r="337" ht="15.75" customHeight="1">
      <c r="A337" s="1" t="s">
        <v>689</v>
      </c>
      <c r="B337" s="1" t="s">
        <v>690</v>
      </c>
      <c r="C337" s="1" t="s">
        <v>12</v>
      </c>
      <c r="D337" s="1" t="s">
        <v>682</v>
      </c>
      <c r="E337" s="4">
        <v>1008022.0</v>
      </c>
      <c r="F337" s="2">
        <v>2.0</v>
      </c>
      <c r="G337" s="2" t="s">
        <v>1</v>
      </c>
      <c r="H337" s="2" t="s">
        <v>21</v>
      </c>
      <c r="I337" s="2" t="s">
        <v>15</v>
      </c>
      <c r="J337" s="2" t="s">
        <v>15</v>
      </c>
    </row>
    <row r="338" ht="15.75" customHeight="1">
      <c r="A338" s="1" t="s">
        <v>691</v>
      </c>
      <c r="B338" s="1" t="s">
        <v>692</v>
      </c>
      <c r="C338" s="1" t="s">
        <v>12</v>
      </c>
      <c r="D338" s="1" t="s">
        <v>682</v>
      </c>
      <c r="E338" s="4">
        <v>1008022.0</v>
      </c>
      <c r="F338" s="2">
        <v>3.0</v>
      </c>
      <c r="G338" s="2" t="s">
        <v>1</v>
      </c>
      <c r="H338" s="2" t="s">
        <v>14</v>
      </c>
      <c r="I338" s="2" t="s">
        <v>15</v>
      </c>
      <c r="J338" s="2" t="s">
        <v>15</v>
      </c>
    </row>
    <row r="339" ht="15.75" customHeight="1">
      <c r="A339" s="1" t="s">
        <v>693</v>
      </c>
      <c r="B339" s="1" t="s">
        <v>694</v>
      </c>
      <c r="C339" s="1" t="s">
        <v>12</v>
      </c>
      <c r="D339" s="1" t="s">
        <v>682</v>
      </c>
      <c r="E339" s="4">
        <v>1008022.0</v>
      </c>
      <c r="F339" s="2">
        <v>3.0</v>
      </c>
      <c r="G339" s="2" t="s">
        <v>1</v>
      </c>
      <c r="H339" s="2" t="s">
        <v>18</v>
      </c>
      <c r="I339" s="2" t="s">
        <v>15</v>
      </c>
      <c r="J339" s="2" t="s">
        <v>15</v>
      </c>
    </row>
    <row r="340" ht="15.75" customHeight="1">
      <c r="A340" s="1" t="s">
        <v>695</v>
      </c>
      <c r="B340" s="1" t="s">
        <v>696</v>
      </c>
      <c r="C340" s="1" t="s">
        <v>12</v>
      </c>
      <c r="D340" s="1" t="s">
        <v>682</v>
      </c>
      <c r="E340" s="4">
        <v>1008022.0</v>
      </c>
      <c r="F340" s="2" t="s">
        <v>30</v>
      </c>
      <c r="G340" s="2" t="s">
        <v>1</v>
      </c>
      <c r="H340" s="2" t="s">
        <v>14</v>
      </c>
      <c r="I340" s="2" t="s">
        <v>15</v>
      </c>
      <c r="J340" s="2" t="s">
        <v>15</v>
      </c>
    </row>
    <row r="341" ht="15.75" customHeight="1">
      <c r="A341" s="1" t="s">
        <v>697</v>
      </c>
      <c r="B341" s="1" t="s">
        <v>698</v>
      </c>
      <c r="C341" s="1" t="s">
        <v>12</v>
      </c>
      <c r="D341" s="1" t="s">
        <v>682</v>
      </c>
      <c r="E341" s="4">
        <v>1008022.0</v>
      </c>
      <c r="F341" s="2" t="s">
        <v>15</v>
      </c>
      <c r="G341" s="2" t="s">
        <v>33</v>
      </c>
      <c r="H341" s="2" t="s">
        <v>15</v>
      </c>
      <c r="I341" s="2" t="s">
        <v>15</v>
      </c>
      <c r="J341" s="2" t="s">
        <v>15</v>
      </c>
    </row>
    <row r="342" ht="15.75" customHeight="1">
      <c r="A342" s="1" t="s">
        <v>699</v>
      </c>
      <c r="B342" s="1" t="s">
        <v>700</v>
      </c>
      <c r="C342" s="1" t="s">
        <v>12</v>
      </c>
      <c r="D342" s="1" t="s">
        <v>682</v>
      </c>
      <c r="E342" s="4">
        <v>1008022.0</v>
      </c>
      <c r="F342" s="2">
        <v>2.0</v>
      </c>
      <c r="G342" s="2" t="s">
        <v>1</v>
      </c>
      <c r="H342" s="2" t="s">
        <v>37</v>
      </c>
      <c r="I342" s="2" t="s">
        <v>15</v>
      </c>
      <c r="J342" s="2" t="s">
        <v>15</v>
      </c>
    </row>
    <row r="343" ht="15.75" customHeight="1">
      <c r="A343" s="1" t="s">
        <v>701</v>
      </c>
      <c r="B343" s="1" t="s">
        <v>702</v>
      </c>
      <c r="C343" s="1" t="s">
        <v>12</v>
      </c>
      <c r="D343" s="1" t="s">
        <v>682</v>
      </c>
      <c r="E343" s="4">
        <v>1008022.0</v>
      </c>
      <c r="F343" s="2" t="s">
        <v>30</v>
      </c>
      <c r="G343" s="2" t="s">
        <v>1</v>
      </c>
      <c r="H343" s="2" t="s">
        <v>37</v>
      </c>
      <c r="I343" s="2" t="s">
        <v>15</v>
      </c>
      <c r="J343" s="2" t="s">
        <v>15</v>
      </c>
    </row>
    <row r="344" ht="15.75" customHeight="1">
      <c r="A344" s="1" t="s">
        <v>703</v>
      </c>
      <c r="B344" s="1" t="s">
        <v>704</v>
      </c>
      <c r="C344" s="1" t="s">
        <v>12</v>
      </c>
      <c r="D344" s="1" t="s">
        <v>705</v>
      </c>
      <c r="E344" s="4">
        <v>1008086.0</v>
      </c>
      <c r="F344" s="2">
        <v>1.0</v>
      </c>
      <c r="G344" s="2" t="s">
        <v>1</v>
      </c>
      <c r="H344" s="2" t="s">
        <v>14</v>
      </c>
      <c r="I344" s="2" t="s">
        <v>15</v>
      </c>
      <c r="J344" s="2" t="s">
        <v>15</v>
      </c>
    </row>
    <row r="345" ht="15.75" customHeight="1">
      <c r="A345" s="1" t="s">
        <v>706</v>
      </c>
      <c r="B345" s="1" t="s">
        <v>707</v>
      </c>
      <c r="C345" s="1" t="s">
        <v>12</v>
      </c>
      <c r="D345" s="1" t="s">
        <v>705</v>
      </c>
      <c r="E345" s="4">
        <v>1008086.0</v>
      </c>
      <c r="F345" s="2">
        <v>1.0</v>
      </c>
      <c r="G345" s="2" t="s">
        <v>1</v>
      </c>
      <c r="H345" s="2" t="s">
        <v>18</v>
      </c>
      <c r="I345" s="2" t="s">
        <v>15</v>
      </c>
      <c r="J345" s="2" t="s">
        <v>15</v>
      </c>
    </row>
    <row r="346" ht="15.75" customHeight="1">
      <c r="A346" s="1" t="s">
        <v>708</v>
      </c>
      <c r="B346" s="1" t="s">
        <v>709</v>
      </c>
      <c r="C346" s="1" t="s">
        <v>12</v>
      </c>
      <c r="D346" s="1" t="s">
        <v>705</v>
      </c>
      <c r="E346" s="4">
        <v>1008086.0</v>
      </c>
      <c r="F346" s="2">
        <v>2.0</v>
      </c>
      <c r="G346" s="2" t="s">
        <v>1</v>
      </c>
      <c r="H346" s="2" t="s">
        <v>14</v>
      </c>
      <c r="I346" s="2" t="s">
        <v>15</v>
      </c>
      <c r="J346" s="2" t="s">
        <v>15</v>
      </c>
    </row>
    <row r="347" ht="15.75" customHeight="1">
      <c r="A347" s="1" t="s">
        <v>710</v>
      </c>
      <c r="B347" s="1" t="s">
        <v>711</v>
      </c>
      <c r="C347" s="1" t="s">
        <v>12</v>
      </c>
      <c r="D347" s="1" t="s">
        <v>705</v>
      </c>
      <c r="E347" s="4">
        <v>1008086.0</v>
      </c>
      <c r="F347" s="2">
        <v>2.0</v>
      </c>
      <c r="G347" s="2" t="s">
        <v>1</v>
      </c>
      <c r="H347" s="2" t="s">
        <v>18</v>
      </c>
      <c r="I347" s="2" t="s">
        <v>15</v>
      </c>
      <c r="J347" s="2" t="s">
        <v>15</v>
      </c>
    </row>
    <row r="348" ht="15.75" customHeight="1">
      <c r="A348" s="1" t="s">
        <v>712</v>
      </c>
      <c r="B348" s="1" t="s">
        <v>713</v>
      </c>
      <c r="C348" s="1" t="s">
        <v>12</v>
      </c>
      <c r="D348" s="1" t="s">
        <v>705</v>
      </c>
      <c r="E348" s="4">
        <v>1008086.0</v>
      </c>
      <c r="F348" s="2">
        <v>2.0</v>
      </c>
      <c r="G348" s="2" t="s">
        <v>1</v>
      </c>
      <c r="H348" s="2" t="s">
        <v>21</v>
      </c>
      <c r="I348" s="2" t="s">
        <v>15</v>
      </c>
      <c r="J348" s="2" t="s">
        <v>15</v>
      </c>
    </row>
    <row r="349" ht="15.75" customHeight="1">
      <c r="A349" s="1" t="s">
        <v>714</v>
      </c>
      <c r="B349" s="1" t="s">
        <v>715</v>
      </c>
      <c r="C349" s="1" t="s">
        <v>12</v>
      </c>
      <c r="D349" s="1" t="s">
        <v>705</v>
      </c>
      <c r="E349" s="4">
        <v>1008086.0</v>
      </c>
      <c r="F349" s="2">
        <v>3.0</v>
      </c>
      <c r="G349" s="2" t="s">
        <v>1</v>
      </c>
      <c r="H349" s="2" t="s">
        <v>14</v>
      </c>
      <c r="I349" s="2" t="s">
        <v>15</v>
      </c>
      <c r="J349" s="2" t="s">
        <v>15</v>
      </c>
    </row>
    <row r="350" ht="15.75" customHeight="1">
      <c r="A350" s="1" t="s">
        <v>716</v>
      </c>
      <c r="B350" s="1" t="s">
        <v>717</v>
      </c>
      <c r="C350" s="1" t="s">
        <v>12</v>
      </c>
      <c r="D350" s="1" t="s">
        <v>705</v>
      </c>
      <c r="E350" s="4">
        <v>1008086.0</v>
      </c>
      <c r="F350" s="2">
        <v>3.0</v>
      </c>
      <c r="G350" s="2" t="s">
        <v>1</v>
      </c>
      <c r="H350" s="2" t="s">
        <v>18</v>
      </c>
      <c r="I350" s="2" t="s">
        <v>15</v>
      </c>
      <c r="J350" s="2" t="s">
        <v>15</v>
      </c>
    </row>
    <row r="351" ht="15.75" customHeight="1">
      <c r="A351" s="1" t="s">
        <v>718</v>
      </c>
      <c r="B351" s="1" t="s">
        <v>719</v>
      </c>
      <c r="C351" s="1" t="s">
        <v>12</v>
      </c>
      <c r="D351" s="1" t="s">
        <v>705</v>
      </c>
      <c r="E351" s="4">
        <v>1008086.0</v>
      </c>
      <c r="F351" s="2">
        <v>4.0</v>
      </c>
      <c r="G351" s="2" t="s">
        <v>1</v>
      </c>
      <c r="H351" s="2" t="s">
        <v>14</v>
      </c>
      <c r="I351" s="2" t="s">
        <v>15</v>
      </c>
      <c r="J351" s="2" t="s">
        <v>15</v>
      </c>
    </row>
    <row r="352" ht="15.75" customHeight="1">
      <c r="A352" s="1" t="s">
        <v>720</v>
      </c>
      <c r="B352" s="1" t="s">
        <v>721</v>
      </c>
      <c r="C352" s="1" t="s">
        <v>12</v>
      </c>
      <c r="D352" s="1" t="s">
        <v>705</v>
      </c>
      <c r="E352" s="4">
        <v>1008086.0</v>
      </c>
      <c r="F352" s="2">
        <v>4.0</v>
      </c>
      <c r="G352" s="2" t="s">
        <v>1</v>
      </c>
      <c r="H352" s="2" t="s">
        <v>18</v>
      </c>
      <c r="I352" s="2" t="s">
        <v>15</v>
      </c>
      <c r="J352" s="2" t="s">
        <v>15</v>
      </c>
    </row>
    <row r="353" ht="15.75" customHeight="1">
      <c r="A353" s="1" t="s">
        <v>722</v>
      </c>
      <c r="B353" s="1" t="s">
        <v>723</v>
      </c>
      <c r="C353" s="1" t="s">
        <v>12</v>
      </c>
      <c r="D353" s="1" t="s">
        <v>705</v>
      </c>
      <c r="E353" s="4">
        <v>1008086.0</v>
      </c>
      <c r="F353" s="2" t="s">
        <v>30</v>
      </c>
      <c r="G353" s="2" t="s">
        <v>1</v>
      </c>
      <c r="H353" s="2" t="s">
        <v>14</v>
      </c>
      <c r="I353" s="2" t="s">
        <v>15</v>
      </c>
      <c r="J353" s="2" t="s">
        <v>15</v>
      </c>
    </row>
    <row r="354" ht="15.75" customHeight="1">
      <c r="A354" s="1" t="s">
        <v>724</v>
      </c>
      <c r="B354" s="1" t="s">
        <v>725</v>
      </c>
      <c r="C354" s="1" t="s">
        <v>12</v>
      </c>
      <c r="D354" s="1" t="s">
        <v>705</v>
      </c>
      <c r="E354" s="4">
        <v>1008086.0</v>
      </c>
      <c r="F354" s="2" t="s">
        <v>15</v>
      </c>
      <c r="G354" s="2" t="s">
        <v>33</v>
      </c>
      <c r="H354" s="2" t="s">
        <v>15</v>
      </c>
      <c r="I354" s="2" t="s">
        <v>15</v>
      </c>
      <c r="J354" s="2" t="s">
        <v>15</v>
      </c>
    </row>
    <row r="355" ht="15.75" customHeight="1">
      <c r="A355" s="1" t="s">
        <v>726</v>
      </c>
      <c r="B355" s="1" t="s">
        <v>727</v>
      </c>
      <c r="C355" s="1" t="s">
        <v>12</v>
      </c>
      <c r="D355" s="1" t="s">
        <v>705</v>
      </c>
      <c r="E355" s="4">
        <v>1008086.0</v>
      </c>
      <c r="F355" s="2">
        <v>2.0</v>
      </c>
      <c r="G355" s="2" t="s">
        <v>1</v>
      </c>
      <c r="H355" s="2" t="s">
        <v>37</v>
      </c>
      <c r="I355" s="2" t="s">
        <v>15</v>
      </c>
      <c r="J355" s="2" t="s">
        <v>15</v>
      </c>
    </row>
    <row r="356" ht="15.75" customHeight="1">
      <c r="A356" s="1" t="s">
        <v>728</v>
      </c>
      <c r="B356" s="1" t="s">
        <v>729</v>
      </c>
      <c r="C356" s="1" t="s">
        <v>12</v>
      </c>
      <c r="D356" s="1" t="s">
        <v>705</v>
      </c>
      <c r="E356" s="4">
        <v>1008086.0</v>
      </c>
      <c r="F356" s="2" t="s">
        <v>30</v>
      </c>
      <c r="G356" s="2" t="s">
        <v>1</v>
      </c>
      <c r="H356" s="2" t="s">
        <v>37</v>
      </c>
      <c r="I356" s="2" t="s">
        <v>15</v>
      </c>
      <c r="J356" s="2" t="s">
        <v>15</v>
      </c>
    </row>
    <row r="357" ht="15.75" customHeight="1">
      <c r="A357" s="1" t="s">
        <v>730</v>
      </c>
      <c r="B357" s="3" t="s">
        <v>731</v>
      </c>
      <c r="C357" s="1" t="s">
        <v>12</v>
      </c>
      <c r="D357" s="1" t="s">
        <v>732</v>
      </c>
      <c r="E357" s="4">
        <v>1008150.0</v>
      </c>
      <c r="F357" s="2" t="s">
        <v>15</v>
      </c>
      <c r="G357" s="2" t="s">
        <v>1</v>
      </c>
      <c r="H357" s="2" t="s">
        <v>53</v>
      </c>
      <c r="I357" s="2" t="s">
        <v>15</v>
      </c>
      <c r="J357" s="2" t="s">
        <v>15</v>
      </c>
    </row>
    <row r="358" ht="15.75" customHeight="1">
      <c r="A358" s="1" t="s">
        <v>733</v>
      </c>
      <c r="B358" s="3" t="s">
        <v>734</v>
      </c>
      <c r="C358" s="1" t="s">
        <v>12</v>
      </c>
      <c r="D358" s="1" t="s">
        <v>732</v>
      </c>
      <c r="E358" s="4">
        <v>1008150.0</v>
      </c>
      <c r="F358" s="2">
        <v>1.0</v>
      </c>
      <c r="G358" s="2" t="s">
        <v>1</v>
      </c>
      <c r="H358" s="2" t="s">
        <v>14</v>
      </c>
      <c r="I358" s="5" t="str">
        <f>IFERROR(
  MID(
    SUBSTITUTE(B358, CHAR(10), ""),
    FIND("_Gross ROI=", SUBSTITUTE(B358, CHAR(10), "")) + LEN("_Gross ROI="),
    FIND("%", SUBSTITUTE(B358, CHAR(10), ""), FIND("_Gross ROI=", SUBSTITUTE(B358, CHAR(10), "")))
      - FIND("_Gross ROI=", SUBSTITUTE(B358, CHAR(10), "")) - LEN("_Gross ROI=") + 1
  ),
  ""
)</f>
        <v>6%</v>
      </c>
      <c r="J358" s="5" t="str">
        <f>IFERROR(
  MID(
    SUBSTITUTE(B358, CHAR(10), ""),
    FIND("_Median annual rent=", SUBSTITUTE(B358, CHAR(10), "")) + LEN("_Median annual rent="),
    FIND("K", SUBSTITUTE(B358, CHAR(10), ""), FIND("_Median annual rent=", SUBSTITUTE(B358, CHAR(10), "")))
      - FIND("_Median annual rent=", SUBSTITUTE(B358, CHAR(10), "")) - LEN("_Median annual rent=") + 1
  ),
  "")</f>
        <v>115K</v>
      </c>
    </row>
    <row r="359" ht="15.75" customHeight="1">
      <c r="A359" s="1" t="s">
        <v>735</v>
      </c>
      <c r="B359" s="1" t="s">
        <v>736</v>
      </c>
      <c r="C359" s="1" t="s">
        <v>12</v>
      </c>
      <c r="D359" s="1" t="s">
        <v>732</v>
      </c>
      <c r="E359" s="4">
        <v>1008150.0</v>
      </c>
      <c r="F359" s="2">
        <v>1.0</v>
      </c>
      <c r="G359" s="2" t="s">
        <v>1</v>
      </c>
      <c r="H359" s="2" t="s">
        <v>18</v>
      </c>
      <c r="I359" s="2" t="s">
        <v>15</v>
      </c>
      <c r="J359" s="2" t="s">
        <v>15</v>
      </c>
    </row>
    <row r="360" ht="15.75" customHeight="1">
      <c r="A360" s="1" t="s">
        <v>737</v>
      </c>
      <c r="B360" s="1" t="s">
        <v>738</v>
      </c>
      <c r="C360" s="1" t="s">
        <v>12</v>
      </c>
      <c r="D360" s="1" t="s">
        <v>732</v>
      </c>
      <c r="E360" s="4">
        <v>1008150.0</v>
      </c>
      <c r="F360" s="2">
        <v>1.0</v>
      </c>
      <c r="G360" s="2" t="s">
        <v>1</v>
      </c>
      <c r="H360" s="2" t="s">
        <v>53</v>
      </c>
      <c r="I360" s="2" t="s">
        <v>15</v>
      </c>
      <c r="J360" s="2" t="s">
        <v>15</v>
      </c>
    </row>
    <row r="361" ht="15.75" customHeight="1">
      <c r="A361" s="1" t="s">
        <v>739</v>
      </c>
      <c r="B361" s="3" t="s">
        <v>740</v>
      </c>
      <c r="C361" s="1" t="s">
        <v>12</v>
      </c>
      <c r="D361" s="1" t="s">
        <v>732</v>
      </c>
      <c r="E361" s="4">
        <v>1008150.0</v>
      </c>
      <c r="F361" s="2">
        <v>2.0</v>
      </c>
      <c r="G361" s="2" t="s">
        <v>1</v>
      </c>
      <c r="H361" s="2" t="s">
        <v>14</v>
      </c>
      <c r="I361" s="5" t="str">
        <f>IFERROR(
  MID(
    SUBSTITUTE(B361, CHAR(10), ""),
    FIND("_Gross ROI=", SUBSTITUTE(B361, CHAR(10), "")) + LEN("_Gross ROI="),
    FIND("%", SUBSTITUTE(B361, CHAR(10), ""), FIND("_Gross ROI=", SUBSTITUTE(B361, CHAR(10), "")))
      - FIND("_Gross ROI=", SUBSTITUTE(B361, CHAR(10), "")) - LEN("_Gross ROI=") + 1
  ),
  ""
)</f>
        <v>6.07%</v>
      </c>
      <c r="J361" s="5" t="str">
        <f>IFERROR(
  MID(
    SUBSTITUTE(B361, CHAR(10), ""),
    FIND("_Median annual rent=", SUBSTITUTE(B361, CHAR(10), "")) + LEN("_Median annual rent="),
    FIND("K", SUBSTITUTE(B361, CHAR(10), ""), FIND("_Median annual rent=", SUBSTITUTE(B361, CHAR(10), "")))
      - FIND("_Median annual rent=", SUBSTITUTE(B361, CHAR(10), "")) - LEN("_Median annual rent=") + 1
  ),
  "")</f>
        <v>170K</v>
      </c>
    </row>
    <row r="362" ht="15.75" customHeight="1">
      <c r="A362" s="1" t="s">
        <v>741</v>
      </c>
      <c r="B362" s="1" t="s">
        <v>742</v>
      </c>
      <c r="C362" s="1" t="s">
        <v>12</v>
      </c>
      <c r="D362" s="1" t="s">
        <v>732</v>
      </c>
      <c r="E362" s="4">
        <v>1008150.0</v>
      </c>
      <c r="F362" s="2">
        <v>2.0</v>
      </c>
      <c r="G362" s="2" t="s">
        <v>1</v>
      </c>
      <c r="H362" s="2" t="s">
        <v>18</v>
      </c>
      <c r="I362" s="2" t="s">
        <v>15</v>
      </c>
      <c r="J362" s="2" t="s">
        <v>15</v>
      </c>
    </row>
    <row r="363" ht="15.75" customHeight="1">
      <c r="A363" s="1" t="s">
        <v>743</v>
      </c>
      <c r="B363" s="1" t="s">
        <v>744</v>
      </c>
      <c r="C363" s="1" t="s">
        <v>12</v>
      </c>
      <c r="D363" s="1" t="s">
        <v>732</v>
      </c>
      <c r="E363" s="4">
        <v>1008150.0</v>
      </c>
      <c r="F363" s="2">
        <v>2.0</v>
      </c>
      <c r="G363" s="2" t="s">
        <v>1</v>
      </c>
      <c r="H363" s="2" t="s">
        <v>53</v>
      </c>
      <c r="I363" s="2" t="s">
        <v>15</v>
      </c>
      <c r="J363" s="2" t="s">
        <v>15</v>
      </c>
    </row>
    <row r="364" ht="15.75" customHeight="1">
      <c r="A364" s="1" t="s">
        <v>745</v>
      </c>
      <c r="B364" s="1" t="s">
        <v>746</v>
      </c>
      <c r="C364" s="1" t="s">
        <v>12</v>
      </c>
      <c r="D364" s="1" t="s">
        <v>732</v>
      </c>
      <c r="E364" s="4">
        <v>1008150.0</v>
      </c>
      <c r="F364" s="2" t="s">
        <v>15</v>
      </c>
      <c r="G364" s="2" t="s">
        <v>1</v>
      </c>
      <c r="H364" s="2" t="s">
        <v>53</v>
      </c>
      <c r="I364" s="2" t="s">
        <v>15</v>
      </c>
      <c r="J364" s="2" t="s">
        <v>15</v>
      </c>
    </row>
    <row r="365" ht="15.75" customHeight="1">
      <c r="A365" s="1" t="s">
        <v>747</v>
      </c>
      <c r="B365" s="1" t="s">
        <v>748</v>
      </c>
      <c r="C365" s="1" t="s">
        <v>12</v>
      </c>
      <c r="D365" s="1" t="s">
        <v>732</v>
      </c>
      <c r="E365" s="4">
        <v>1008150.0</v>
      </c>
      <c r="F365" s="2" t="s">
        <v>15</v>
      </c>
      <c r="G365" s="2" t="s">
        <v>1</v>
      </c>
      <c r="H365" s="2" t="s">
        <v>53</v>
      </c>
      <c r="I365" s="2" t="s">
        <v>15</v>
      </c>
      <c r="J365" s="2" t="s">
        <v>15</v>
      </c>
    </row>
    <row r="366" ht="15.75" customHeight="1">
      <c r="A366" s="1" t="s">
        <v>749</v>
      </c>
      <c r="B366" s="1" t="s">
        <v>750</v>
      </c>
      <c r="C366" s="1" t="s">
        <v>12</v>
      </c>
      <c r="D366" s="1" t="s">
        <v>732</v>
      </c>
      <c r="E366" s="4">
        <v>1008150.0</v>
      </c>
      <c r="F366" s="2" t="s">
        <v>30</v>
      </c>
      <c r="G366" s="2" t="s">
        <v>1</v>
      </c>
      <c r="H366" s="2" t="s">
        <v>53</v>
      </c>
      <c r="I366" s="2" t="s">
        <v>15</v>
      </c>
      <c r="J366" s="2" t="s">
        <v>15</v>
      </c>
    </row>
    <row r="367" ht="15.75" customHeight="1">
      <c r="A367" s="1" t="s">
        <v>751</v>
      </c>
      <c r="B367" s="1" t="s">
        <v>752</v>
      </c>
      <c r="C367" s="1" t="s">
        <v>12</v>
      </c>
      <c r="D367" s="1" t="s">
        <v>732</v>
      </c>
      <c r="E367" s="4">
        <v>1008150.0</v>
      </c>
      <c r="F367" s="2" t="s">
        <v>30</v>
      </c>
      <c r="G367" s="2" t="s">
        <v>1</v>
      </c>
      <c r="H367" s="2" t="s">
        <v>14</v>
      </c>
      <c r="I367" s="2" t="s">
        <v>15</v>
      </c>
      <c r="J367" s="2" t="s">
        <v>15</v>
      </c>
    </row>
    <row r="368" ht="15.75" customHeight="1">
      <c r="A368" s="1" t="s">
        <v>753</v>
      </c>
      <c r="B368" s="1" t="s">
        <v>754</v>
      </c>
      <c r="C368" s="1" t="s">
        <v>12</v>
      </c>
      <c r="D368" s="1" t="s">
        <v>732</v>
      </c>
      <c r="E368" s="4">
        <v>1008150.0</v>
      </c>
      <c r="F368" s="2" t="s">
        <v>15</v>
      </c>
      <c r="G368" s="2" t="s">
        <v>33</v>
      </c>
      <c r="H368" s="2" t="s">
        <v>15</v>
      </c>
      <c r="I368" s="2" t="s">
        <v>15</v>
      </c>
      <c r="J368" s="2" t="s">
        <v>15</v>
      </c>
    </row>
    <row r="369" ht="15.75" customHeight="1">
      <c r="A369" s="1" t="s">
        <v>755</v>
      </c>
      <c r="B369" s="6" t="s">
        <v>756</v>
      </c>
      <c r="C369" s="1" t="s">
        <v>12</v>
      </c>
      <c r="D369" s="1" t="s">
        <v>757</v>
      </c>
      <c r="E369" s="4">
        <v>1008214.0</v>
      </c>
      <c r="F369" s="2" t="s">
        <v>36</v>
      </c>
      <c r="G369" s="2" t="s">
        <v>1</v>
      </c>
      <c r="H369" s="2" t="s">
        <v>14</v>
      </c>
      <c r="I369" s="5" t="str">
        <f>IFERROR(
  MID(
    SUBSTITUTE(B369, CHAR(10), ""),
    FIND("_Gross ROI=", SUBSTITUTE(B369, CHAR(10), "")) + LEN("_Gross ROI="),
    FIND("%", SUBSTITUTE(B369, CHAR(10), ""), FIND("_Gross ROI=", SUBSTITUTE(B369, CHAR(10), "")))
      - FIND("_Gross ROI=", SUBSTITUTE(B369, CHAR(10), "")) - LEN("_Gross ROI=") + 1
  ),
  ""
)</f>
        <v>6.17%</v>
      </c>
      <c r="J369" s="5" t="str">
        <f>IFERROR(
  MID(
    SUBSTITUTE(B369, CHAR(10), ""),
    FIND("_Median annual rent=", SUBSTITUTE(B369, CHAR(10), "")) + LEN("_Median annual rent="),
    FIND("K", SUBSTITUTE(B369, CHAR(10), ""), FIND("_Median annual rent=", SUBSTITUTE(B369, CHAR(10), "")))
      - FIND("_Median annual rent=", SUBSTITUTE(B369, CHAR(10), "")) - LEN("_Median annual rent=") + 1
  ),
  "")</f>
        <v>77.5K</v>
      </c>
    </row>
    <row r="370" ht="15.75" customHeight="1">
      <c r="A370" s="1" t="s">
        <v>758</v>
      </c>
      <c r="B370" s="1" t="s">
        <v>759</v>
      </c>
      <c r="C370" s="1" t="s">
        <v>12</v>
      </c>
      <c r="D370" s="1" t="s">
        <v>757</v>
      </c>
      <c r="E370" s="4">
        <v>1008214.0</v>
      </c>
      <c r="F370" s="2" t="s">
        <v>36</v>
      </c>
      <c r="G370" s="2" t="s">
        <v>1</v>
      </c>
      <c r="H370" s="2" t="s">
        <v>18</v>
      </c>
      <c r="I370" s="2" t="s">
        <v>15</v>
      </c>
      <c r="J370" s="2" t="s">
        <v>15</v>
      </c>
    </row>
    <row r="371" ht="15.75" customHeight="1">
      <c r="A371" s="1" t="s">
        <v>760</v>
      </c>
      <c r="B371" s="1" t="s">
        <v>761</v>
      </c>
      <c r="C371" s="1" t="s">
        <v>12</v>
      </c>
      <c r="D371" s="1" t="s">
        <v>757</v>
      </c>
      <c r="E371" s="4">
        <v>1008214.0</v>
      </c>
      <c r="F371" s="2" t="s">
        <v>36</v>
      </c>
      <c r="G371" s="2" t="s">
        <v>1</v>
      </c>
      <c r="H371" s="2" t="s">
        <v>53</v>
      </c>
      <c r="I371" s="2" t="s">
        <v>15</v>
      </c>
      <c r="J371" s="2" t="s">
        <v>15</v>
      </c>
    </row>
    <row r="372" ht="15.75" customHeight="1">
      <c r="A372" s="1" t="s">
        <v>762</v>
      </c>
      <c r="B372" s="6" t="s">
        <v>763</v>
      </c>
      <c r="C372" s="1" t="s">
        <v>12</v>
      </c>
      <c r="D372" s="1" t="s">
        <v>757</v>
      </c>
      <c r="E372" s="4">
        <v>1008214.0</v>
      </c>
      <c r="F372" s="2">
        <v>1.0</v>
      </c>
      <c r="G372" s="2" t="s">
        <v>1</v>
      </c>
      <c r="H372" s="2" t="s">
        <v>14</v>
      </c>
      <c r="I372" s="5" t="str">
        <f>IFERROR(
  MID(
    SUBSTITUTE(B372, CHAR(10), ""),
    FIND("_Gross ROI=", SUBSTITUTE(B372, CHAR(10), "")) + LEN("_Gross ROI="),
    FIND("%", SUBSTITUTE(B372, CHAR(10), ""), FIND("_Gross ROI=", SUBSTITUTE(B372, CHAR(10), "")))
      - FIND("_Gross ROI=", SUBSTITUTE(B372, CHAR(10), "")) - LEN("_Gross ROI=") + 1
  ),
  ""
)</f>
        <v>5.71%</v>
      </c>
      <c r="J372" s="5" t="str">
        <f>IFERROR(
  MID(
    SUBSTITUTE(B372, CHAR(10), ""),
    FIND("_Median annual rent=", SUBSTITUTE(B372, CHAR(10), "")) + LEN("_Median annual rent="),
    FIND("K", SUBSTITUTE(B372, CHAR(10), ""), FIND("_Median annual rent=", SUBSTITUTE(B372, CHAR(10), "")))
      - FIND("_Median annual rent=", SUBSTITUTE(B372, CHAR(10), "")) - LEN("_Median annual rent=") + 1
  ),
  "")</f>
        <v>115K</v>
      </c>
    </row>
    <row r="373" ht="15.75" customHeight="1">
      <c r="A373" s="1" t="s">
        <v>764</v>
      </c>
      <c r="B373" s="1" t="s">
        <v>765</v>
      </c>
      <c r="C373" s="1" t="s">
        <v>12</v>
      </c>
      <c r="D373" s="1" t="s">
        <v>757</v>
      </c>
      <c r="E373" s="4">
        <v>1008214.0</v>
      </c>
      <c r="F373" s="2">
        <v>1.0</v>
      </c>
      <c r="G373" s="2" t="s">
        <v>1</v>
      </c>
      <c r="H373" s="2" t="s">
        <v>18</v>
      </c>
      <c r="I373" s="2" t="s">
        <v>15</v>
      </c>
      <c r="J373" s="2" t="s">
        <v>15</v>
      </c>
    </row>
    <row r="374" ht="15.75" customHeight="1">
      <c r="A374" s="1" t="s">
        <v>766</v>
      </c>
      <c r="B374" s="1" t="s">
        <v>738</v>
      </c>
      <c r="C374" s="1" t="s">
        <v>12</v>
      </c>
      <c r="D374" s="1" t="s">
        <v>757</v>
      </c>
      <c r="E374" s="4">
        <v>1008214.0</v>
      </c>
      <c r="F374" s="2">
        <v>1.0</v>
      </c>
      <c r="G374" s="2" t="s">
        <v>1</v>
      </c>
      <c r="H374" s="2" t="s">
        <v>53</v>
      </c>
      <c r="I374" s="2" t="s">
        <v>15</v>
      </c>
      <c r="J374" s="2" t="s">
        <v>15</v>
      </c>
    </row>
    <row r="375" ht="15.75" customHeight="1">
      <c r="A375" s="1" t="s">
        <v>767</v>
      </c>
      <c r="B375" s="6" t="s">
        <v>768</v>
      </c>
      <c r="C375" s="1" t="s">
        <v>12</v>
      </c>
      <c r="D375" s="1" t="s">
        <v>757</v>
      </c>
      <c r="E375" s="4">
        <v>1008214.0</v>
      </c>
      <c r="F375" s="2">
        <v>2.0</v>
      </c>
      <c r="G375" s="2" t="s">
        <v>1</v>
      </c>
      <c r="H375" s="2" t="s">
        <v>14</v>
      </c>
      <c r="I375" s="5" t="str">
        <f>IFERROR(
  MID(
    SUBSTITUTE(B375, CHAR(10), ""),
    FIND("_Gross ROI=", SUBSTITUTE(B375, CHAR(10), "")) + LEN("_Gross ROI="),
    FIND("%", SUBSTITUTE(B375, CHAR(10), ""), FIND("_Gross ROI=", SUBSTITUTE(B375, CHAR(10), "")))
      - FIND("_Gross ROI=", SUBSTITUTE(B375, CHAR(10), "")) - LEN("_Gross ROI=") + 1
  ),
  ""
)</f>
        <v>5.93%</v>
      </c>
      <c r="J375" s="5" t="str">
        <f>IFERROR(
  MID(
    SUBSTITUTE(B375, CHAR(10), ""),
    FIND("_Median annual rent=", SUBSTITUTE(B375, CHAR(10), "")) + LEN("_Median annual rent="),
    FIND("K", SUBSTITUTE(B375, CHAR(10), ""), FIND("_Median annual rent=", SUBSTITUTE(B375, CHAR(10), "")))
      - FIND("_Median annual rent=", SUBSTITUTE(B375, CHAR(10), "")) - LEN("_Median annual rent=") + 1
  ),
  "")</f>
        <v>170K</v>
      </c>
    </row>
    <row r="376" ht="15.75" customHeight="1">
      <c r="A376" s="1" t="s">
        <v>769</v>
      </c>
      <c r="B376" s="1" t="s">
        <v>770</v>
      </c>
      <c r="C376" s="1" t="s">
        <v>12</v>
      </c>
      <c r="D376" s="1" t="s">
        <v>757</v>
      </c>
      <c r="E376" s="4">
        <v>1008214.0</v>
      </c>
      <c r="F376" s="2">
        <v>2.0</v>
      </c>
      <c r="G376" s="2" t="s">
        <v>1</v>
      </c>
      <c r="H376" s="2" t="s">
        <v>18</v>
      </c>
      <c r="I376" s="2" t="s">
        <v>15</v>
      </c>
      <c r="J376" s="2" t="s">
        <v>15</v>
      </c>
    </row>
    <row r="377" ht="15.75" customHeight="1">
      <c r="A377" s="1" t="s">
        <v>771</v>
      </c>
      <c r="B377" s="1" t="s">
        <v>744</v>
      </c>
      <c r="C377" s="1" t="s">
        <v>12</v>
      </c>
      <c r="D377" s="1" t="s">
        <v>757</v>
      </c>
      <c r="E377" s="4">
        <v>1008214.0</v>
      </c>
      <c r="F377" s="2">
        <v>2.0</v>
      </c>
      <c r="G377" s="2" t="s">
        <v>1</v>
      </c>
      <c r="H377" s="2" t="s">
        <v>53</v>
      </c>
      <c r="I377" s="2" t="s">
        <v>15</v>
      </c>
      <c r="J377" s="2" t="s">
        <v>15</v>
      </c>
    </row>
    <row r="378" ht="15.75" customHeight="1">
      <c r="A378" s="1" t="s">
        <v>772</v>
      </c>
      <c r="B378" s="6" t="s">
        <v>773</v>
      </c>
      <c r="C378" s="1" t="s">
        <v>12</v>
      </c>
      <c r="D378" s="1" t="s">
        <v>757</v>
      </c>
      <c r="E378" s="4">
        <v>1008214.0</v>
      </c>
      <c r="F378" s="2">
        <v>3.0</v>
      </c>
      <c r="G378" s="2" t="s">
        <v>1</v>
      </c>
      <c r="H378" s="2" t="s">
        <v>14</v>
      </c>
      <c r="I378" s="2" t="s">
        <v>15</v>
      </c>
      <c r="J378" s="2" t="s">
        <v>15</v>
      </c>
    </row>
    <row r="379" ht="15.75" customHeight="1">
      <c r="A379" s="1" t="s">
        <v>774</v>
      </c>
      <c r="B379" s="1" t="s">
        <v>775</v>
      </c>
      <c r="C379" s="1" t="s">
        <v>12</v>
      </c>
      <c r="D379" s="1" t="s">
        <v>757</v>
      </c>
      <c r="E379" s="4">
        <v>1008214.0</v>
      </c>
      <c r="F379" s="2">
        <v>3.0</v>
      </c>
      <c r="G379" s="2" t="s">
        <v>1</v>
      </c>
      <c r="H379" s="2" t="s">
        <v>18</v>
      </c>
      <c r="I379" s="2" t="s">
        <v>15</v>
      </c>
      <c r="J379" s="2" t="s">
        <v>15</v>
      </c>
    </row>
    <row r="380" ht="15.75" customHeight="1">
      <c r="A380" s="1" t="s">
        <v>776</v>
      </c>
      <c r="B380" s="1" t="s">
        <v>777</v>
      </c>
      <c r="C380" s="1" t="s">
        <v>12</v>
      </c>
      <c r="D380" s="1" t="s">
        <v>757</v>
      </c>
      <c r="E380" s="4">
        <v>1008214.0</v>
      </c>
      <c r="F380" s="2">
        <v>3.0</v>
      </c>
      <c r="G380" s="2" t="s">
        <v>1</v>
      </c>
      <c r="H380" s="2" t="s">
        <v>53</v>
      </c>
      <c r="I380" s="2" t="s">
        <v>15</v>
      </c>
      <c r="J380" s="2" t="s">
        <v>15</v>
      </c>
    </row>
    <row r="381" ht="15.75" customHeight="1">
      <c r="A381" s="1" t="s">
        <v>778</v>
      </c>
      <c r="B381" s="1" t="s">
        <v>748</v>
      </c>
      <c r="C381" s="1" t="s">
        <v>12</v>
      </c>
      <c r="D381" s="1" t="s">
        <v>757</v>
      </c>
      <c r="E381" s="4">
        <v>1008214.0</v>
      </c>
      <c r="F381" s="2" t="s">
        <v>15</v>
      </c>
      <c r="G381" s="2" t="s">
        <v>1</v>
      </c>
      <c r="H381" s="2" t="s">
        <v>53</v>
      </c>
      <c r="I381" s="2" t="s">
        <v>15</v>
      </c>
      <c r="J381" s="2" t="s">
        <v>15</v>
      </c>
    </row>
    <row r="382" ht="15.75" customHeight="1">
      <c r="A382" s="1" t="s">
        <v>779</v>
      </c>
      <c r="B382" s="1" t="s">
        <v>750</v>
      </c>
      <c r="C382" s="1" t="s">
        <v>12</v>
      </c>
      <c r="D382" s="1" t="s">
        <v>757</v>
      </c>
      <c r="E382" s="4">
        <v>1008214.0</v>
      </c>
      <c r="F382" s="2" t="s">
        <v>30</v>
      </c>
      <c r="G382" s="2" t="s">
        <v>1</v>
      </c>
      <c r="H382" s="2" t="s">
        <v>53</v>
      </c>
      <c r="I382" s="2" t="s">
        <v>15</v>
      </c>
      <c r="J382" s="2" t="s">
        <v>15</v>
      </c>
    </row>
    <row r="383" ht="15.75" customHeight="1">
      <c r="A383" s="1" t="s">
        <v>780</v>
      </c>
      <c r="B383" s="1" t="s">
        <v>781</v>
      </c>
      <c r="C383" s="1" t="s">
        <v>12</v>
      </c>
      <c r="D383" s="1" t="s">
        <v>757</v>
      </c>
      <c r="E383" s="4">
        <v>1008214.0</v>
      </c>
      <c r="F383" s="2" t="s">
        <v>30</v>
      </c>
      <c r="G383" s="2" t="s">
        <v>1</v>
      </c>
      <c r="H383" s="2" t="s">
        <v>14</v>
      </c>
      <c r="I383" s="2" t="s">
        <v>15</v>
      </c>
      <c r="J383" s="2" t="s">
        <v>15</v>
      </c>
    </row>
    <row r="384" ht="15.75" customHeight="1">
      <c r="A384" s="1" t="s">
        <v>782</v>
      </c>
      <c r="B384" s="1" t="s">
        <v>783</v>
      </c>
      <c r="C384" s="1" t="s">
        <v>12</v>
      </c>
      <c r="D384" s="1" t="s">
        <v>757</v>
      </c>
      <c r="E384" s="4">
        <v>1008214.0</v>
      </c>
      <c r="F384" s="2" t="s">
        <v>15</v>
      </c>
      <c r="G384" s="2" t="s">
        <v>33</v>
      </c>
      <c r="H384" s="2" t="s">
        <v>15</v>
      </c>
      <c r="I384" s="2" t="s">
        <v>15</v>
      </c>
      <c r="J384" s="2" t="s">
        <v>15</v>
      </c>
    </row>
    <row r="385" ht="15.75" customHeight="1">
      <c r="A385" s="1" t="s">
        <v>784</v>
      </c>
      <c r="B385" s="1" t="s">
        <v>785</v>
      </c>
      <c r="C385" s="1" t="s">
        <v>12</v>
      </c>
      <c r="D385" s="1" t="s">
        <v>786</v>
      </c>
      <c r="E385" s="4">
        <v>1008278.0</v>
      </c>
      <c r="F385" s="2" t="s">
        <v>36</v>
      </c>
      <c r="G385" s="2" t="s">
        <v>1</v>
      </c>
      <c r="H385" s="2" t="s">
        <v>14</v>
      </c>
      <c r="I385" s="5" t="str">
        <f>IFERROR(
  MID(
    SUBSTITUTE(B385, CHAR(10), ""),
    FIND("_Gross ROI=", SUBSTITUTE(B385, CHAR(10), "")) + LEN("_Gross ROI="),
    FIND("%", SUBSTITUTE(B385, CHAR(10), ""), FIND("_Gross ROI=", SUBSTITUTE(B385, CHAR(10), "")))
      - FIND("_Gross ROI=", SUBSTITUTE(B385, CHAR(10), "")) - LEN("_Gross ROI=") + 1
  ),
  ""
)</f>
        <v>6.04%</v>
      </c>
      <c r="J385" s="5" t="str">
        <f>IFERROR(
  MID(
    SUBSTITUTE(B385, CHAR(10), ""),
    FIND("_Median annual rent=", SUBSTITUTE(B385, CHAR(10), "")) + LEN("_Median annual rent="),
    FIND("K", SUBSTITUTE(B385, CHAR(10), ""), FIND("_Median annual rent=", SUBSTITUTE(B385, CHAR(10), "")))
      - FIND("_Median annual rent=", SUBSTITUTE(B385, CHAR(10), "")) - LEN("_Median annual rent=") + 1
  ),
  "")</f>
        <v>77.5K</v>
      </c>
    </row>
    <row r="386" ht="15.75" customHeight="1">
      <c r="A386" s="1" t="s">
        <v>787</v>
      </c>
      <c r="B386" s="1" t="s">
        <v>788</v>
      </c>
      <c r="C386" s="1" t="s">
        <v>12</v>
      </c>
      <c r="D386" s="1" t="s">
        <v>786</v>
      </c>
      <c r="E386" s="4">
        <v>1008278.0</v>
      </c>
      <c r="F386" s="2" t="s">
        <v>36</v>
      </c>
      <c r="G386" s="2" t="s">
        <v>1</v>
      </c>
      <c r="H386" s="2" t="s">
        <v>18</v>
      </c>
      <c r="I386" s="2" t="s">
        <v>15</v>
      </c>
      <c r="J386" s="2" t="s">
        <v>15</v>
      </c>
    </row>
    <row r="387" ht="15.75" customHeight="1">
      <c r="A387" s="1" t="s">
        <v>789</v>
      </c>
      <c r="B387" s="1" t="s">
        <v>761</v>
      </c>
      <c r="C387" s="1" t="s">
        <v>12</v>
      </c>
      <c r="D387" s="1" t="s">
        <v>786</v>
      </c>
      <c r="E387" s="4">
        <v>1008278.0</v>
      </c>
      <c r="F387" s="2" t="s">
        <v>36</v>
      </c>
      <c r="G387" s="2" t="s">
        <v>1</v>
      </c>
      <c r="H387" s="2" t="s">
        <v>53</v>
      </c>
      <c r="I387" s="2" t="s">
        <v>15</v>
      </c>
      <c r="J387" s="2" t="s">
        <v>15</v>
      </c>
    </row>
    <row r="388" ht="15.75" customHeight="1">
      <c r="A388" s="1" t="s">
        <v>790</v>
      </c>
      <c r="B388" s="1" t="s">
        <v>791</v>
      </c>
      <c r="C388" s="1" t="s">
        <v>12</v>
      </c>
      <c r="D388" s="1" t="s">
        <v>786</v>
      </c>
      <c r="E388" s="4">
        <v>1008278.0</v>
      </c>
      <c r="F388" s="2">
        <v>1.0</v>
      </c>
      <c r="G388" s="2" t="s">
        <v>1</v>
      </c>
      <c r="H388" s="2" t="s">
        <v>14</v>
      </c>
      <c r="I388" s="5" t="str">
        <f>IFERROR(
  MID(
    SUBSTITUTE(B388, CHAR(10), ""),
    FIND("_Gross ROI=", SUBSTITUTE(B388, CHAR(10), "")) + LEN("_Gross ROI="),
    FIND("%", SUBSTITUTE(B388, CHAR(10), ""), FIND("_Gross ROI=", SUBSTITUTE(B388, CHAR(10), "")))
      - FIND("_Gross ROI=", SUBSTITUTE(B388, CHAR(10), "")) - LEN("_Gross ROI=") + 1
  ),
  ""
)</f>
        <v>6.33%</v>
      </c>
      <c r="J388" s="5" t="str">
        <f>IFERROR(
  MID(
    SUBSTITUTE(B388, CHAR(10), ""),
    FIND("_Median annual rent=", SUBSTITUTE(B388, CHAR(10), "")) + LEN("_Median annual rent="),
    FIND("K", SUBSTITUTE(B388, CHAR(10), ""), FIND("_Median annual rent=", SUBSTITUTE(B388, CHAR(10), "")))
      - FIND("_Median annual rent=", SUBSTITUTE(B388, CHAR(10), "")) - LEN("_Median annual rent=") + 1
  ),
  "")</f>
        <v>115K</v>
      </c>
    </row>
    <row r="389" ht="15.75" customHeight="1">
      <c r="A389" s="1" t="s">
        <v>792</v>
      </c>
      <c r="B389" s="1" t="s">
        <v>793</v>
      </c>
      <c r="C389" s="1" t="s">
        <v>12</v>
      </c>
      <c r="D389" s="1" t="s">
        <v>786</v>
      </c>
      <c r="E389" s="4">
        <v>1008278.0</v>
      </c>
      <c r="F389" s="2">
        <v>1.0</v>
      </c>
      <c r="G389" s="2" t="s">
        <v>1</v>
      </c>
      <c r="H389" s="2" t="s">
        <v>18</v>
      </c>
      <c r="I389" s="2" t="s">
        <v>15</v>
      </c>
      <c r="J389" s="2" t="s">
        <v>15</v>
      </c>
    </row>
    <row r="390" ht="15.75" customHeight="1">
      <c r="A390" s="1" t="s">
        <v>794</v>
      </c>
      <c r="B390" s="1" t="s">
        <v>738</v>
      </c>
      <c r="C390" s="1" t="s">
        <v>12</v>
      </c>
      <c r="D390" s="1" t="s">
        <v>786</v>
      </c>
      <c r="E390" s="4">
        <v>1008278.0</v>
      </c>
      <c r="F390" s="2">
        <v>1.0</v>
      </c>
      <c r="G390" s="2" t="s">
        <v>1</v>
      </c>
      <c r="H390" s="2" t="s">
        <v>53</v>
      </c>
      <c r="I390" s="2" t="s">
        <v>15</v>
      </c>
      <c r="J390" s="2" t="s">
        <v>15</v>
      </c>
    </row>
    <row r="391" ht="15.75" customHeight="1">
      <c r="A391" s="1" t="s">
        <v>795</v>
      </c>
      <c r="B391" s="1" t="s">
        <v>796</v>
      </c>
      <c r="C391" s="1" t="s">
        <v>12</v>
      </c>
      <c r="D391" s="1" t="s">
        <v>786</v>
      </c>
      <c r="E391" s="4">
        <v>1008278.0</v>
      </c>
      <c r="F391" s="2" t="s">
        <v>15</v>
      </c>
      <c r="G391" s="2" t="s">
        <v>1</v>
      </c>
      <c r="H391" s="2" t="s">
        <v>53</v>
      </c>
      <c r="I391" s="2" t="s">
        <v>15</v>
      </c>
      <c r="J391" s="2" t="s">
        <v>15</v>
      </c>
    </row>
    <row r="392" ht="15.75" customHeight="1">
      <c r="A392" s="1" t="s">
        <v>797</v>
      </c>
      <c r="B392" s="1" t="s">
        <v>746</v>
      </c>
      <c r="C392" s="1" t="s">
        <v>12</v>
      </c>
      <c r="D392" s="1" t="s">
        <v>786</v>
      </c>
      <c r="E392" s="4">
        <v>1008278.0</v>
      </c>
      <c r="F392" s="2" t="s">
        <v>15</v>
      </c>
      <c r="G392" s="2" t="s">
        <v>1</v>
      </c>
      <c r="H392" s="2" t="s">
        <v>53</v>
      </c>
      <c r="I392" s="2" t="s">
        <v>15</v>
      </c>
      <c r="J392" s="2" t="s">
        <v>15</v>
      </c>
    </row>
    <row r="393" ht="15.75" customHeight="1">
      <c r="A393" s="1" t="s">
        <v>798</v>
      </c>
      <c r="B393" s="1" t="s">
        <v>748</v>
      </c>
      <c r="C393" s="1" t="s">
        <v>12</v>
      </c>
      <c r="D393" s="1" t="s">
        <v>786</v>
      </c>
      <c r="E393" s="4">
        <v>1008278.0</v>
      </c>
      <c r="F393" s="2" t="s">
        <v>15</v>
      </c>
      <c r="G393" s="2" t="s">
        <v>1</v>
      </c>
      <c r="H393" s="2" t="s">
        <v>53</v>
      </c>
      <c r="I393" s="2" t="s">
        <v>15</v>
      </c>
      <c r="J393" s="2" t="s">
        <v>15</v>
      </c>
    </row>
    <row r="394" ht="15.75" customHeight="1">
      <c r="A394" s="1" t="s">
        <v>799</v>
      </c>
      <c r="B394" s="1" t="s">
        <v>750</v>
      </c>
      <c r="C394" s="1" t="s">
        <v>12</v>
      </c>
      <c r="D394" s="1" t="s">
        <v>786</v>
      </c>
      <c r="E394" s="4">
        <v>1008278.0</v>
      </c>
      <c r="F394" s="2" t="s">
        <v>30</v>
      </c>
      <c r="G394" s="2" t="s">
        <v>1</v>
      </c>
      <c r="H394" s="2" t="s">
        <v>53</v>
      </c>
      <c r="I394" s="2" t="s">
        <v>15</v>
      </c>
      <c r="J394" s="2" t="s">
        <v>15</v>
      </c>
    </row>
    <row r="395" ht="15.75" customHeight="1">
      <c r="A395" s="1" t="s">
        <v>800</v>
      </c>
      <c r="B395" s="1" t="s">
        <v>801</v>
      </c>
      <c r="C395" s="1" t="s">
        <v>12</v>
      </c>
      <c r="D395" s="1" t="s">
        <v>786</v>
      </c>
      <c r="E395" s="4">
        <v>1008278.0</v>
      </c>
      <c r="F395" s="2" t="s">
        <v>30</v>
      </c>
      <c r="G395" s="2" t="s">
        <v>1</v>
      </c>
      <c r="H395" s="2" t="s">
        <v>14</v>
      </c>
      <c r="I395" s="2" t="s">
        <v>15</v>
      </c>
      <c r="J395" s="2" t="s">
        <v>15</v>
      </c>
    </row>
    <row r="396" ht="15.75" customHeight="1">
      <c r="A396" s="1" t="s">
        <v>802</v>
      </c>
      <c r="B396" s="1" t="s">
        <v>803</v>
      </c>
      <c r="C396" s="1" t="s">
        <v>12</v>
      </c>
      <c r="D396" s="1" t="s">
        <v>786</v>
      </c>
      <c r="E396" s="4">
        <v>1008278.0</v>
      </c>
      <c r="F396" s="2" t="s">
        <v>15</v>
      </c>
      <c r="G396" s="2" t="s">
        <v>33</v>
      </c>
      <c r="H396" s="2" t="s">
        <v>15</v>
      </c>
      <c r="I396" s="2" t="s">
        <v>15</v>
      </c>
      <c r="J396" s="2" t="s">
        <v>15</v>
      </c>
    </row>
    <row r="397" ht="15.75" customHeight="1">
      <c r="A397" s="1" t="s">
        <v>804</v>
      </c>
      <c r="B397" s="1" t="s">
        <v>805</v>
      </c>
      <c r="C397" s="1" t="s">
        <v>12</v>
      </c>
      <c r="D397" s="1" t="s">
        <v>806</v>
      </c>
      <c r="E397" s="4">
        <v>1008342.0</v>
      </c>
      <c r="F397" s="2" t="s">
        <v>36</v>
      </c>
      <c r="G397" s="2" t="s">
        <v>1</v>
      </c>
      <c r="H397" s="2" t="s">
        <v>14</v>
      </c>
      <c r="I397" s="5" t="str">
        <f>IFERROR(
  MID(
    SUBSTITUTE(B397, CHAR(10), ""),
    FIND("_Gross ROI=", SUBSTITUTE(B397, CHAR(10), "")) + LEN("_Gross ROI="),
    FIND("%", SUBSTITUTE(B397, CHAR(10), ""), FIND("_Gross ROI=", SUBSTITUTE(B397, CHAR(10), "")))
      - FIND("_Gross ROI=", SUBSTITUTE(B397, CHAR(10), "")) - LEN("_Gross ROI=") + 1
  ),
  ""
)</f>
        <v>6.4%</v>
      </c>
      <c r="J397" s="5" t="str">
        <f>IFERROR(
  MID(
    SUBSTITUTE(B397, CHAR(10), ""),
    FIND("_Median annual rent=", SUBSTITUTE(B397, CHAR(10), "")) + LEN("_Median annual rent="),
    FIND("K", SUBSTITUTE(B397, CHAR(10), ""), FIND("_Median annual rent=", SUBSTITUTE(B397, CHAR(10), "")))
      - FIND("_Median annual rent=", SUBSTITUTE(B397, CHAR(10), "")) - LEN("_Median annual rent=") + 1
  ),
  "")</f>
        <v>77.5K</v>
      </c>
    </row>
    <row r="398" ht="15.75" customHeight="1">
      <c r="A398" s="1" t="s">
        <v>807</v>
      </c>
      <c r="B398" s="1" t="s">
        <v>808</v>
      </c>
      <c r="C398" s="1" t="s">
        <v>12</v>
      </c>
      <c r="D398" s="1" t="s">
        <v>806</v>
      </c>
      <c r="E398" s="4">
        <v>1008342.0</v>
      </c>
      <c r="F398" s="2" t="s">
        <v>36</v>
      </c>
      <c r="G398" s="2" t="s">
        <v>1</v>
      </c>
      <c r="H398" s="2" t="s">
        <v>18</v>
      </c>
      <c r="I398" s="2" t="s">
        <v>15</v>
      </c>
      <c r="J398" s="2" t="s">
        <v>15</v>
      </c>
    </row>
    <row r="399" ht="15.75" customHeight="1">
      <c r="A399" s="1" t="s">
        <v>809</v>
      </c>
      <c r="B399" s="1" t="s">
        <v>761</v>
      </c>
      <c r="C399" s="1" t="s">
        <v>12</v>
      </c>
      <c r="D399" s="1" t="s">
        <v>806</v>
      </c>
      <c r="E399" s="4">
        <v>1008342.0</v>
      </c>
      <c r="F399" s="2" t="s">
        <v>36</v>
      </c>
      <c r="G399" s="2" t="s">
        <v>1</v>
      </c>
      <c r="H399" s="2" t="s">
        <v>53</v>
      </c>
      <c r="I399" s="2" t="s">
        <v>15</v>
      </c>
      <c r="J399" s="2" t="s">
        <v>15</v>
      </c>
    </row>
    <row r="400" ht="15.75" customHeight="1">
      <c r="A400" s="1" t="s">
        <v>810</v>
      </c>
      <c r="B400" s="1" t="s">
        <v>811</v>
      </c>
      <c r="C400" s="1" t="s">
        <v>12</v>
      </c>
      <c r="D400" s="1" t="s">
        <v>806</v>
      </c>
      <c r="E400" s="4">
        <v>1008342.0</v>
      </c>
      <c r="F400" s="2">
        <v>1.0</v>
      </c>
      <c r="G400" s="2" t="s">
        <v>1</v>
      </c>
      <c r="H400" s="2" t="s">
        <v>14</v>
      </c>
      <c r="I400" s="5" t="str">
        <f>IFERROR(
  MID(
    SUBSTITUTE(B400, CHAR(10), ""),
    FIND("_Gross ROI=", SUBSTITUTE(B400, CHAR(10), "")) + LEN("_Gross ROI="),
    FIND("%", SUBSTITUTE(B400, CHAR(10), ""), FIND("_Gross ROI=", SUBSTITUTE(B400, CHAR(10), "")))
      - FIND("_Gross ROI=", SUBSTITUTE(B400, CHAR(10), "")) - LEN("_Gross ROI=") + 1
  ),
  ""
)</f>
        <v>5.85%</v>
      </c>
      <c r="J400" s="5" t="str">
        <f>IFERROR(
  MID(
    SUBSTITUTE(B400, CHAR(10), ""),
    FIND("_Median annual rent=", SUBSTITUTE(B400, CHAR(10), "")) + LEN("_Median annual rent="),
    FIND("K", SUBSTITUTE(B400, CHAR(10), ""), FIND("_Median annual rent=", SUBSTITUTE(B400, CHAR(10), "")))
      - FIND("_Median annual rent=", SUBSTITUTE(B400, CHAR(10), "")) - LEN("_Median annual rent=") + 1
  ),
  "")</f>
        <v>115K</v>
      </c>
    </row>
    <row r="401" ht="15.75" customHeight="1">
      <c r="A401" s="1" t="s">
        <v>812</v>
      </c>
      <c r="B401" s="1" t="s">
        <v>813</v>
      </c>
      <c r="C401" s="1" t="s">
        <v>12</v>
      </c>
      <c r="D401" s="1" t="s">
        <v>806</v>
      </c>
      <c r="E401" s="4">
        <v>1008342.0</v>
      </c>
      <c r="F401" s="2">
        <v>1.0</v>
      </c>
      <c r="G401" s="2" t="s">
        <v>1</v>
      </c>
      <c r="H401" s="2" t="s">
        <v>18</v>
      </c>
      <c r="I401" s="2" t="s">
        <v>15</v>
      </c>
      <c r="J401" s="2" t="s">
        <v>15</v>
      </c>
    </row>
    <row r="402" ht="15.75" customHeight="1">
      <c r="A402" s="1" t="s">
        <v>814</v>
      </c>
      <c r="B402" s="1" t="s">
        <v>738</v>
      </c>
      <c r="C402" s="1" t="s">
        <v>12</v>
      </c>
      <c r="D402" s="1" t="s">
        <v>806</v>
      </c>
      <c r="E402" s="4">
        <v>1008342.0</v>
      </c>
      <c r="F402" s="2">
        <v>1.0</v>
      </c>
      <c r="G402" s="2" t="s">
        <v>1</v>
      </c>
      <c r="H402" s="2" t="s">
        <v>53</v>
      </c>
      <c r="I402" s="2" t="s">
        <v>15</v>
      </c>
      <c r="J402" s="2" t="s">
        <v>15</v>
      </c>
    </row>
    <row r="403" ht="15.75" customHeight="1">
      <c r="A403" s="1" t="s">
        <v>815</v>
      </c>
      <c r="B403" s="1" t="s">
        <v>816</v>
      </c>
      <c r="C403" s="1" t="s">
        <v>12</v>
      </c>
      <c r="D403" s="1" t="s">
        <v>806</v>
      </c>
      <c r="E403" s="4">
        <v>1008342.0</v>
      </c>
      <c r="F403" s="2">
        <v>2.0</v>
      </c>
      <c r="G403" s="2" t="s">
        <v>1</v>
      </c>
      <c r="H403" s="2" t="s">
        <v>14</v>
      </c>
      <c r="I403" s="5" t="str">
        <f>IFERROR(
  MID(
    SUBSTITUTE(B403, CHAR(10), ""),
    FIND("_Gross ROI=", SUBSTITUTE(B403, CHAR(10), "")) + LEN("_Gross ROI="),
    FIND("%", SUBSTITUTE(B403, CHAR(10), ""), FIND("_Gross ROI=", SUBSTITUTE(B403, CHAR(10), "")))
      - FIND("_Gross ROI=", SUBSTITUTE(B403, CHAR(10), "")) - LEN("_Gross ROI=") + 1
  ),
  ""
)</f>
        <v>5.93%</v>
      </c>
      <c r="J403" s="5" t="str">
        <f>IFERROR(
  MID(
    SUBSTITUTE(B403, CHAR(10), ""),
    FIND("_Median annual rent=", SUBSTITUTE(B403, CHAR(10), "")) + LEN("_Median annual rent="),
    FIND("K", SUBSTITUTE(B403, CHAR(10), ""), FIND("_Median annual rent=", SUBSTITUTE(B403, CHAR(10), "")))
      - FIND("_Median annual rent=", SUBSTITUTE(B403, CHAR(10), "")) - LEN("_Median annual rent=") + 1
  ),
  "")</f>
        <v>170K</v>
      </c>
    </row>
    <row r="404" ht="15.75" customHeight="1">
      <c r="A404" s="1" t="s">
        <v>817</v>
      </c>
      <c r="B404" s="1" t="s">
        <v>818</v>
      </c>
      <c r="C404" s="1" t="s">
        <v>12</v>
      </c>
      <c r="D404" s="1" t="s">
        <v>806</v>
      </c>
      <c r="E404" s="4">
        <v>1008342.0</v>
      </c>
      <c r="F404" s="2">
        <v>2.0</v>
      </c>
      <c r="G404" s="2" t="s">
        <v>1</v>
      </c>
      <c r="H404" s="2" t="s">
        <v>18</v>
      </c>
      <c r="I404" s="2" t="s">
        <v>15</v>
      </c>
      <c r="J404" s="2" t="s">
        <v>15</v>
      </c>
    </row>
    <row r="405" ht="15.75" customHeight="1">
      <c r="A405" s="1" t="s">
        <v>819</v>
      </c>
      <c r="B405" s="1" t="s">
        <v>744</v>
      </c>
      <c r="C405" s="1" t="s">
        <v>12</v>
      </c>
      <c r="D405" s="1" t="s">
        <v>806</v>
      </c>
      <c r="E405" s="4">
        <v>1008342.0</v>
      </c>
      <c r="F405" s="2">
        <v>2.0</v>
      </c>
      <c r="G405" s="2" t="s">
        <v>1</v>
      </c>
      <c r="H405" s="2" t="s">
        <v>53</v>
      </c>
      <c r="I405" s="2" t="s">
        <v>15</v>
      </c>
      <c r="J405" s="2" t="s">
        <v>15</v>
      </c>
    </row>
    <row r="406" ht="15.75" customHeight="1">
      <c r="A406" s="1" t="s">
        <v>820</v>
      </c>
      <c r="B406" s="1" t="s">
        <v>821</v>
      </c>
      <c r="C406" s="1" t="s">
        <v>12</v>
      </c>
      <c r="D406" s="1" t="s">
        <v>806</v>
      </c>
      <c r="E406" s="4">
        <v>1008342.0</v>
      </c>
      <c r="F406" s="2">
        <v>3.0</v>
      </c>
      <c r="G406" s="2" t="s">
        <v>1</v>
      </c>
      <c r="H406" s="2" t="s">
        <v>14</v>
      </c>
      <c r="I406" s="2" t="s">
        <v>15</v>
      </c>
      <c r="J406" s="2" t="s">
        <v>15</v>
      </c>
    </row>
    <row r="407" ht="15.75" customHeight="1">
      <c r="A407" s="1" t="s">
        <v>822</v>
      </c>
      <c r="B407" s="1" t="s">
        <v>823</v>
      </c>
      <c r="C407" s="1" t="s">
        <v>12</v>
      </c>
      <c r="D407" s="1" t="s">
        <v>806</v>
      </c>
      <c r="E407" s="4">
        <v>1008342.0</v>
      </c>
      <c r="F407" s="2">
        <v>3.0</v>
      </c>
      <c r="G407" s="2" t="s">
        <v>1</v>
      </c>
      <c r="H407" s="2" t="s">
        <v>18</v>
      </c>
      <c r="I407" s="2" t="s">
        <v>15</v>
      </c>
      <c r="J407" s="2" t="s">
        <v>15</v>
      </c>
    </row>
    <row r="408" ht="15.75" customHeight="1">
      <c r="A408" s="1" t="s">
        <v>824</v>
      </c>
      <c r="B408" s="1" t="s">
        <v>777</v>
      </c>
      <c r="C408" s="1" t="s">
        <v>12</v>
      </c>
      <c r="D408" s="1" t="s">
        <v>806</v>
      </c>
      <c r="E408" s="4">
        <v>1008342.0</v>
      </c>
      <c r="F408" s="2">
        <v>3.0</v>
      </c>
      <c r="G408" s="2" t="s">
        <v>1</v>
      </c>
      <c r="H408" s="2" t="s">
        <v>53</v>
      </c>
      <c r="I408" s="2" t="s">
        <v>15</v>
      </c>
      <c r="J408" s="2" t="s">
        <v>15</v>
      </c>
    </row>
    <row r="409" ht="15.75" customHeight="1">
      <c r="A409" s="1" t="s">
        <v>825</v>
      </c>
      <c r="B409" s="1" t="s">
        <v>748</v>
      </c>
      <c r="C409" s="1" t="s">
        <v>12</v>
      </c>
      <c r="D409" s="1" t="s">
        <v>806</v>
      </c>
      <c r="E409" s="4">
        <v>1008342.0</v>
      </c>
      <c r="F409" s="2" t="s">
        <v>15</v>
      </c>
      <c r="G409" s="2" t="s">
        <v>1</v>
      </c>
      <c r="H409" s="2" t="s">
        <v>53</v>
      </c>
      <c r="I409" s="2" t="s">
        <v>15</v>
      </c>
      <c r="J409" s="2" t="s">
        <v>15</v>
      </c>
    </row>
    <row r="410" ht="15.75" customHeight="1">
      <c r="A410" s="1" t="s">
        <v>826</v>
      </c>
      <c r="B410" s="1" t="s">
        <v>750</v>
      </c>
      <c r="C410" s="1" t="s">
        <v>12</v>
      </c>
      <c r="D410" s="1" t="s">
        <v>806</v>
      </c>
      <c r="E410" s="4">
        <v>1008342.0</v>
      </c>
      <c r="F410" s="2" t="s">
        <v>30</v>
      </c>
      <c r="G410" s="2" t="s">
        <v>1</v>
      </c>
      <c r="H410" s="2" t="s">
        <v>53</v>
      </c>
      <c r="I410" s="2" t="s">
        <v>15</v>
      </c>
      <c r="J410" s="2" t="s">
        <v>15</v>
      </c>
    </row>
    <row r="411" ht="15.75" customHeight="1">
      <c r="A411" s="1" t="s">
        <v>827</v>
      </c>
      <c r="B411" s="1" t="s">
        <v>828</v>
      </c>
      <c r="C411" s="1" t="s">
        <v>12</v>
      </c>
      <c r="D411" s="1" t="s">
        <v>806</v>
      </c>
      <c r="E411" s="4">
        <v>1008342.0</v>
      </c>
      <c r="F411" s="2" t="s">
        <v>30</v>
      </c>
      <c r="G411" s="2" t="s">
        <v>1</v>
      </c>
      <c r="H411" s="2" t="s">
        <v>14</v>
      </c>
      <c r="I411" s="2" t="s">
        <v>15</v>
      </c>
      <c r="J411" s="2" t="s">
        <v>15</v>
      </c>
    </row>
    <row r="412" ht="15.75" customHeight="1">
      <c r="A412" s="1" t="s">
        <v>829</v>
      </c>
      <c r="B412" s="1" t="s">
        <v>830</v>
      </c>
      <c r="C412" s="1" t="s">
        <v>12</v>
      </c>
      <c r="D412" s="1" t="s">
        <v>806</v>
      </c>
      <c r="E412" s="4">
        <v>1008342.0</v>
      </c>
      <c r="F412" s="2" t="s">
        <v>15</v>
      </c>
      <c r="G412" s="2" t="s">
        <v>33</v>
      </c>
      <c r="H412" s="2" t="s">
        <v>15</v>
      </c>
      <c r="I412" s="2" t="s">
        <v>15</v>
      </c>
      <c r="J412" s="2" t="s">
        <v>15</v>
      </c>
    </row>
    <row r="413" ht="15.75" customHeight="1">
      <c r="A413" s="1" t="s">
        <v>831</v>
      </c>
      <c r="B413" s="1" t="s">
        <v>832</v>
      </c>
      <c r="C413" s="1" t="s">
        <v>12</v>
      </c>
      <c r="D413" s="1" t="s">
        <v>833</v>
      </c>
      <c r="E413" s="4">
        <v>1008406.0</v>
      </c>
      <c r="F413" s="2">
        <v>1.0</v>
      </c>
      <c r="G413" s="2" t="s">
        <v>1</v>
      </c>
      <c r="H413" s="2" t="s">
        <v>14</v>
      </c>
      <c r="I413" s="2" t="s">
        <v>15</v>
      </c>
      <c r="J413" s="2" t="s">
        <v>15</v>
      </c>
    </row>
    <row r="414" ht="15.75" customHeight="1">
      <c r="A414" s="1" t="s">
        <v>834</v>
      </c>
      <c r="B414" s="1" t="s">
        <v>835</v>
      </c>
      <c r="C414" s="1" t="s">
        <v>12</v>
      </c>
      <c r="D414" s="1" t="s">
        <v>833</v>
      </c>
      <c r="E414" s="4">
        <v>1008406.0</v>
      </c>
      <c r="F414" s="2">
        <v>1.0</v>
      </c>
      <c r="G414" s="2" t="s">
        <v>1</v>
      </c>
      <c r="H414" s="2" t="s">
        <v>18</v>
      </c>
      <c r="I414" s="2" t="s">
        <v>15</v>
      </c>
      <c r="J414" s="2" t="s">
        <v>15</v>
      </c>
    </row>
    <row r="415" ht="15.75" customHeight="1">
      <c r="A415" s="1" t="s">
        <v>836</v>
      </c>
      <c r="B415" s="1" t="s">
        <v>837</v>
      </c>
      <c r="C415" s="1" t="s">
        <v>12</v>
      </c>
      <c r="D415" s="1" t="s">
        <v>833</v>
      </c>
      <c r="E415" s="4">
        <v>1008406.0</v>
      </c>
      <c r="F415" s="2">
        <v>1.0</v>
      </c>
      <c r="G415" s="2" t="s">
        <v>1</v>
      </c>
      <c r="H415" s="2" t="s">
        <v>21</v>
      </c>
      <c r="I415" s="2" t="s">
        <v>15</v>
      </c>
      <c r="J415" s="2" t="s">
        <v>15</v>
      </c>
    </row>
    <row r="416" ht="15.75" customHeight="1">
      <c r="A416" s="1" t="s">
        <v>838</v>
      </c>
      <c r="B416" s="1" t="s">
        <v>839</v>
      </c>
      <c r="C416" s="1" t="s">
        <v>12</v>
      </c>
      <c r="D416" s="1" t="s">
        <v>833</v>
      </c>
      <c r="E416" s="4">
        <v>1008406.0</v>
      </c>
      <c r="F416" s="2">
        <v>2.0</v>
      </c>
      <c r="G416" s="2" t="s">
        <v>1</v>
      </c>
      <c r="H416" s="2" t="s">
        <v>14</v>
      </c>
      <c r="I416" s="2" t="s">
        <v>15</v>
      </c>
      <c r="J416" s="2" t="s">
        <v>15</v>
      </c>
    </row>
    <row r="417" ht="15.75" customHeight="1">
      <c r="A417" s="1" t="s">
        <v>840</v>
      </c>
      <c r="B417" s="1" t="s">
        <v>841</v>
      </c>
      <c r="C417" s="1" t="s">
        <v>12</v>
      </c>
      <c r="D417" s="1" t="s">
        <v>833</v>
      </c>
      <c r="E417" s="4">
        <v>1008406.0</v>
      </c>
      <c r="F417" s="2">
        <v>2.0</v>
      </c>
      <c r="G417" s="2" t="s">
        <v>1</v>
      </c>
      <c r="H417" s="2" t="s">
        <v>18</v>
      </c>
      <c r="I417" s="2" t="s">
        <v>15</v>
      </c>
      <c r="J417" s="2" t="s">
        <v>15</v>
      </c>
    </row>
    <row r="418" ht="15.75" customHeight="1">
      <c r="A418" s="1" t="s">
        <v>842</v>
      </c>
      <c r="B418" s="1" t="s">
        <v>843</v>
      </c>
      <c r="C418" s="1" t="s">
        <v>12</v>
      </c>
      <c r="D418" s="1" t="s">
        <v>833</v>
      </c>
      <c r="E418" s="4">
        <v>1008406.0</v>
      </c>
      <c r="F418" s="2">
        <v>2.0</v>
      </c>
      <c r="G418" s="2" t="s">
        <v>1</v>
      </c>
      <c r="H418" s="2" t="s">
        <v>21</v>
      </c>
      <c r="I418" s="2" t="s">
        <v>15</v>
      </c>
      <c r="J418" s="2" t="s">
        <v>15</v>
      </c>
    </row>
    <row r="419" ht="15.75" customHeight="1">
      <c r="A419" s="1" t="s">
        <v>844</v>
      </c>
      <c r="B419" s="1" t="s">
        <v>845</v>
      </c>
      <c r="C419" s="1" t="s">
        <v>12</v>
      </c>
      <c r="D419" s="1" t="s">
        <v>833</v>
      </c>
      <c r="E419" s="4">
        <v>1008406.0</v>
      </c>
      <c r="F419" s="2">
        <v>3.0</v>
      </c>
      <c r="G419" s="2" t="s">
        <v>1</v>
      </c>
      <c r="H419" s="2" t="s">
        <v>14</v>
      </c>
      <c r="I419" s="2" t="s">
        <v>15</v>
      </c>
      <c r="J419" s="2" t="s">
        <v>15</v>
      </c>
    </row>
    <row r="420" ht="15.75" customHeight="1">
      <c r="A420" s="1" t="s">
        <v>846</v>
      </c>
      <c r="B420" s="1" t="s">
        <v>847</v>
      </c>
      <c r="C420" s="1" t="s">
        <v>12</v>
      </c>
      <c r="D420" s="1" t="s">
        <v>833</v>
      </c>
      <c r="E420" s="4">
        <v>1008406.0</v>
      </c>
      <c r="F420" s="2">
        <v>3.0</v>
      </c>
      <c r="G420" s="2" t="s">
        <v>1</v>
      </c>
      <c r="H420" s="2" t="s">
        <v>18</v>
      </c>
      <c r="I420" s="2" t="s">
        <v>15</v>
      </c>
      <c r="J420" s="2" t="s">
        <v>15</v>
      </c>
    </row>
    <row r="421" ht="15.75" customHeight="1">
      <c r="A421" s="1" t="s">
        <v>848</v>
      </c>
      <c r="B421" s="1" t="s">
        <v>849</v>
      </c>
      <c r="C421" s="1" t="s">
        <v>12</v>
      </c>
      <c r="D421" s="1" t="s">
        <v>833</v>
      </c>
      <c r="E421" s="4">
        <v>1008406.0</v>
      </c>
      <c r="F421" s="2">
        <v>3.0</v>
      </c>
      <c r="G421" s="2" t="s">
        <v>1</v>
      </c>
      <c r="H421" s="2" t="s">
        <v>21</v>
      </c>
      <c r="I421" s="2" t="s">
        <v>15</v>
      </c>
      <c r="J421" s="2" t="s">
        <v>15</v>
      </c>
    </row>
    <row r="422" ht="15.75" customHeight="1">
      <c r="A422" s="1" t="s">
        <v>850</v>
      </c>
      <c r="B422" s="1" t="s">
        <v>851</v>
      </c>
      <c r="C422" s="1" t="s">
        <v>12</v>
      </c>
      <c r="D422" s="1" t="s">
        <v>833</v>
      </c>
      <c r="E422" s="4">
        <v>1008406.0</v>
      </c>
      <c r="F422" s="2">
        <v>4.0</v>
      </c>
      <c r="G422" s="2" t="s">
        <v>1</v>
      </c>
      <c r="H422" s="2" t="s">
        <v>14</v>
      </c>
      <c r="I422" s="2" t="s">
        <v>15</v>
      </c>
      <c r="J422" s="2" t="s">
        <v>15</v>
      </c>
    </row>
    <row r="423" ht="15.75" customHeight="1">
      <c r="A423" s="1" t="s">
        <v>852</v>
      </c>
      <c r="B423" s="1" t="s">
        <v>853</v>
      </c>
      <c r="C423" s="1" t="s">
        <v>12</v>
      </c>
      <c r="D423" s="1" t="s">
        <v>833</v>
      </c>
      <c r="E423" s="4">
        <v>1008406.0</v>
      </c>
      <c r="F423" s="2">
        <v>4.0</v>
      </c>
      <c r="G423" s="2" t="s">
        <v>1</v>
      </c>
      <c r="H423" s="2" t="s">
        <v>18</v>
      </c>
      <c r="I423" s="2" t="s">
        <v>15</v>
      </c>
      <c r="J423" s="2" t="s">
        <v>15</v>
      </c>
    </row>
    <row r="424" ht="15.75" customHeight="1">
      <c r="A424" s="1" t="s">
        <v>854</v>
      </c>
      <c r="B424" s="1" t="s">
        <v>855</v>
      </c>
      <c r="C424" s="1" t="s">
        <v>12</v>
      </c>
      <c r="D424" s="1" t="s">
        <v>833</v>
      </c>
      <c r="E424" s="4">
        <v>1008406.0</v>
      </c>
      <c r="F424" s="2">
        <v>4.0</v>
      </c>
      <c r="G424" s="2" t="s">
        <v>1</v>
      </c>
      <c r="H424" s="2" t="s">
        <v>21</v>
      </c>
      <c r="I424" s="2" t="s">
        <v>15</v>
      </c>
      <c r="J424" s="2" t="s">
        <v>15</v>
      </c>
    </row>
    <row r="425" ht="15.75" customHeight="1">
      <c r="A425" s="1" t="s">
        <v>856</v>
      </c>
      <c r="B425" s="1" t="s">
        <v>857</v>
      </c>
      <c r="C425" s="1" t="s">
        <v>12</v>
      </c>
      <c r="D425" s="1" t="s">
        <v>833</v>
      </c>
      <c r="E425" s="4">
        <v>1008406.0</v>
      </c>
      <c r="F425" s="2" t="s">
        <v>30</v>
      </c>
      <c r="G425" s="2" t="s">
        <v>1</v>
      </c>
      <c r="H425" s="2" t="s">
        <v>14</v>
      </c>
      <c r="I425" s="2" t="s">
        <v>15</v>
      </c>
      <c r="J425" s="2" t="s">
        <v>15</v>
      </c>
    </row>
    <row r="426" ht="15.75" customHeight="1">
      <c r="A426" s="1" t="s">
        <v>858</v>
      </c>
      <c r="B426" s="1" t="s">
        <v>859</v>
      </c>
      <c r="C426" s="1" t="s">
        <v>12</v>
      </c>
      <c r="D426" s="1" t="s">
        <v>833</v>
      </c>
      <c r="E426" s="4">
        <v>1008406.0</v>
      </c>
      <c r="F426" s="2" t="s">
        <v>15</v>
      </c>
      <c r="G426" s="2" t="s">
        <v>33</v>
      </c>
      <c r="H426" s="2" t="s">
        <v>15</v>
      </c>
      <c r="I426" s="2" t="s">
        <v>15</v>
      </c>
      <c r="J426" s="2" t="s">
        <v>15</v>
      </c>
    </row>
    <row r="427" ht="15.75" customHeight="1">
      <c r="A427" s="1" t="s">
        <v>860</v>
      </c>
      <c r="B427" s="1" t="s">
        <v>861</v>
      </c>
      <c r="C427" s="1" t="s">
        <v>12</v>
      </c>
      <c r="D427" s="1" t="s">
        <v>833</v>
      </c>
      <c r="E427" s="4">
        <v>1008406.0</v>
      </c>
      <c r="F427" s="2">
        <v>1.0</v>
      </c>
      <c r="G427" s="2" t="s">
        <v>1</v>
      </c>
      <c r="H427" s="2" t="s">
        <v>37</v>
      </c>
      <c r="I427" s="2" t="s">
        <v>15</v>
      </c>
      <c r="J427" s="2" t="s">
        <v>15</v>
      </c>
    </row>
    <row r="428" ht="15.75" customHeight="1">
      <c r="A428" s="1" t="s">
        <v>862</v>
      </c>
      <c r="B428" s="1" t="s">
        <v>863</v>
      </c>
      <c r="C428" s="1" t="s">
        <v>12</v>
      </c>
      <c r="D428" s="1" t="s">
        <v>833</v>
      </c>
      <c r="E428" s="4">
        <v>1008406.0</v>
      </c>
      <c r="F428" s="2">
        <v>2.0</v>
      </c>
      <c r="G428" s="2" t="s">
        <v>1</v>
      </c>
      <c r="H428" s="2" t="s">
        <v>37</v>
      </c>
      <c r="I428" s="2" t="s">
        <v>15</v>
      </c>
      <c r="J428" s="2" t="s">
        <v>15</v>
      </c>
    </row>
    <row r="429" ht="15.75" customHeight="1">
      <c r="A429" s="1" t="s">
        <v>864</v>
      </c>
      <c r="B429" s="1" t="s">
        <v>865</v>
      </c>
      <c r="C429" s="1" t="s">
        <v>12</v>
      </c>
      <c r="D429" s="1" t="s">
        <v>833</v>
      </c>
      <c r="E429" s="4">
        <v>1008406.0</v>
      </c>
      <c r="F429" s="2">
        <v>3.0</v>
      </c>
      <c r="G429" s="2" t="s">
        <v>1</v>
      </c>
      <c r="H429" s="2" t="s">
        <v>37</v>
      </c>
      <c r="I429" s="2" t="s">
        <v>15</v>
      </c>
      <c r="J429" s="2" t="s">
        <v>15</v>
      </c>
    </row>
    <row r="430" ht="15.75" customHeight="1">
      <c r="A430" s="1" t="s">
        <v>866</v>
      </c>
      <c r="B430" s="1" t="s">
        <v>867</v>
      </c>
      <c r="C430" s="1" t="s">
        <v>12</v>
      </c>
      <c r="D430" s="1" t="s">
        <v>833</v>
      </c>
      <c r="E430" s="4">
        <v>1008406.0</v>
      </c>
      <c r="F430" s="2">
        <v>4.0</v>
      </c>
      <c r="G430" s="2" t="s">
        <v>1</v>
      </c>
      <c r="H430" s="2" t="s">
        <v>37</v>
      </c>
      <c r="I430" s="2" t="s">
        <v>15</v>
      </c>
      <c r="J430" s="2" t="s">
        <v>15</v>
      </c>
    </row>
    <row r="431" ht="15.75" customHeight="1">
      <c r="A431" s="1" t="s">
        <v>868</v>
      </c>
      <c r="B431" s="1" t="s">
        <v>869</v>
      </c>
      <c r="C431" s="1" t="s">
        <v>12</v>
      </c>
      <c r="D431" s="1" t="s">
        <v>833</v>
      </c>
      <c r="E431" s="4">
        <v>1008406.0</v>
      </c>
      <c r="F431" s="2" t="s">
        <v>30</v>
      </c>
      <c r="G431" s="2" t="s">
        <v>1</v>
      </c>
      <c r="H431" s="2" t="s">
        <v>37</v>
      </c>
      <c r="I431" s="2" t="s">
        <v>15</v>
      </c>
      <c r="J431" s="2" t="s">
        <v>15</v>
      </c>
    </row>
    <row r="432" ht="15.75" customHeight="1">
      <c r="A432" s="1" t="s">
        <v>870</v>
      </c>
      <c r="B432" s="1" t="s">
        <v>871</v>
      </c>
      <c r="C432" s="1" t="s">
        <v>12</v>
      </c>
      <c r="D432" s="1" t="s">
        <v>872</v>
      </c>
      <c r="E432" s="4">
        <v>1008470.0</v>
      </c>
      <c r="F432" s="2">
        <v>1.0</v>
      </c>
      <c r="G432" s="2" t="s">
        <v>1</v>
      </c>
      <c r="H432" s="2" t="s">
        <v>14</v>
      </c>
      <c r="I432" s="2" t="s">
        <v>15</v>
      </c>
      <c r="J432" s="2" t="s">
        <v>15</v>
      </c>
    </row>
    <row r="433" ht="15.75" customHeight="1">
      <c r="A433" s="1" t="s">
        <v>873</v>
      </c>
      <c r="B433" s="1" t="s">
        <v>874</v>
      </c>
      <c r="C433" s="1" t="s">
        <v>12</v>
      </c>
      <c r="D433" s="1" t="s">
        <v>872</v>
      </c>
      <c r="E433" s="4">
        <v>1008470.0</v>
      </c>
      <c r="F433" s="2">
        <v>1.0</v>
      </c>
      <c r="G433" s="2" t="s">
        <v>1</v>
      </c>
      <c r="H433" s="2" t="s">
        <v>18</v>
      </c>
      <c r="I433" s="2" t="s">
        <v>15</v>
      </c>
      <c r="J433" s="2" t="s">
        <v>15</v>
      </c>
    </row>
    <row r="434" ht="15.75" customHeight="1">
      <c r="A434" s="1" t="s">
        <v>875</v>
      </c>
      <c r="B434" s="1" t="s">
        <v>876</v>
      </c>
      <c r="C434" s="1" t="s">
        <v>12</v>
      </c>
      <c r="D434" s="1" t="s">
        <v>872</v>
      </c>
      <c r="E434" s="4">
        <v>1008470.0</v>
      </c>
      <c r="F434" s="2">
        <v>1.0</v>
      </c>
      <c r="G434" s="2" t="s">
        <v>1</v>
      </c>
      <c r="H434" s="2" t="s">
        <v>21</v>
      </c>
      <c r="I434" s="2" t="s">
        <v>15</v>
      </c>
      <c r="J434" s="2" t="s">
        <v>15</v>
      </c>
    </row>
    <row r="435" ht="15.75" customHeight="1">
      <c r="A435" s="1" t="s">
        <v>877</v>
      </c>
      <c r="B435" s="1" t="s">
        <v>878</v>
      </c>
      <c r="C435" s="1" t="s">
        <v>12</v>
      </c>
      <c r="D435" s="1" t="s">
        <v>872</v>
      </c>
      <c r="E435" s="4">
        <v>1008470.0</v>
      </c>
      <c r="F435" s="2">
        <v>2.0</v>
      </c>
      <c r="G435" s="2" t="s">
        <v>1</v>
      </c>
      <c r="H435" s="2" t="s">
        <v>14</v>
      </c>
      <c r="I435" s="2" t="s">
        <v>15</v>
      </c>
      <c r="J435" s="2" t="s">
        <v>15</v>
      </c>
    </row>
    <row r="436" ht="15.75" customHeight="1">
      <c r="A436" s="1" t="s">
        <v>879</v>
      </c>
      <c r="B436" s="1" t="s">
        <v>880</v>
      </c>
      <c r="C436" s="1" t="s">
        <v>12</v>
      </c>
      <c r="D436" s="1" t="s">
        <v>872</v>
      </c>
      <c r="E436" s="4">
        <v>1008470.0</v>
      </c>
      <c r="F436" s="2">
        <v>2.0</v>
      </c>
      <c r="G436" s="2" t="s">
        <v>1</v>
      </c>
      <c r="H436" s="2" t="s">
        <v>18</v>
      </c>
      <c r="I436" s="2" t="s">
        <v>15</v>
      </c>
      <c r="J436" s="2" t="s">
        <v>15</v>
      </c>
    </row>
    <row r="437" ht="15.75" customHeight="1">
      <c r="A437" s="1" t="s">
        <v>881</v>
      </c>
      <c r="B437" s="1" t="s">
        <v>882</v>
      </c>
      <c r="C437" s="1" t="s">
        <v>12</v>
      </c>
      <c r="D437" s="1" t="s">
        <v>872</v>
      </c>
      <c r="E437" s="4">
        <v>1008470.0</v>
      </c>
      <c r="F437" s="2">
        <v>2.0</v>
      </c>
      <c r="G437" s="2" t="s">
        <v>1</v>
      </c>
      <c r="H437" s="2" t="s">
        <v>21</v>
      </c>
      <c r="I437" s="2" t="s">
        <v>15</v>
      </c>
      <c r="J437" s="2" t="s">
        <v>15</v>
      </c>
    </row>
    <row r="438" ht="15.75" customHeight="1">
      <c r="A438" s="1" t="s">
        <v>883</v>
      </c>
      <c r="B438" s="1" t="s">
        <v>884</v>
      </c>
      <c r="C438" s="1" t="s">
        <v>12</v>
      </c>
      <c r="D438" s="1" t="s">
        <v>872</v>
      </c>
      <c r="E438" s="4">
        <v>1008470.0</v>
      </c>
      <c r="F438" s="2">
        <v>3.0</v>
      </c>
      <c r="G438" s="2" t="s">
        <v>1</v>
      </c>
      <c r="H438" s="2" t="s">
        <v>14</v>
      </c>
      <c r="I438" s="2" t="s">
        <v>15</v>
      </c>
      <c r="J438" s="2" t="s">
        <v>15</v>
      </c>
    </row>
    <row r="439" ht="15.75" customHeight="1">
      <c r="A439" s="1" t="s">
        <v>885</v>
      </c>
      <c r="B439" s="1" t="s">
        <v>886</v>
      </c>
      <c r="C439" s="1" t="s">
        <v>12</v>
      </c>
      <c r="D439" s="1" t="s">
        <v>872</v>
      </c>
      <c r="E439" s="4">
        <v>1008470.0</v>
      </c>
      <c r="F439" s="2">
        <v>3.0</v>
      </c>
      <c r="G439" s="2" t="s">
        <v>1</v>
      </c>
      <c r="H439" s="2" t="s">
        <v>18</v>
      </c>
      <c r="I439" s="2" t="s">
        <v>15</v>
      </c>
      <c r="J439" s="2" t="s">
        <v>15</v>
      </c>
    </row>
    <row r="440" ht="15.75" customHeight="1">
      <c r="A440" s="1" t="s">
        <v>887</v>
      </c>
      <c r="B440" s="1" t="s">
        <v>888</v>
      </c>
      <c r="C440" s="1" t="s">
        <v>12</v>
      </c>
      <c r="D440" s="1" t="s">
        <v>872</v>
      </c>
      <c r="E440" s="4">
        <v>1008470.0</v>
      </c>
      <c r="F440" s="2">
        <v>3.0</v>
      </c>
      <c r="G440" s="2" t="s">
        <v>1</v>
      </c>
      <c r="H440" s="2" t="s">
        <v>21</v>
      </c>
      <c r="I440" s="2" t="s">
        <v>15</v>
      </c>
      <c r="J440" s="2" t="s">
        <v>15</v>
      </c>
    </row>
    <row r="441" ht="15.75" customHeight="1">
      <c r="A441" s="1" t="s">
        <v>889</v>
      </c>
      <c r="B441" s="1" t="s">
        <v>890</v>
      </c>
      <c r="C441" s="1" t="s">
        <v>12</v>
      </c>
      <c r="D441" s="1" t="s">
        <v>872</v>
      </c>
      <c r="E441" s="4">
        <v>1008470.0</v>
      </c>
      <c r="F441" s="2" t="s">
        <v>30</v>
      </c>
      <c r="G441" s="2" t="s">
        <v>1</v>
      </c>
      <c r="H441" s="2" t="s">
        <v>14</v>
      </c>
      <c r="I441" s="2" t="s">
        <v>15</v>
      </c>
      <c r="J441" s="2" t="s">
        <v>15</v>
      </c>
    </row>
    <row r="442" ht="15.75" customHeight="1">
      <c r="A442" s="1" t="s">
        <v>891</v>
      </c>
      <c r="B442" s="1" t="s">
        <v>892</v>
      </c>
      <c r="C442" s="1" t="s">
        <v>12</v>
      </c>
      <c r="D442" s="1" t="s">
        <v>872</v>
      </c>
      <c r="E442" s="4">
        <v>1008470.0</v>
      </c>
      <c r="F442" s="2" t="s">
        <v>15</v>
      </c>
      <c r="G442" s="2" t="s">
        <v>33</v>
      </c>
      <c r="H442" s="2" t="s">
        <v>15</v>
      </c>
      <c r="I442" s="2" t="s">
        <v>15</v>
      </c>
      <c r="J442" s="2" t="s">
        <v>15</v>
      </c>
    </row>
    <row r="443" ht="15.75" customHeight="1">
      <c r="A443" s="1" t="s">
        <v>893</v>
      </c>
      <c r="B443" s="1" t="s">
        <v>894</v>
      </c>
      <c r="C443" s="1" t="s">
        <v>12</v>
      </c>
      <c r="D443" s="1" t="s">
        <v>872</v>
      </c>
      <c r="E443" s="4">
        <v>1008470.0</v>
      </c>
      <c r="F443" s="2">
        <v>1.0</v>
      </c>
      <c r="G443" s="2" t="s">
        <v>1</v>
      </c>
      <c r="H443" s="2" t="s">
        <v>37</v>
      </c>
      <c r="I443" s="2" t="s">
        <v>15</v>
      </c>
      <c r="J443" s="2" t="s">
        <v>15</v>
      </c>
    </row>
    <row r="444" ht="15.75" customHeight="1">
      <c r="A444" s="1" t="s">
        <v>895</v>
      </c>
      <c r="B444" s="1" t="s">
        <v>896</v>
      </c>
      <c r="C444" s="1" t="s">
        <v>12</v>
      </c>
      <c r="D444" s="1" t="s">
        <v>872</v>
      </c>
      <c r="E444" s="4">
        <v>1008470.0</v>
      </c>
      <c r="F444" s="2">
        <v>2.0</v>
      </c>
      <c r="G444" s="2" t="s">
        <v>1</v>
      </c>
      <c r="H444" s="2" t="s">
        <v>37</v>
      </c>
      <c r="I444" s="2" t="s">
        <v>15</v>
      </c>
      <c r="J444" s="2" t="s">
        <v>15</v>
      </c>
    </row>
    <row r="445" ht="15.75" customHeight="1">
      <c r="A445" s="1" t="s">
        <v>897</v>
      </c>
      <c r="B445" s="1" t="s">
        <v>898</v>
      </c>
      <c r="C445" s="1" t="s">
        <v>12</v>
      </c>
      <c r="D445" s="1" t="s">
        <v>872</v>
      </c>
      <c r="E445" s="4">
        <v>1008470.0</v>
      </c>
      <c r="F445" s="2">
        <v>3.0</v>
      </c>
      <c r="G445" s="2" t="s">
        <v>1</v>
      </c>
      <c r="H445" s="2" t="s">
        <v>37</v>
      </c>
      <c r="I445" s="2" t="s">
        <v>15</v>
      </c>
      <c r="J445" s="2" t="s">
        <v>15</v>
      </c>
    </row>
    <row r="446" ht="15.75" customHeight="1">
      <c r="A446" s="1" t="s">
        <v>899</v>
      </c>
      <c r="B446" s="1" t="s">
        <v>900</v>
      </c>
      <c r="C446" s="1" t="s">
        <v>12</v>
      </c>
      <c r="D446" s="1" t="s">
        <v>872</v>
      </c>
      <c r="E446" s="4">
        <v>1008470.0</v>
      </c>
      <c r="F446" s="2" t="s">
        <v>30</v>
      </c>
      <c r="G446" s="2" t="s">
        <v>1</v>
      </c>
      <c r="H446" s="2" t="s">
        <v>37</v>
      </c>
      <c r="I446" s="2" t="s">
        <v>15</v>
      </c>
      <c r="J446" s="2" t="s">
        <v>15</v>
      </c>
    </row>
    <row r="447" ht="15.75" customHeight="1">
      <c r="A447" s="1" t="s">
        <v>901</v>
      </c>
      <c r="B447" s="1" t="s">
        <v>902</v>
      </c>
      <c r="C447" s="1" t="s">
        <v>12</v>
      </c>
      <c r="D447" s="1" t="s">
        <v>903</v>
      </c>
      <c r="E447" s="4">
        <v>1008534.0</v>
      </c>
      <c r="F447" s="2">
        <v>1.0</v>
      </c>
      <c r="G447" s="2" t="s">
        <v>1</v>
      </c>
      <c r="H447" s="2" t="s">
        <v>14</v>
      </c>
      <c r="I447" s="2" t="s">
        <v>15</v>
      </c>
      <c r="J447" s="2" t="s">
        <v>15</v>
      </c>
    </row>
    <row r="448" ht="15.75" customHeight="1">
      <c r="A448" s="1" t="s">
        <v>904</v>
      </c>
      <c r="B448" s="1" t="s">
        <v>905</v>
      </c>
      <c r="C448" s="1" t="s">
        <v>12</v>
      </c>
      <c r="D448" s="1" t="s">
        <v>903</v>
      </c>
      <c r="E448" s="4">
        <v>1008534.0</v>
      </c>
      <c r="F448" s="2">
        <v>1.0</v>
      </c>
      <c r="G448" s="2" t="s">
        <v>1</v>
      </c>
      <c r="H448" s="2" t="s">
        <v>18</v>
      </c>
      <c r="I448" s="2" t="s">
        <v>15</v>
      </c>
      <c r="J448" s="2" t="s">
        <v>15</v>
      </c>
    </row>
    <row r="449" ht="15.75" customHeight="1">
      <c r="A449" s="1" t="s">
        <v>906</v>
      </c>
      <c r="B449" s="1" t="s">
        <v>907</v>
      </c>
      <c r="C449" s="1" t="s">
        <v>12</v>
      </c>
      <c r="D449" s="1" t="s">
        <v>903</v>
      </c>
      <c r="E449" s="4">
        <v>1008534.0</v>
      </c>
      <c r="F449" s="2">
        <v>1.0</v>
      </c>
      <c r="G449" s="2" t="s">
        <v>1</v>
      </c>
      <c r="H449" s="2" t="s">
        <v>21</v>
      </c>
      <c r="I449" s="2" t="s">
        <v>15</v>
      </c>
      <c r="J449" s="2" t="s">
        <v>15</v>
      </c>
    </row>
    <row r="450" ht="15.75" customHeight="1">
      <c r="A450" s="1" t="s">
        <v>908</v>
      </c>
      <c r="B450" s="1" t="s">
        <v>909</v>
      </c>
      <c r="C450" s="1" t="s">
        <v>12</v>
      </c>
      <c r="D450" s="1" t="s">
        <v>903</v>
      </c>
      <c r="E450" s="4">
        <v>1008534.0</v>
      </c>
      <c r="F450" s="2">
        <v>2.0</v>
      </c>
      <c r="G450" s="2" t="s">
        <v>1</v>
      </c>
      <c r="H450" s="2" t="s">
        <v>14</v>
      </c>
      <c r="I450" s="2" t="s">
        <v>15</v>
      </c>
      <c r="J450" s="2" t="s">
        <v>15</v>
      </c>
    </row>
    <row r="451" ht="15.75" customHeight="1">
      <c r="A451" s="1" t="s">
        <v>910</v>
      </c>
      <c r="B451" s="1" t="s">
        <v>911</v>
      </c>
      <c r="C451" s="1" t="s">
        <v>12</v>
      </c>
      <c r="D451" s="1" t="s">
        <v>903</v>
      </c>
      <c r="E451" s="4">
        <v>1008534.0</v>
      </c>
      <c r="F451" s="2">
        <v>2.0</v>
      </c>
      <c r="G451" s="2" t="s">
        <v>1</v>
      </c>
      <c r="H451" s="2" t="s">
        <v>18</v>
      </c>
      <c r="I451" s="2" t="s">
        <v>15</v>
      </c>
      <c r="J451" s="2" t="s">
        <v>15</v>
      </c>
    </row>
    <row r="452" ht="15.75" customHeight="1">
      <c r="A452" s="1" t="s">
        <v>912</v>
      </c>
      <c r="B452" s="1" t="s">
        <v>913</v>
      </c>
      <c r="C452" s="1" t="s">
        <v>12</v>
      </c>
      <c r="D452" s="1" t="s">
        <v>903</v>
      </c>
      <c r="E452" s="4">
        <v>1008534.0</v>
      </c>
      <c r="F452" s="2">
        <v>2.0</v>
      </c>
      <c r="G452" s="2" t="s">
        <v>1</v>
      </c>
      <c r="H452" s="2" t="s">
        <v>21</v>
      </c>
      <c r="I452" s="2" t="s">
        <v>15</v>
      </c>
      <c r="J452" s="2" t="s">
        <v>15</v>
      </c>
    </row>
    <row r="453" ht="15.75" customHeight="1">
      <c r="A453" s="1" t="s">
        <v>914</v>
      </c>
      <c r="B453" s="1" t="s">
        <v>915</v>
      </c>
      <c r="C453" s="1" t="s">
        <v>12</v>
      </c>
      <c r="D453" s="1" t="s">
        <v>903</v>
      </c>
      <c r="E453" s="4">
        <v>1008534.0</v>
      </c>
      <c r="F453" s="2" t="s">
        <v>30</v>
      </c>
      <c r="G453" s="2" t="s">
        <v>1</v>
      </c>
      <c r="H453" s="2" t="s">
        <v>14</v>
      </c>
      <c r="I453" s="2" t="s">
        <v>15</v>
      </c>
      <c r="J453" s="2" t="s">
        <v>15</v>
      </c>
    </row>
    <row r="454" ht="15.75" customHeight="1">
      <c r="A454" s="1" t="s">
        <v>916</v>
      </c>
      <c r="B454" s="1" t="s">
        <v>917</v>
      </c>
      <c r="C454" s="1" t="s">
        <v>12</v>
      </c>
      <c r="D454" s="1" t="s">
        <v>903</v>
      </c>
      <c r="E454" s="4">
        <v>1008534.0</v>
      </c>
      <c r="F454" s="2" t="s">
        <v>15</v>
      </c>
      <c r="G454" s="2" t="s">
        <v>33</v>
      </c>
      <c r="H454" s="2" t="s">
        <v>15</v>
      </c>
      <c r="I454" s="2" t="s">
        <v>15</v>
      </c>
      <c r="J454" s="2" t="s">
        <v>15</v>
      </c>
    </row>
    <row r="455" ht="15.75" customHeight="1">
      <c r="A455" s="1" t="s">
        <v>918</v>
      </c>
      <c r="B455" s="1" t="s">
        <v>919</v>
      </c>
      <c r="C455" s="1" t="s">
        <v>12</v>
      </c>
      <c r="D455" s="1" t="s">
        <v>903</v>
      </c>
      <c r="E455" s="4">
        <v>1008534.0</v>
      </c>
      <c r="F455" s="2">
        <v>1.0</v>
      </c>
      <c r="G455" s="2" t="s">
        <v>1</v>
      </c>
      <c r="H455" s="2" t="s">
        <v>37</v>
      </c>
      <c r="I455" s="2" t="s">
        <v>15</v>
      </c>
      <c r="J455" s="2" t="s">
        <v>15</v>
      </c>
    </row>
    <row r="456" ht="15.75" customHeight="1">
      <c r="A456" s="1" t="s">
        <v>920</v>
      </c>
      <c r="B456" s="1" t="s">
        <v>921</v>
      </c>
      <c r="C456" s="1" t="s">
        <v>12</v>
      </c>
      <c r="D456" s="1" t="s">
        <v>903</v>
      </c>
      <c r="E456" s="4">
        <v>1008534.0</v>
      </c>
      <c r="F456" s="2">
        <v>2.0</v>
      </c>
      <c r="G456" s="2" t="s">
        <v>1</v>
      </c>
      <c r="H456" s="2" t="s">
        <v>37</v>
      </c>
      <c r="I456" s="2" t="s">
        <v>15</v>
      </c>
      <c r="J456" s="2" t="s">
        <v>15</v>
      </c>
    </row>
    <row r="457" ht="15.75" customHeight="1">
      <c r="A457" s="1" t="s">
        <v>922</v>
      </c>
      <c r="B457" s="1" t="s">
        <v>923</v>
      </c>
      <c r="C457" s="1" t="s">
        <v>12</v>
      </c>
      <c r="D457" s="1" t="s">
        <v>903</v>
      </c>
      <c r="E457" s="4">
        <v>1008534.0</v>
      </c>
      <c r="F457" s="2">
        <v>3.0</v>
      </c>
      <c r="G457" s="2" t="s">
        <v>1</v>
      </c>
      <c r="H457" s="2" t="s">
        <v>37</v>
      </c>
      <c r="I457" s="2" t="s">
        <v>15</v>
      </c>
      <c r="J457" s="2" t="s">
        <v>15</v>
      </c>
    </row>
    <row r="458" ht="15.75" customHeight="1">
      <c r="A458" s="1" t="s">
        <v>924</v>
      </c>
      <c r="B458" s="1" t="s">
        <v>925</v>
      </c>
      <c r="C458" s="1" t="s">
        <v>12</v>
      </c>
      <c r="D458" s="1" t="s">
        <v>903</v>
      </c>
      <c r="E458" s="4">
        <v>1008534.0</v>
      </c>
      <c r="F458" s="2" t="s">
        <v>30</v>
      </c>
      <c r="G458" s="2" t="s">
        <v>1</v>
      </c>
      <c r="H458" s="2" t="s">
        <v>37</v>
      </c>
      <c r="I458" s="2" t="s">
        <v>15</v>
      </c>
      <c r="J458" s="2" t="s">
        <v>15</v>
      </c>
    </row>
    <row r="459" ht="15.75" customHeight="1">
      <c r="A459" s="1" t="s">
        <v>926</v>
      </c>
      <c r="B459" s="1" t="s">
        <v>927</v>
      </c>
      <c r="C459" s="1" t="s">
        <v>12</v>
      </c>
      <c r="D459" s="1" t="s">
        <v>928</v>
      </c>
      <c r="E459" s="4">
        <v>1008598.0</v>
      </c>
      <c r="F459" s="2">
        <v>1.0</v>
      </c>
      <c r="G459" s="2" t="s">
        <v>1</v>
      </c>
      <c r="H459" s="2" t="s">
        <v>14</v>
      </c>
      <c r="I459" s="2" t="s">
        <v>15</v>
      </c>
      <c r="J459" s="2" t="s">
        <v>15</v>
      </c>
    </row>
    <row r="460" ht="15.75" customHeight="1">
      <c r="A460" s="1" t="s">
        <v>929</v>
      </c>
      <c r="B460" s="1" t="s">
        <v>930</v>
      </c>
      <c r="C460" s="1" t="s">
        <v>12</v>
      </c>
      <c r="D460" s="1" t="s">
        <v>928</v>
      </c>
      <c r="E460" s="4">
        <v>1008598.0</v>
      </c>
      <c r="F460" s="2">
        <v>1.0</v>
      </c>
      <c r="G460" s="2" t="s">
        <v>1</v>
      </c>
      <c r="H460" s="2" t="s">
        <v>18</v>
      </c>
      <c r="I460" s="2" t="s">
        <v>15</v>
      </c>
      <c r="J460" s="2" t="s">
        <v>15</v>
      </c>
    </row>
    <row r="461" ht="15.75" customHeight="1">
      <c r="A461" s="1" t="s">
        <v>931</v>
      </c>
      <c r="B461" s="1" t="s">
        <v>932</v>
      </c>
      <c r="C461" s="1" t="s">
        <v>12</v>
      </c>
      <c r="D461" s="1" t="s">
        <v>928</v>
      </c>
      <c r="E461" s="4">
        <v>1008598.0</v>
      </c>
      <c r="F461" s="2">
        <v>1.0</v>
      </c>
      <c r="G461" s="2" t="s">
        <v>1</v>
      </c>
      <c r="H461" s="2" t="s">
        <v>21</v>
      </c>
      <c r="I461" s="2" t="s">
        <v>15</v>
      </c>
      <c r="J461" s="2" t="s">
        <v>15</v>
      </c>
    </row>
    <row r="462" ht="15.75" customHeight="1">
      <c r="A462" s="1" t="s">
        <v>933</v>
      </c>
      <c r="B462" s="1" t="s">
        <v>934</v>
      </c>
      <c r="C462" s="1" t="s">
        <v>12</v>
      </c>
      <c r="D462" s="1" t="s">
        <v>928</v>
      </c>
      <c r="E462" s="4">
        <v>1008598.0</v>
      </c>
      <c r="F462" s="2">
        <v>2.0</v>
      </c>
      <c r="G462" s="2" t="s">
        <v>1</v>
      </c>
      <c r="H462" s="2" t="s">
        <v>14</v>
      </c>
      <c r="I462" s="2" t="s">
        <v>15</v>
      </c>
      <c r="J462" s="2" t="s">
        <v>15</v>
      </c>
    </row>
    <row r="463" ht="15.75" customHeight="1">
      <c r="A463" s="1" t="s">
        <v>935</v>
      </c>
      <c r="B463" s="1" t="s">
        <v>936</v>
      </c>
      <c r="C463" s="1" t="s">
        <v>12</v>
      </c>
      <c r="D463" s="1" t="s">
        <v>928</v>
      </c>
      <c r="E463" s="4">
        <v>1008598.0</v>
      </c>
      <c r="F463" s="2">
        <v>2.0</v>
      </c>
      <c r="G463" s="2" t="s">
        <v>1</v>
      </c>
      <c r="H463" s="2" t="s">
        <v>18</v>
      </c>
      <c r="I463" s="2" t="s">
        <v>15</v>
      </c>
      <c r="J463" s="2" t="s">
        <v>15</v>
      </c>
    </row>
    <row r="464" ht="15.75" customHeight="1">
      <c r="A464" s="1" t="s">
        <v>937</v>
      </c>
      <c r="B464" s="1" t="s">
        <v>938</v>
      </c>
      <c r="C464" s="1" t="s">
        <v>12</v>
      </c>
      <c r="D464" s="1" t="s">
        <v>928</v>
      </c>
      <c r="E464" s="4">
        <v>1008598.0</v>
      </c>
      <c r="F464" s="2">
        <v>2.0</v>
      </c>
      <c r="G464" s="2" t="s">
        <v>1</v>
      </c>
      <c r="H464" s="2" t="s">
        <v>21</v>
      </c>
      <c r="I464" s="2" t="s">
        <v>15</v>
      </c>
      <c r="J464" s="2" t="s">
        <v>15</v>
      </c>
    </row>
    <row r="465" ht="15.75" customHeight="1">
      <c r="A465" s="1" t="s">
        <v>939</v>
      </c>
      <c r="B465" s="1" t="s">
        <v>940</v>
      </c>
      <c r="C465" s="1" t="s">
        <v>12</v>
      </c>
      <c r="D465" s="1" t="s">
        <v>928</v>
      </c>
      <c r="E465" s="4">
        <v>1008598.0</v>
      </c>
      <c r="F465" s="2">
        <v>3.0</v>
      </c>
      <c r="G465" s="2" t="s">
        <v>1</v>
      </c>
      <c r="H465" s="2" t="s">
        <v>14</v>
      </c>
      <c r="I465" s="2" t="s">
        <v>15</v>
      </c>
      <c r="J465" s="2" t="s">
        <v>15</v>
      </c>
    </row>
    <row r="466" ht="15.75" customHeight="1">
      <c r="A466" s="1" t="s">
        <v>941</v>
      </c>
      <c r="B466" s="1" t="s">
        <v>942</v>
      </c>
      <c r="C466" s="1" t="s">
        <v>12</v>
      </c>
      <c r="D466" s="1" t="s">
        <v>928</v>
      </c>
      <c r="E466" s="4">
        <v>1008598.0</v>
      </c>
      <c r="F466" s="2">
        <v>3.0</v>
      </c>
      <c r="G466" s="2" t="s">
        <v>1</v>
      </c>
      <c r="H466" s="2" t="s">
        <v>18</v>
      </c>
      <c r="I466" s="2" t="s">
        <v>15</v>
      </c>
      <c r="J466" s="2" t="s">
        <v>15</v>
      </c>
    </row>
    <row r="467" ht="15.75" customHeight="1">
      <c r="A467" s="1" t="s">
        <v>943</v>
      </c>
      <c r="B467" s="1" t="s">
        <v>944</v>
      </c>
      <c r="C467" s="1" t="s">
        <v>12</v>
      </c>
      <c r="D467" s="1" t="s">
        <v>928</v>
      </c>
      <c r="E467" s="4">
        <v>1008598.0</v>
      </c>
      <c r="F467" s="2">
        <v>3.0</v>
      </c>
      <c r="G467" s="2" t="s">
        <v>1</v>
      </c>
      <c r="H467" s="2" t="s">
        <v>21</v>
      </c>
      <c r="I467" s="2" t="s">
        <v>15</v>
      </c>
      <c r="J467" s="2" t="s">
        <v>15</v>
      </c>
    </row>
    <row r="468" ht="15.75" customHeight="1">
      <c r="A468" s="1" t="s">
        <v>945</v>
      </c>
      <c r="B468" s="1" t="s">
        <v>946</v>
      </c>
      <c r="C468" s="1" t="s">
        <v>12</v>
      </c>
      <c r="D468" s="1" t="s">
        <v>928</v>
      </c>
      <c r="E468" s="4">
        <v>1008598.0</v>
      </c>
      <c r="F468" s="2">
        <v>4.0</v>
      </c>
      <c r="G468" s="2" t="s">
        <v>1</v>
      </c>
      <c r="H468" s="2" t="s">
        <v>14</v>
      </c>
      <c r="I468" s="2" t="s">
        <v>15</v>
      </c>
      <c r="J468" s="2" t="s">
        <v>15</v>
      </c>
    </row>
    <row r="469" ht="15.75" customHeight="1">
      <c r="A469" s="1" t="s">
        <v>947</v>
      </c>
      <c r="B469" s="1" t="s">
        <v>948</v>
      </c>
      <c r="C469" s="1" t="s">
        <v>12</v>
      </c>
      <c r="D469" s="1" t="s">
        <v>928</v>
      </c>
      <c r="E469" s="4">
        <v>1008598.0</v>
      </c>
      <c r="F469" s="2">
        <v>4.0</v>
      </c>
      <c r="G469" s="2" t="s">
        <v>1</v>
      </c>
      <c r="H469" s="2" t="s">
        <v>18</v>
      </c>
      <c r="I469" s="2" t="s">
        <v>15</v>
      </c>
      <c r="J469" s="2" t="s">
        <v>15</v>
      </c>
    </row>
    <row r="470" ht="15.75" customHeight="1">
      <c r="A470" s="1" t="s">
        <v>949</v>
      </c>
      <c r="B470" s="1" t="s">
        <v>950</v>
      </c>
      <c r="C470" s="1" t="s">
        <v>12</v>
      </c>
      <c r="D470" s="1" t="s">
        <v>928</v>
      </c>
      <c r="E470" s="4">
        <v>1008598.0</v>
      </c>
      <c r="F470" s="2">
        <v>4.0</v>
      </c>
      <c r="G470" s="2" t="s">
        <v>1</v>
      </c>
      <c r="H470" s="2" t="s">
        <v>21</v>
      </c>
      <c r="I470" s="2" t="s">
        <v>15</v>
      </c>
      <c r="J470" s="2" t="s">
        <v>15</v>
      </c>
    </row>
    <row r="471" ht="15.75" customHeight="1">
      <c r="A471" s="1" t="s">
        <v>951</v>
      </c>
      <c r="B471" s="1" t="s">
        <v>952</v>
      </c>
      <c r="C471" s="1" t="s">
        <v>12</v>
      </c>
      <c r="D471" s="1" t="s">
        <v>928</v>
      </c>
      <c r="E471" s="4">
        <v>1008598.0</v>
      </c>
      <c r="F471" s="2" t="s">
        <v>30</v>
      </c>
      <c r="G471" s="2" t="s">
        <v>1</v>
      </c>
      <c r="H471" s="2" t="s">
        <v>14</v>
      </c>
      <c r="I471" s="2" t="s">
        <v>15</v>
      </c>
      <c r="J471" s="2" t="s">
        <v>15</v>
      </c>
    </row>
    <row r="472" ht="15.75" customHeight="1">
      <c r="A472" s="1" t="s">
        <v>953</v>
      </c>
      <c r="B472" s="1" t="s">
        <v>954</v>
      </c>
      <c r="C472" s="1" t="s">
        <v>12</v>
      </c>
      <c r="D472" s="1" t="s">
        <v>928</v>
      </c>
      <c r="E472" s="4">
        <v>1008598.0</v>
      </c>
      <c r="F472" s="2" t="s">
        <v>15</v>
      </c>
      <c r="G472" s="2" t="s">
        <v>33</v>
      </c>
      <c r="H472" s="2" t="s">
        <v>15</v>
      </c>
      <c r="I472" s="2" t="s">
        <v>15</v>
      </c>
      <c r="J472" s="2" t="s">
        <v>15</v>
      </c>
    </row>
    <row r="473" ht="15.75" customHeight="1">
      <c r="A473" s="1" t="s">
        <v>955</v>
      </c>
      <c r="B473" s="1" t="s">
        <v>956</v>
      </c>
      <c r="C473" s="1" t="s">
        <v>12</v>
      </c>
      <c r="D473" s="1" t="s">
        <v>928</v>
      </c>
      <c r="E473" s="4">
        <v>1008598.0</v>
      </c>
      <c r="F473" s="2">
        <v>1.0</v>
      </c>
      <c r="G473" s="2" t="s">
        <v>1</v>
      </c>
      <c r="H473" s="2" t="s">
        <v>37</v>
      </c>
      <c r="I473" s="2" t="s">
        <v>15</v>
      </c>
      <c r="J473" s="2" t="s">
        <v>15</v>
      </c>
    </row>
    <row r="474" ht="15.75" customHeight="1">
      <c r="A474" s="1" t="s">
        <v>957</v>
      </c>
      <c r="B474" s="1" t="s">
        <v>958</v>
      </c>
      <c r="C474" s="1" t="s">
        <v>12</v>
      </c>
      <c r="D474" s="1" t="s">
        <v>928</v>
      </c>
      <c r="E474" s="4">
        <v>1008598.0</v>
      </c>
      <c r="F474" s="2">
        <v>2.0</v>
      </c>
      <c r="G474" s="2" t="s">
        <v>1</v>
      </c>
      <c r="H474" s="2" t="s">
        <v>37</v>
      </c>
      <c r="I474" s="2" t="s">
        <v>15</v>
      </c>
      <c r="J474" s="2" t="s">
        <v>15</v>
      </c>
    </row>
    <row r="475" ht="15.75" customHeight="1">
      <c r="A475" s="1" t="s">
        <v>959</v>
      </c>
      <c r="B475" s="1" t="s">
        <v>960</v>
      </c>
      <c r="C475" s="1" t="s">
        <v>12</v>
      </c>
      <c r="D475" s="1" t="s">
        <v>928</v>
      </c>
      <c r="E475" s="4">
        <v>1008598.0</v>
      </c>
      <c r="F475" s="2">
        <v>3.0</v>
      </c>
      <c r="G475" s="2" t="s">
        <v>1</v>
      </c>
      <c r="H475" s="2" t="s">
        <v>37</v>
      </c>
      <c r="I475" s="2" t="s">
        <v>15</v>
      </c>
      <c r="J475" s="2" t="s">
        <v>15</v>
      </c>
    </row>
    <row r="476" ht="15.75" customHeight="1">
      <c r="A476" s="1" t="s">
        <v>961</v>
      </c>
      <c r="B476" s="1" t="s">
        <v>962</v>
      </c>
      <c r="C476" s="1" t="s">
        <v>12</v>
      </c>
      <c r="D476" s="1" t="s">
        <v>928</v>
      </c>
      <c r="E476" s="4">
        <v>1008598.0</v>
      </c>
      <c r="F476" s="2">
        <v>4.0</v>
      </c>
      <c r="G476" s="2" t="s">
        <v>1</v>
      </c>
      <c r="H476" s="2" t="s">
        <v>37</v>
      </c>
      <c r="I476" s="2" t="s">
        <v>15</v>
      </c>
      <c r="J476" s="2" t="s">
        <v>15</v>
      </c>
    </row>
    <row r="477" ht="15.75" customHeight="1">
      <c r="A477" s="1" t="s">
        <v>963</v>
      </c>
      <c r="B477" s="1" t="s">
        <v>964</v>
      </c>
      <c r="C477" s="1" t="s">
        <v>12</v>
      </c>
      <c r="D477" s="1" t="s">
        <v>928</v>
      </c>
      <c r="E477" s="4">
        <v>1008598.0</v>
      </c>
      <c r="F477" s="2" t="s">
        <v>30</v>
      </c>
      <c r="G477" s="2" t="s">
        <v>1</v>
      </c>
      <c r="H477" s="2" t="s">
        <v>37</v>
      </c>
      <c r="I477" s="2" t="s">
        <v>15</v>
      </c>
      <c r="J477" s="2" t="s">
        <v>15</v>
      </c>
    </row>
    <row r="478" ht="15.75" customHeight="1">
      <c r="A478" s="1" t="s">
        <v>965</v>
      </c>
      <c r="B478" s="1" t="s">
        <v>966</v>
      </c>
      <c r="C478" s="1" t="s">
        <v>12</v>
      </c>
      <c r="D478" s="1" t="s">
        <v>967</v>
      </c>
      <c r="E478" s="4">
        <v>1008662.0</v>
      </c>
      <c r="F478" s="2" t="s">
        <v>15</v>
      </c>
      <c r="G478" s="2" t="s">
        <v>1</v>
      </c>
      <c r="H478" s="2" t="s">
        <v>53</v>
      </c>
      <c r="I478" s="2" t="s">
        <v>15</v>
      </c>
      <c r="J478" s="2" t="s">
        <v>15</v>
      </c>
    </row>
    <row r="479" ht="15.75" customHeight="1">
      <c r="A479" s="1" t="s">
        <v>968</v>
      </c>
      <c r="B479" s="1" t="s">
        <v>969</v>
      </c>
      <c r="C479" s="1" t="s">
        <v>12</v>
      </c>
      <c r="D479" s="1" t="s">
        <v>967</v>
      </c>
      <c r="E479" s="4">
        <v>1008662.0</v>
      </c>
      <c r="F479" s="2" t="s">
        <v>15</v>
      </c>
      <c r="G479" s="2" t="s">
        <v>1</v>
      </c>
      <c r="H479" s="2" t="s">
        <v>53</v>
      </c>
      <c r="I479" s="2" t="s">
        <v>15</v>
      </c>
      <c r="J479" s="2" t="s">
        <v>15</v>
      </c>
    </row>
    <row r="480" ht="15.75" customHeight="1">
      <c r="A480" s="1" t="s">
        <v>970</v>
      </c>
      <c r="B480" s="1" t="s">
        <v>971</v>
      </c>
      <c r="C480" s="1" t="s">
        <v>12</v>
      </c>
      <c r="D480" s="1" t="s">
        <v>967</v>
      </c>
      <c r="E480" s="4">
        <v>1008662.0</v>
      </c>
      <c r="F480" s="2" t="s">
        <v>15</v>
      </c>
      <c r="G480" s="2" t="s">
        <v>1</v>
      </c>
      <c r="H480" s="2" t="s">
        <v>53</v>
      </c>
      <c r="I480" s="2" t="s">
        <v>15</v>
      </c>
      <c r="J480" s="2" t="s">
        <v>15</v>
      </c>
    </row>
    <row r="481" ht="15.75" customHeight="1">
      <c r="A481" s="1" t="s">
        <v>972</v>
      </c>
      <c r="B481" s="1" t="s">
        <v>973</v>
      </c>
      <c r="C481" s="1" t="s">
        <v>12</v>
      </c>
      <c r="D481" s="1" t="s">
        <v>967</v>
      </c>
      <c r="E481" s="4">
        <v>1008662.0</v>
      </c>
      <c r="F481" s="2" t="s">
        <v>399</v>
      </c>
      <c r="G481" s="2" t="s">
        <v>1</v>
      </c>
      <c r="H481" s="2" t="s">
        <v>14</v>
      </c>
      <c r="I481" s="2" t="s">
        <v>15</v>
      </c>
      <c r="J481" s="2" t="s">
        <v>15</v>
      </c>
    </row>
    <row r="482" ht="15.75" customHeight="1">
      <c r="A482" s="1" t="s">
        <v>974</v>
      </c>
      <c r="B482" s="1" t="s">
        <v>975</v>
      </c>
      <c r="C482" s="1" t="s">
        <v>12</v>
      </c>
      <c r="D482" s="1" t="s">
        <v>967</v>
      </c>
      <c r="E482" s="4">
        <v>1008662.0</v>
      </c>
      <c r="F482" s="2" t="s">
        <v>399</v>
      </c>
      <c r="G482" s="2" t="s">
        <v>1</v>
      </c>
      <c r="H482" s="2" t="s">
        <v>18</v>
      </c>
      <c r="I482" s="2" t="s">
        <v>15</v>
      </c>
      <c r="J482" s="2" t="s">
        <v>15</v>
      </c>
    </row>
    <row r="483" ht="15.75" customHeight="1">
      <c r="A483" s="1" t="s">
        <v>976</v>
      </c>
      <c r="B483" s="1" t="s">
        <v>977</v>
      </c>
      <c r="C483" s="1" t="s">
        <v>12</v>
      </c>
      <c r="D483" s="1" t="s">
        <v>967</v>
      </c>
      <c r="E483" s="4">
        <v>1008662.0</v>
      </c>
      <c r="F483" s="2" t="s">
        <v>399</v>
      </c>
      <c r="G483" s="2" t="s">
        <v>1</v>
      </c>
      <c r="H483" s="2" t="s">
        <v>21</v>
      </c>
      <c r="I483" s="2" t="s">
        <v>15</v>
      </c>
      <c r="J483" s="2" t="s">
        <v>15</v>
      </c>
    </row>
    <row r="484" ht="15.75" customHeight="1">
      <c r="A484" s="1" t="s">
        <v>978</v>
      </c>
      <c r="B484" s="1" t="s">
        <v>979</v>
      </c>
      <c r="C484" s="1" t="s">
        <v>12</v>
      </c>
      <c r="D484" s="1" t="s">
        <v>967</v>
      </c>
      <c r="E484" s="4">
        <v>1008662.0</v>
      </c>
      <c r="F484" s="2" t="s">
        <v>15</v>
      </c>
      <c r="G484" s="2" t="s">
        <v>1</v>
      </c>
      <c r="H484" s="2" t="s">
        <v>53</v>
      </c>
      <c r="I484" s="2" t="s">
        <v>15</v>
      </c>
      <c r="J484" s="2" t="s">
        <v>15</v>
      </c>
    </row>
    <row r="485" ht="15.75" customHeight="1">
      <c r="A485" s="1" t="s">
        <v>980</v>
      </c>
      <c r="B485" s="1" t="s">
        <v>981</v>
      </c>
      <c r="C485" s="1" t="s">
        <v>12</v>
      </c>
      <c r="D485" s="1" t="s">
        <v>967</v>
      </c>
      <c r="E485" s="4">
        <v>1008662.0</v>
      </c>
      <c r="F485" s="2" t="s">
        <v>30</v>
      </c>
      <c r="G485" s="2" t="s">
        <v>1</v>
      </c>
      <c r="H485" s="2" t="s">
        <v>53</v>
      </c>
      <c r="I485" s="2" t="s">
        <v>15</v>
      </c>
      <c r="J485" s="2" t="s">
        <v>15</v>
      </c>
    </row>
    <row r="486" ht="15.75" customHeight="1">
      <c r="A486" s="1" t="s">
        <v>982</v>
      </c>
      <c r="B486" s="1" t="s">
        <v>983</v>
      </c>
      <c r="C486" s="1" t="s">
        <v>12</v>
      </c>
      <c r="D486" s="1" t="s">
        <v>967</v>
      </c>
      <c r="E486" s="4">
        <v>1008662.0</v>
      </c>
      <c r="F486" s="2" t="s">
        <v>15</v>
      </c>
      <c r="G486" s="2" t="s">
        <v>33</v>
      </c>
      <c r="H486" s="2" t="s">
        <v>15</v>
      </c>
      <c r="I486" s="2" t="s">
        <v>15</v>
      </c>
      <c r="J486" s="2" t="s">
        <v>15</v>
      </c>
    </row>
    <row r="487" ht="15.75" customHeight="1">
      <c r="A487" s="1" t="s">
        <v>984</v>
      </c>
      <c r="B487" s="1" t="s">
        <v>985</v>
      </c>
      <c r="C487" s="1" t="s">
        <v>12</v>
      </c>
      <c r="D487" s="1" t="s">
        <v>967</v>
      </c>
      <c r="E487" s="4">
        <v>1008662.0</v>
      </c>
      <c r="F487" s="2" t="s">
        <v>399</v>
      </c>
      <c r="G487" s="2" t="s">
        <v>1</v>
      </c>
      <c r="H487" s="2" t="s">
        <v>37</v>
      </c>
      <c r="I487" s="2" t="s">
        <v>15</v>
      </c>
      <c r="J487" s="2" t="s">
        <v>15</v>
      </c>
    </row>
    <row r="488" ht="15.75" customHeight="1">
      <c r="A488" s="1" t="s">
        <v>986</v>
      </c>
      <c r="B488" s="1" t="s">
        <v>987</v>
      </c>
      <c r="C488" s="1" t="s">
        <v>12</v>
      </c>
      <c r="D488" s="1" t="s">
        <v>967</v>
      </c>
      <c r="E488" s="4">
        <v>1008662.0</v>
      </c>
      <c r="F488" s="2" t="s">
        <v>30</v>
      </c>
      <c r="G488" s="2" t="s">
        <v>1</v>
      </c>
      <c r="H488" s="2" t="s">
        <v>37</v>
      </c>
      <c r="I488" s="2" t="s">
        <v>15</v>
      </c>
      <c r="J488" s="2" t="s">
        <v>15</v>
      </c>
    </row>
    <row r="489" ht="15.75" customHeight="1">
      <c r="A489" s="1" t="s">
        <v>988</v>
      </c>
      <c r="B489" s="1" t="s">
        <v>966</v>
      </c>
      <c r="C489" s="1" t="s">
        <v>12</v>
      </c>
      <c r="D489" s="1" t="s">
        <v>989</v>
      </c>
      <c r="E489" s="4">
        <v>1008726.0</v>
      </c>
      <c r="F489" s="2" t="s">
        <v>15</v>
      </c>
      <c r="G489" s="2" t="s">
        <v>1</v>
      </c>
      <c r="H489" s="2" t="s">
        <v>53</v>
      </c>
      <c r="I489" s="2" t="s">
        <v>15</v>
      </c>
      <c r="J489" s="2" t="s">
        <v>15</v>
      </c>
    </row>
    <row r="490" ht="15.75" customHeight="1">
      <c r="A490" s="1" t="s">
        <v>990</v>
      </c>
      <c r="B490" s="1" t="s">
        <v>969</v>
      </c>
      <c r="C490" s="1" t="s">
        <v>12</v>
      </c>
      <c r="D490" s="1" t="s">
        <v>989</v>
      </c>
      <c r="E490" s="4">
        <v>1008726.0</v>
      </c>
      <c r="F490" s="2" t="s">
        <v>15</v>
      </c>
      <c r="G490" s="2" t="s">
        <v>1</v>
      </c>
      <c r="H490" s="2" t="s">
        <v>53</v>
      </c>
      <c r="I490" s="2" t="s">
        <v>15</v>
      </c>
      <c r="J490" s="2" t="s">
        <v>15</v>
      </c>
    </row>
    <row r="491" ht="15.75" customHeight="1">
      <c r="A491" s="1" t="s">
        <v>991</v>
      </c>
      <c r="B491" s="1" t="s">
        <v>971</v>
      </c>
      <c r="C491" s="1" t="s">
        <v>12</v>
      </c>
      <c r="D491" s="1" t="s">
        <v>989</v>
      </c>
      <c r="E491" s="4">
        <v>1008726.0</v>
      </c>
      <c r="F491" s="2" t="s">
        <v>15</v>
      </c>
      <c r="G491" s="2" t="s">
        <v>1</v>
      </c>
      <c r="H491" s="2" t="s">
        <v>53</v>
      </c>
      <c r="I491" s="2" t="s">
        <v>15</v>
      </c>
      <c r="J491" s="2" t="s">
        <v>15</v>
      </c>
    </row>
    <row r="492" ht="15.75" customHeight="1">
      <c r="A492" s="1" t="s">
        <v>992</v>
      </c>
      <c r="B492" s="1" t="s">
        <v>993</v>
      </c>
      <c r="C492" s="1" t="s">
        <v>12</v>
      </c>
      <c r="D492" s="1" t="s">
        <v>989</v>
      </c>
      <c r="E492" s="4">
        <v>1008726.0</v>
      </c>
      <c r="F492" s="2" t="s">
        <v>399</v>
      </c>
      <c r="G492" s="2" t="s">
        <v>1</v>
      </c>
      <c r="H492" s="2" t="s">
        <v>14</v>
      </c>
      <c r="I492" s="2" t="s">
        <v>15</v>
      </c>
      <c r="J492" s="2" t="s">
        <v>15</v>
      </c>
    </row>
    <row r="493" ht="15.75" customHeight="1">
      <c r="A493" s="1" t="s">
        <v>994</v>
      </c>
      <c r="B493" s="1" t="s">
        <v>995</v>
      </c>
      <c r="C493" s="1" t="s">
        <v>12</v>
      </c>
      <c r="D493" s="1" t="s">
        <v>989</v>
      </c>
      <c r="E493" s="4">
        <v>1008726.0</v>
      </c>
      <c r="F493" s="2" t="s">
        <v>399</v>
      </c>
      <c r="G493" s="2" t="s">
        <v>1</v>
      </c>
      <c r="H493" s="2" t="s">
        <v>18</v>
      </c>
      <c r="I493" s="2" t="s">
        <v>15</v>
      </c>
      <c r="J493" s="2" t="s">
        <v>15</v>
      </c>
    </row>
    <row r="494" ht="15.75" customHeight="1">
      <c r="A494" s="1" t="s">
        <v>996</v>
      </c>
      <c r="B494" s="1" t="s">
        <v>997</v>
      </c>
      <c r="C494" s="1" t="s">
        <v>12</v>
      </c>
      <c r="D494" s="1" t="s">
        <v>989</v>
      </c>
      <c r="E494" s="4">
        <v>1008726.0</v>
      </c>
      <c r="F494" s="2" t="s">
        <v>399</v>
      </c>
      <c r="G494" s="2" t="s">
        <v>1</v>
      </c>
      <c r="H494" s="2" t="s">
        <v>21</v>
      </c>
      <c r="I494" s="2" t="s">
        <v>15</v>
      </c>
      <c r="J494" s="2" t="s">
        <v>15</v>
      </c>
    </row>
    <row r="495" ht="15.75" customHeight="1">
      <c r="A495" s="1" t="s">
        <v>998</v>
      </c>
      <c r="B495" s="1" t="s">
        <v>979</v>
      </c>
      <c r="C495" s="1" t="s">
        <v>12</v>
      </c>
      <c r="D495" s="1" t="s">
        <v>989</v>
      </c>
      <c r="E495" s="4">
        <v>1008726.0</v>
      </c>
      <c r="F495" s="2" t="s">
        <v>15</v>
      </c>
      <c r="G495" s="2" t="s">
        <v>1</v>
      </c>
      <c r="H495" s="2" t="s">
        <v>53</v>
      </c>
      <c r="I495" s="2" t="s">
        <v>15</v>
      </c>
      <c r="J495" s="2" t="s">
        <v>15</v>
      </c>
    </row>
    <row r="496" ht="15.75" customHeight="1">
      <c r="A496" s="1" t="s">
        <v>999</v>
      </c>
      <c r="B496" s="1" t="s">
        <v>981</v>
      </c>
      <c r="C496" s="1" t="s">
        <v>12</v>
      </c>
      <c r="D496" s="1" t="s">
        <v>989</v>
      </c>
      <c r="E496" s="4">
        <v>1008726.0</v>
      </c>
      <c r="F496" s="2" t="s">
        <v>30</v>
      </c>
      <c r="G496" s="2" t="s">
        <v>1</v>
      </c>
      <c r="H496" s="2" t="s">
        <v>53</v>
      </c>
      <c r="I496" s="2" t="s">
        <v>15</v>
      </c>
      <c r="J496" s="2" t="s">
        <v>15</v>
      </c>
    </row>
    <row r="497" ht="15.75" customHeight="1">
      <c r="A497" s="1" t="s">
        <v>1000</v>
      </c>
      <c r="B497" s="1" t="s">
        <v>1001</v>
      </c>
      <c r="C497" s="1" t="s">
        <v>12</v>
      </c>
      <c r="D497" s="1" t="s">
        <v>989</v>
      </c>
      <c r="E497" s="4">
        <v>1008726.0</v>
      </c>
      <c r="F497" s="2" t="s">
        <v>15</v>
      </c>
      <c r="G497" s="2" t="s">
        <v>33</v>
      </c>
      <c r="H497" s="2" t="s">
        <v>15</v>
      </c>
      <c r="I497" s="2" t="s">
        <v>15</v>
      </c>
      <c r="J497" s="2" t="s">
        <v>15</v>
      </c>
    </row>
    <row r="498" ht="15.75" customHeight="1">
      <c r="A498" s="1" t="s">
        <v>1002</v>
      </c>
      <c r="B498" s="1" t="s">
        <v>1003</v>
      </c>
      <c r="C498" s="1" t="s">
        <v>12</v>
      </c>
      <c r="D498" s="1" t="s">
        <v>989</v>
      </c>
      <c r="E498" s="4">
        <v>1008726.0</v>
      </c>
      <c r="F498" s="2" t="s">
        <v>399</v>
      </c>
      <c r="G498" s="2" t="s">
        <v>1</v>
      </c>
      <c r="H498" s="2" t="s">
        <v>37</v>
      </c>
      <c r="I498" s="2" t="s">
        <v>15</v>
      </c>
      <c r="J498" s="2" t="s">
        <v>15</v>
      </c>
    </row>
    <row r="499" ht="15.75" customHeight="1">
      <c r="A499" s="1" t="s">
        <v>1004</v>
      </c>
      <c r="B499" s="1" t="s">
        <v>1005</v>
      </c>
      <c r="C499" s="1" t="s">
        <v>12</v>
      </c>
      <c r="D499" s="1" t="s">
        <v>989</v>
      </c>
      <c r="E499" s="4">
        <v>1008726.0</v>
      </c>
      <c r="F499" s="2" t="s">
        <v>30</v>
      </c>
      <c r="G499" s="2" t="s">
        <v>1</v>
      </c>
      <c r="H499" s="2" t="s">
        <v>37</v>
      </c>
      <c r="I499" s="2" t="s">
        <v>15</v>
      </c>
      <c r="J499" s="2" t="s">
        <v>15</v>
      </c>
    </row>
    <row r="500" ht="15.75" customHeight="1">
      <c r="A500" s="1" t="s">
        <v>1006</v>
      </c>
      <c r="B500" s="1" t="s">
        <v>966</v>
      </c>
      <c r="C500" s="1" t="s">
        <v>12</v>
      </c>
      <c r="D500" s="1" t="s">
        <v>1007</v>
      </c>
      <c r="E500" s="4">
        <v>1008790.0</v>
      </c>
      <c r="F500" s="2" t="s">
        <v>15</v>
      </c>
      <c r="G500" s="2" t="s">
        <v>1</v>
      </c>
      <c r="H500" s="2" t="s">
        <v>53</v>
      </c>
      <c r="I500" s="2" t="s">
        <v>15</v>
      </c>
      <c r="J500" s="2" t="s">
        <v>15</v>
      </c>
    </row>
    <row r="501" ht="15.75" customHeight="1">
      <c r="A501" s="1" t="s">
        <v>1008</v>
      </c>
      <c r="B501" s="1" t="s">
        <v>969</v>
      </c>
      <c r="C501" s="1" t="s">
        <v>12</v>
      </c>
      <c r="D501" s="1" t="s">
        <v>1007</v>
      </c>
      <c r="E501" s="4">
        <v>1008790.0</v>
      </c>
      <c r="F501" s="2" t="s">
        <v>15</v>
      </c>
      <c r="G501" s="2" t="s">
        <v>1</v>
      </c>
      <c r="H501" s="2" t="s">
        <v>53</v>
      </c>
      <c r="I501" s="2" t="s">
        <v>15</v>
      </c>
      <c r="J501" s="2" t="s">
        <v>15</v>
      </c>
    </row>
    <row r="502" ht="15.75" customHeight="1">
      <c r="A502" s="1" t="s">
        <v>1009</v>
      </c>
      <c r="B502" s="1" t="s">
        <v>971</v>
      </c>
      <c r="C502" s="1" t="s">
        <v>12</v>
      </c>
      <c r="D502" s="1" t="s">
        <v>1007</v>
      </c>
      <c r="E502" s="4">
        <v>1008790.0</v>
      </c>
      <c r="F502" s="2" t="s">
        <v>15</v>
      </c>
      <c r="G502" s="2" t="s">
        <v>1</v>
      </c>
      <c r="H502" s="2" t="s">
        <v>53</v>
      </c>
      <c r="I502" s="2" t="s">
        <v>15</v>
      </c>
      <c r="J502" s="2" t="s">
        <v>15</v>
      </c>
    </row>
    <row r="503" ht="15.75" customHeight="1">
      <c r="A503" s="1" t="s">
        <v>1010</v>
      </c>
      <c r="B503" s="1" t="s">
        <v>1011</v>
      </c>
      <c r="C503" s="1" t="s">
        <v>12</v>
      </c>
      <c r="D503" s="1" t="s">
        <v>1007</v>
      </c>
      <c r="E503" s="4">
        <v>1008790.0</v>
      </c>
      <c r="F503" s="2" t="s">
        <v>399</v>
      </c>
      <c r="G503" s="2" t="s">
        <v>1</v>
      </c>
      <c r="H503" s="2" t="s">
        <v>14</v>
      </c>
      <c r="I503" s="2" t="s">
        <v>15</v>
      </c>
      <c r="J503" s="2" t="s">
        <v>15</v>
      </c>
    </row>
    <row r="504" ht="15.75" customHeight="1">
      <c r="A504" s="1" t="s">
        <v>1012</v>
      </c>
      <c r="B504" s="1" t="s">
        <v>1013</v>
      </c>
      <c r="C504" s="1" t="s">
        <v>12</v>
      </c>
      <c r="D504" s="1" t="s">
        <v>1007</v>
      </c>
      <c r="E504" s="4">
        <v>1008790.0</v>
      </c>
      <c r="F504" s="2" t="s">
        <v>399</v>
      </c>
      <c r="G504" s="2" t="s">
        <v>1</v>
      </c>
      <c r="H504" s="2" t="s">
        <v>18</v>
      </c>
      <c r="I504" s="2" t="s">
        <v>15</v>
      </c>
      <c r="J504" s="2" t="s">
        <v>15</v>
      </c>
    </row>
    <row r="505" ht="15.75" customHeight="1">
      <c r="A505" s="1" t="s">
        <v>1014</v>
      </c>
      <c r="B505" s="1" t="s">
        <v>1015</v>
      </c>
      <c r="C505" s="1" t="s">
        <v>12</v>
      </c>
      <c r="D505" s="1" t="s">
        <v>1007</v>
      </c>
      <c r="E505" s="4">
        <v>1008790.0</v>
      </c>
      <c r="F505" s="2" t="s">
        <v>399</v>
      </c>
      <c r="G505" s="2" t="s">
        <v>1</v>
      </c>
      <c r="H505" s="2" t="s">
        <v>21</v>
      </c>
      <c r="I505" s="2" t="s">
        <v>15</v>
      </c>
      <c r="J505" s="2" t="s">
        <v>15</v>
      </c>
    </row>
    <row r="506" ht="15.75" customHeight="1">
      <c r="A506" s="1" t="s">
        <v>1016</v>
      </c>
      <c r="B506" s="1" t="s">
        <v>979</v>
      </c>
      <c r="C506" s="1" t="s">
        <v>12</v>
      </c>
      <c r="D506" s="1" t="s">
        <v>1007</v>
      </c>
      <c r="E506" s="4">
        <v>1008790.0</v>
      </c>
      <c r="F506" s="2" t="s">
        <v>15</v>
      </c>
      <c r="G506" s="2" t="s">
        <v>1</v>
      </c>
      <c r="H506" s="2" t="s">
        <v>53</v>
      </c>
      <c r="I506" s="2" t="s">
        <v>15</v>
      </c>
      <c r="J506" s="2" t="s">
        <v>15</v>
      </c>
    </row>
    <row r="507" ht="15.75" customHeight="1">
      <c r="A507" s="1" t="s">
        <v>1017</v>
      </c>
      <c r="B507" s="1" t="s">
        <v>981</v>
      </c>
      <c r="C507" s="1" t="s">
        <v>12</v>
      </c>
      <c r="D507" s="1" t="s">
        <v>1007</v>
      </c>
      <c r="E507" s="4">
        <v>1008790.0</v>
      </c>
      <c r="F507" s="2" t="s">
        <v>30</v>
      </c>
      <c r="G507" s="2" t="s">
        <v>1</v>
      </c>
      <c r="H507" s="2" t="s">
        <v>53</v>
      </c>
      <c r="I507" s="2" t="s">
        <v>15</v>
      </c>
      <c r="J507" s="2" t="s">
        <v>15</v>
      </c>
    </row>
    <row r="508" ht="15.75" customHeight="1">
      <c r="A508" s="1" t="s">
        <v>1018</v>
      </c>
      <c r="B508" s="1" t="s">
        <v>1019</v>
      </c>
      <c r="C508" s="1" t="s">
        <v>12</v>
      </c>
      <c r="D508" s="1" t="s">
        <v>1007</v>
      </c>
      <c r="E508" s="4">
        <v>1008790.0</v>
      </c>
      <c r="F508" s="2" t="s">
        <v>15</v>
      </c>
      <c r="G508" s="2" t="s">
        <v>33</v>
      </c>
      <c r="H508" s="2" t="s">
        <v>15</v>
      </c>
      <c r="I508" s="2" t="s">
        <v>15</v>
      </c>
      <c r="J508" s="2" t="s">
        <v>15</v>
      </c>
    </row>
    <row r="509" ht="15.75" customHeight="1">
      <c r="A509" s="1" t="s">
        <v>1020</v>
      </c>
      <c r="B509" s="1" t="s">
        <v>1021</v>
      </c>
      <c r="C509" s="1" t="s">
        <v>12</v>
      </c>
      <c r="D509" s="1" t="s">
        <v>1007</v>
      </c>
      <c r="E509" s="4">
        <v>1008790.0</v>
      </c>
      <c r="F509" s="2" t="s">
        <v>399</v>
      </c>
      <c r="G509" s="2" t="s">
        <v>1</v>
      </c>
      <c r="H509" s="2" t="s">
        <v>37</v>
      </c>
      <c r="I509" s="2" t="s">
        <v>15</v>
      </c>
      <c r="J509" s="2" t="s">
        <v>15</v>
      </c>
    </row>
    <row r="510" ht="15.75" customHeight="1">
      <c r="A510" s="1" t="s">
        <v>1022</v>
      </c>
      <c r="B510" s="1" t="s">
        <v>1023</v>
      </c>
      <c r="C510" s="1" t="s">
        <v>12</v>
      </c>
      <c r="D510" s="1" t="s">
        <v>1007</v>
      </c>
      <c r="E510" s="4">
        <v>1008790.0</v>
      </c>
      <c r="F510" s="2" t="s">
        <v>30</v>
      </c>
      <c r="G510" s="2" t="s">
        <v>1</v>
      </c>
      <c r="H510" s="2" t="s">
        <v>37</v>
      </c>
      <c r="I510" s="2" t="s">
        <v>15</v>
      </c>
      <c r="J510" s="2" t="s">
        <v>15</v>
      </c>
    </row>
    <row r="511" ht="15.75" customHeight="1">
      <c r="A511" s="1" t="s">
        <v>1024</v>
      </c>
      <c r="B511" s="3" t="s">
        <v>1025</v>
      </c>
      <c r="C511" s="1" t="s">
        <v>12</v>
      </c>
      <c r="D511" s="1" t="s">
        <v>1026</v>
      </c>
      <c r="E511" s="4">
        <v>1008854.0</v>
      </c>
      <c r="F511" s="2">
        <v>1.0</v>
      </c>
      <c r="G511" s="2" t="s">
        <v>1</v>
      </c>
      <c r="H511" s="2" t="s">
        <v>14</v>
      </c>
      <c r="I511" s="5" t="str">
        <f>IFERROR(
  MID(
    SUBSTITUTE(B511, CHAR(10), ""),
    FIND("_Gross ROI=", SUBSTITUTE(B511, CHAR(10), "")) + LEN("_Gross ROI="),
    FIND("%", SUBSTITUTE(B511, CHAR(10), ""), FIND("_Gross ROI=", SUBSTITUTE(B511, CHAR(10), "")))
      - FIND("_Gross ROI=", SUBSTITUTE(B511, CHAR(10), "")) - LEN("_Gross ROI=") + 1
  ),
  ""
)</f>
        <v>6%</v>
      </c>
      <c r="J511" s="5" t="str">
        <f>IFERROR(
  MID(
    SUBSTITUTE(B511, CHAR(10), ""),
    FIND("_Median annual rent=", SUBSTITUTE(B511, CHAR(10), "")) + LEN("_Median annual rent="),
    FIND("K", SUBSTITUTE(B511, CHAR(10), ""), FIND("_Median annual rent=", SUBSTITUTE(B511, CHAR(10), "")))
      - FIND("_Median annual rent=", SUBSTITUTE(B511, CHAR(10), "")) - LEN("_Median annual rent=") + 1
  ),
  "")</f>
        <v>150K</v>
      </c>
    </row>
    <row r="512" ht="15.75" customHeight="1">
      <c r="A512" s="1" t="s">
        <v>1027</v>
      </c>
      <c r="B512" s="3" t="s">
        <v>1028</v>
      </c>
      <c r="C512" s="1" t="s">
        <v>12</v>
      </c>
      <c r="D512" s="1" t="s">
        <v>1026</v>
      </c>
      <c r="E512" s="4">
        <v>1008854.0</v>
      </c>
      <c r="F512" s="2">
        <v>1.0</v>
      </c>
      <c r="G512" s="2" t="s">
        <v>1</v>
      </c>
      <c r="H512" s="2" t="s">
        <v>18</v>
      </c>
      <c r="I512" s="2" t="s">
        <v>15</v>
      </c>
      <c r="J512" s="2" t="s">
        <v>15</v>
      </c>
    </row>
    <row r="513" ht="15.75" customHeight="1">
      <c r="A513" s="1" t="s">
        <v>1029</v>
      </c>
      <c r="B513" s="1" t="s">
        <v>1030</v>
      </c>
      <c r="C513" s="1" t="s">
        <v>12</v>
      </c>
      <c r="D513" s="1" t="s">
        <v>1026</v>
      </c>
      <c r="E513" s="4">
        <v>1008854.0</v>
      </c>
      <c r="F513" s="2">
        <v>1.0</v>
      </c>
      <c r="G513" s="2" t="s">
        <v>1</v>
      </c>
      <c r="H513" s="2" t="s">
        <v>53</v>
      </c>
      <c r="I513" s="2" t="s">
        <v>15</v>
      </c>
      <c r="J513" s="2" t="s">
        <v>15</v>
      </c>
    </row>
    <row r="514" ht="15.75" customHeight="1">
      <c r="A514" s="1" t="s">
        <v>1031</v>
      </c>
      <c r="B514" s="1" t="s">
        <v>1032</v>
      </c>
      <c r="C514" s="1" t="s">
        <v>12</v>
      </c>
      <c r="D514" s="1" t="s">
        <v>1026</v>
      </c>
      <c r="E514" s="4">
        <v>1008854.0</v>
      </c>
      <c r="F514" s="2">
        <v>1.0</v>
      </c>
      <c r="G514" s="2" t="s">
        <v>1</v>
      </c>
      <c r="H514" s="2" t="s">
        <v>21</v>
      </c>
      <c r="I514" s="2" t="s">
        <v>15</v>
      </c>
      <c r="J514" s="2" t="s">
        <v>15</v>
      </c>
    </row>
    <row r="515" ht="15.75" customHeight="1">
      <c r="A515" s="1" t="s">
        <v>1033</v>
      </c>
      <c r="B515" s="3" t="s">
        <v>1034</v>
      </c>
      <c r="C515" s="1" t="s">
        <v>12</v>
      </c>
      <c r="D515" s="1" t="s">
        <v>1026</v>
      </c>
      <c r="E515" s="4">
        <v>1008854.0</v>
      </c>
      <c r="F515" s="2">
        <v>2.0</v>
      </c>
      <c r="G515" s="2" t="s">
        <v>1</v>
      </c>
      <c r="H515" s="2" t="s">
        <v>14</v>
      </c>
      <c r="I515" s="5" t="str">
        <f>IFERROR(
  MID(
    SUBSTITUTE(B515, CHAR(10), ""),
    FIND("_Gross ROI=", SUBSTITUTE(B515, CHAR(10), "")) + LEN("_Gross ROI="),
    FIND("%", SUBSTITUTE(B515, CHAR(10), ""), FIND("_Gross ROI=", SUBSTITUTE(B515, CHAR(10), "")))
      - FIND("_Gross ROI=", SUBSTITUTE(B515, CHAR(10), "")) - LEN("_Gross ROI=") + 1
  ),
  ""
)</f>
        <v>5.61%</v>
      </c>
      <c r="J515" s="5" t="str">
        <f>IFERROR(
  MID(
    SUBSTITUTE(B515, CHAR(10), ""),
    FIND("_Median annual rent=", SUBSTITUTE(B515, CHAR(10), "")) + LEN("_Median annual rent="),
    FIND("K", SUBSTITUTE(B515, CHAR(10), ""), FIND("_Median annual rent=", SUBSTITUTE(B515, CHAR(10), "")))
      - FIND("_Median annual rent=", SUBSTITUTE(B515, CHAR(10), "")) - LEN("_Median annual rent=") + 1
  ),
  "")</f>
        <v>255K</v>
      </c>
    </row>
    <row r="516" ht="15.75" customHeight="1">
      <c r="A516" s="1" t="s">
        <v>1035</v>
      </c>
      <c r="B516" s="1" t="s">
        <v>1036</v>
      </c>
      <c r="C516" s="1" t="s">
        <v>12</v>
      </c>
      <c r="D516" s="1" t="s">
        <v>1026</v>
      </c>
      <c r="E516" s="4">
        <v>1008854.0</v>
      </c>
      <c r="F516" s="2">
        <v>2.0</v>
      </c>
      <c r="G516" s="2" t="s">
        <v>1</v>
      </c>
      <c r="H516" s="2" t="s">
        <v>18</v>
      </c>
      <c r="I516" s="2" t="s">
        <v>15</v>
      </c>
      <c r="J516" s="2" t="s">
        <v>15</v>
      </c>
    </row>
    <row r="517" ht="15.75" customHeight="1">
      <c r="A517" s="1" t="s">
        <v>1037</v>
      </c>
      <c r="B517" s="1" t="s">
        <v>1038</v>
      </c>
      <c r="C517" s="1" t="s">
        <v>12</v>
      </c>
      <c r="D517" s="1" t="s">
        <v>1026</v>
      </c>
      <c r="E517" s="4">
        <v>1008854.0</v>
      </c>
      <c r="F517" s="2">
        <v>2.0</v>
      </c>
      <c r="G517" s="2" t="s">
        <v>1</v>
      </c>
      <c r="H517" s="2" t="s">
        <v>53</v>
      </c>
      <c r="I517" s="2" t="s">
        <v>15</v>
      </c>
      <c r="J517" s="2" t="s">
        <v>15</v>
      </c>
    </row>
    <row r="518" ht="15.75" customHeight="1">
      <c r="A518" s="1" t="s">
        <v>1039</v>
      </c>
      <c r="B518" s="1" t="s">
        <v>1040</v>
      </c>
      <c r="C518" s="1" t="s">
        <v>12</v>
      </c>
      <c r="D518" s="1" t="s">
        <v>1026</v>
      </c>
      <c r="E518" s="4">
        <v>1008854.0</v>
      </c>
      <c r="F518" s="2">
        <v>2.0</v>
      </c>
      <c r="G518" s="2" t="s">
        <v>1</v>
      </c>
      <c r="H518" s="2" t="s">
        <v>21</v>
      </c>
      <c r="I518" s="2" t="s">
        <v>15</v>
      </c>
      <c r="J518" s="2" t="s">
        <v>15</v>
      </c>
    </row>
    <row r="519" ht="15.75" customHeight="1">
      <c r="A519" s="1" t="s">
        <v>1041</v>
      </c>
      <c r="B519" s="3" t="s">
        <v>1042</v>
      </c>
      <c r="C519" s="1" t="s">
        <v>12</v>
      </c>
      <c r="D519" s="1" t="s">
        <v>1026</v>
      </c>
      <c r="E519" s="4">
        <v>1008854.0</v>
      </c>
      <c r="F519" s="2">
        <v>3.0</v>
      </c>
      <c r="G519" s="2" t="s">
        <v>1</v>
      </c>
      <c r="H519" s="2" t="s">
        <v>14</v>
      </c>
      <c r="I519" s="5" t="str">
        <f>IFERROR(
  MID(
    SUBSTITUTE(B519, CHAR(10), ""),
    FIND("_Gross ROI=", SUBSTITUTE(B519, CHAR(10), "")) + LEN("_Gross ROI="),
    FIND("%", SUBSTITUTE(B519, CHAR(10), ""), FIND("_Gross ROI=", SUBSTITUTE(B519, CHAR(10), "")))
      - FIND("_Gross ROI=", SUBSTITUTE(B519, CHAR(10), "")) - LEN("_Gross ROI=") + 1
  ),
  ""
)</f>
        <v>4.82%</v>
      </c>
      <c r="J519" s="5" t="str">
        <f>IFERROR(
  MID(
    SUBSTITUTE(B519, CHAR(10), ""),
    FIND("_Median annual rent=", SUBSTITUTE(B519, CHAR(10), "")) + LEN("_Median annual rent="),
    FIND("K", SUBSTITUTE(B519, CHAR(10), ""), FIND("_Median annual rent=", SUBSTITUTE(B519, CHAR(10), "")))
      - FIND("_Median annual rent=", SUBSTITUTE(B519, CHAR(10), "")) - LEN("_Median annual rent=") + 1
  ),
  "")</f>
        <v>337.5K</v>
      </c>
    </row>
    <row r="520" ht="15.75" customHeight="1">
      <c r="A520" s="1" t="s">
        <v>1043</v>
      </c>
      <c r="B520" s="1" t="s">
        <v>1044</v>
      </c>
      <c r="C520" s="1" t="s">
        <v>12</v>
      </c>
      <c r="D520" s="1" t="s">
        <v>1026</v>
      </c>
      <c r="E520" s="4">
        <v>1008854.0</v>
      </c>
      <c r="F520" s="2">
        <v>3.0</v>
      </c>
      <c r="G520" s="2" t="s">
        <v>1</v>
      </c>
      <c r="H520" s="2" t="s">
        <v>18</v>
      </c>
      <c r="I520" s="2" t="s">
        <v>15</v>
      </c>
      <c r="J520" s="2" t="s">
        <v>15</v>
      </c>
    </row>
    <row r="521" ht="15.75" customHeight="1">
      <c r="A521" s="1" t="s">
        <v>1045</v>
      </c>
      <c r="B521" s="1" t="s">
        <v>1046</v>
      </c>
      <c r="C521" s="1" t="s">
        <v>12</v>
      </c>
      <c r="D521" s="1" t="s">
        <v>1026</v>
      </c>
      <c r="E521" s="4">
        <v>1008854.0</v>
      </c>
      <c r="F521" s="2">
        <v>3.0</v>
      </c>
      <c r="G521" s="2" t="s">
        <v>1</v>
      </c>
      <c r="H521" s="2" t="s">
        <v>53</v>
      </c>
      <c r="I521" s="2" t="s">
        <v>15</v>
      </c>
      <c r="J521" s="2" t="s">
        <v>15</v>
      </c>
    </row>
    <row r="522" ht="15.75" customHeight="1">
      <c r="A522" s="1" t="s">
        <v>1047</v>
      </c>
      <c r="B522" s="1" t="s">
        <v>1048</v>
      </c>
      <c r="C522" s="1" t="s">
        <v>12</v>
      </c>
      <c r="D522" s="1" t="s">
        <v>1026</v>
      </c>
      <c r="E522" s="4">
        <v>1008854.0</v>
      </c>
      <c r="F522" s="2">
        <v>3.0</v>
      </c>
      <c r="G522" s="2" t="s">
        <v>1</v>
      </c>
      <c r="H522" s="2" t="s">
        <v>21</v>
      </c>
      <c r="I522" s="2" t="s">
        <v>15</v>
      </c>
      <c r="J522" s="2" t="s">
        <v>15</v>
      </c>
    </row>
    <row r="523" ht="15.75" customHeight="1">
      <c r="A523" s="1" t="s">
        <v>1049</v>
      </c>
      <c r="B523" s="1" t="s">
        <v>1050</v>
      </c>
      <c r="C523" s="1" t="s">
        <v>12</v>
      </c>
      <c r="D523" s="1" t="s">
        <v>1026</v>
      </c>
      <c r="E523" s="4">
        <v>1008854.0</v>
      </c>
      <c r="F523" s="2">
        <v>4.0</v>
      </c>
      <c r="G523" s="2" t="s">
        <v>1</v>
      </c>
      <c r="H523" s="2" t="s">
        <v>14</v>
      </c>
      <c r="I523" s="2" t="s">
        <v>15</v>
      </c>
      <c r="J523" s="2" t="s">
        <v>15</v>
      </c>
    </row>
    <row r="524" ht="15.75" customHeight="1">
      <c r="A524" s="1" t="s">
        <v>1051</v>
      </c>
      <c r="B524" s="1" t="s">
        <v>1052</v>
      </c>
      <c r="C524" s="1" t="s">
        <v>12</v>
      </c>
      <c r="D524" s="1" t="s">
        <v>1026</v>
      </c>
      <c r="E524" s="4">
        <v>1008854.0</v>
      </c>
      <c r="F524" s="2">
        <v>4.0</v>
      </c>
      <c r="G524" s="2" t="s">
        <v>1</v>
      </c>
      <c r="H524" s="2" t="s">
        <v>18</v>
      </c>
      <c r="I524" s="2" t="s">
        <v>15</v>
      </c>
      <c r="J524" s="2" t="s">
        <v>15</v>
      </c>
    </row>
    <row r="525" ht="15.75" customHeight="1">
      <c r="A525" s="1" t="s">
        <v>1053</v>
      </c>
      <c r="B525" s="1" t="s">
        <v>1054</v>
      </c>
      <c r="C525" s="1" t="s">
        <v>12</v>
      </c>
      <c r="D525" s="1" t="s">
        <v>1026</v>
      </c>
      <c r="E525" s="4">
        <v>1008854.0</v>
      </c>
      <c r="F525" s="2">
        <v>4.0</v>
      </c>
      <c r="G525" s="2" t="s">
        <v>1</v>
      </c>
      <c r="H525" s="2" t="s">
        <v>53</v>
      </c>
      <c r="I525" s="2" t="s">
        <v>15</v>
      </c>
      <c r="J525" s="2" t="s">
        <v>15</v>
      </c>
    </row>
    <row r="526" ht="15.75" customHeight="1">
      <c r="A526" s="1" t="s">
        <v>1055</v>
      </c>
      <c r="B526" s="1" t="s">
        <v>1056</v>
      </c>
      <c r="C526" s="1" t="s">
        <v>12</v>
      </c>
      <c r="D526" s="1" t="s">
        <v>1026</v>
      </c>
      <c r="E526" s="4">
        <v>1008854.0</v>
      </c>
      <c r="F526" s="2">
        <v>4.0</v>
      </c>
      <c r="G526" s="2" t="s">
        <v>1</v>
      </c>
      <c r="H526" s="2" t="s">
        <v>21</v>
      </c>
      <c r="I526" s="2" t="s">
        <v>15</v>
      </c>
      <c r="J526" s="2" t="s">
        <v>15</v>
      </c>
    </row>
    <row r="527" ht="15.75" customHeight="1">
      <c r="A527" s="1" t="s">
        <v>1057</v>
      </c>
      <c r="B527" s="1" t="s">
        <v>1058</v>
      </c>
      <c r="C527" s="1" t="s">
        <v>12</v>
      </c>
      <c r="D527" s="1" t="s">
        <v>1026</v>
      </c>
      <c r="E527" s="4">
        <v>1008854.0</v>
      </c>
      <c r="F527" s="2">
        <v>5.0</v>
      </c>
      <c r="G527" s="2" t="s">
        <v>1</v>
      </c>
      <c r="H527" s="2" t="s">
        <v>14</v>
      </c>
      <c r="I527" s="2" t="s">
        <v>15</v>
      </c>
      <c r="J527" s="2" t="s">
        <v>15</v>
      </c>
    </row>
    <row r="528" ht="15.75" customHeight="1">
      <c r="A528" s="1" t="s">
        <v>1059</v>
      </c>
      <c r="B528" s="1" t="s">
        <v>1060</v>
      </c>
      <c r="C528" s="1" t="s">
        <v>12</v>
      </c>
      <c r="D528" s="1" t="s">
        <v>1026</v>
      </c>
      <c r="E528" s="4">
        <v>1008854.0</v>
      </c>
      <c r="F528" s="2">
        <v>5.0</v>
      </c>
      <c r="G528" s="2" t="s">
        <v>1</v>
      </c>
      <c r="H528" s="2" t="s">
        <v>18</v>
      </c>
      <c r="I528" s="2" t="s">
        <v>15</v>
      </c>
      <c r="J528" s="2" t="s">
        <v>15</v>
      </c>
    </row>
    <row r="529" ht="15.75" customHeight="1">
      <c r="A529" s="1" t="s">
        <v>1061</v>
      </c>
      <c r="B529" s="1" t="s">
        <v>1062</v>
      </c>
      <c r="C529" s="1" t="s">
        <v>12</v>
      </c>
      <c r="D529" s="1" t="s">
        <v>1026</v>
      </c>
      <c r="E529" s="4">
        <v>1008854.0</v>
      </c>
      <c r="F529" s="2">
        <v>5.0</v>
      </c>
      <c r="G529" s="2" t="s">
        <v>1</v>
      </c>
      <c r="H529" s="2" t="s">
        <v>53</v>
      </c>
      <c r="I529" s="2" t="s">
        <v>15</v>
      </c>
      <c r="J529" s="2" t="s">
        <v>15</v>
      </c>
    </row>
    <row r="530" ht="15.75" customHeight="1">
      <c r="A530" s="1" t="s">
        <v>1063</v>
      </c>
      <c r="B530" s="1" t="s">
        <v>1064</v>
      </c>
      <c r="C530" s="1" t="s">
        <v>12</v>
      </c>
      <c r="D530" s="1" t="s">
        <v>1026</v>
      </c>
      <c r="E530" s="4">
        <v>1008854.0</v>
      </c>
      <c r="F530" s="2" t="s">
        <v>30</v>
      </c>
      <c r="G530" s="2" t="s">
        <v>1</v>
      </c>
      <c r="H530" s="2" t="s">
        <v>53</v>
      </c>
      <c r="I530" s="2" t="s">
        <v>15</v>
      </c>
      <c r="J530" s="2" t="s">
        <v>15</v>
      </c>
    </row>
    <row r="531" ht="15.75" customHeight="1">
      <c r="A531" s="1" t="s">
        <v>1065</v>
      </c>
      <c r="B531" s="1" t="s">
        <v>1066</v>
      </c>
      <c r="C531" s="1" t="s">
        <v>12</v>
      </c>
      <c r="D531" s="1" t="s">
        <v>1026</v>
      </c>
      <c r="E531" s="4">
        <v>1008854.0</v>
      </c>
      <c r="F531" s="2" t="s">
        <v>30</v>
      </c>
      <c r="G531" s="2" t="s">
        <v>1</v>
      </c>
      <c r="H531" s="2" t="s">
        <v>14</v>
      </c>
      <c r="I531" s="2" t="s">
        <v>15</v>
      </c>
      <c r="J531" s="2" t="s">
        <v>15</v>
      </c>
    </row>
    <row r="532" ht="15.75" customHeight="1">
      <c r="A532" s="1" t="s">
        <v>1067</v>
      </c>
      <c r="B532" s="1" t="s">
        <v>1068</v>
      </c>
      <c r="C532" s="1" t="s">
        <v>12</v>
      </c>
      <c r="D532" s="1" t="s">
        <v>1026</v>
      </c>
      <c r="E532" s="4">
        <v>1008854.0</v>
      </c>
      <c r="F532" s="2" t="s">
        <v>15</v>
      </c>
      <c r="G532" s="2" t="s">
        <v>33</v>
      </c>
      <c r="H532" s="2" t="s">
        <v>15</v>
      </c>
      <c r="I532" s="2" t="s">
        <v>15</v>
      </c>
      <c r="J532" s="2" t="s">
        <v>15</v>
      </c>
    </row>
    <row r="533" ht="15.75" customHeight="1">
      <c r="A533" s="1" t="s">
        <v>1069</v>
      </c>
      <c r="B533" s="1" t="s">
        <v>1070</v>
      </c>
      <c r="C533" s="1" t="s">
        <v>12</v>
      </c>
      <c r="D533" s="1" t="s">
        <v>1026</v>
      </c>
      <c r="E533" s="4">
        <v>1008854.0</v>
      </c>
      <c r="F533" s="2">
        <v>1.0</v>
      </c>
      <c r="G533" s="2" t="s">
        <v>1</v>
      </c>
      <c r="H533" s="2" t="s">
        <v>37</v>
      </c>
      <c r="I533" s="2" t="s">
        <v>15</v>
      </c>
      <c r="J533" s="2" t="s">
        <v>15</v>
      </c>
    </row>
    <row r="534" ht="15.75" customHeight="1">
      <c r="A534" s="1" t="s">
        <v>1071</v>
      </c>
      <c r="B534" s="1" t="s">
        <v>1072</v>
      </c>
      <c r="C534" s="1" t="s">
        <v>12</v>
      </c>
      <c r="D534" s="1" t="s">
        <v>1026</v>
      </c>
      <c r="E534" s="4">
        <v>1008854.0</v>
      </c>
      <c r="F534" s="2">
        <v>2.0</v>
      </c>
      <c r="G534" s="2" t="s">
        <v>1</v>
      </c>
      <c r="H534" s="2" t="s">
        <v>37</v>
      </c>
      <c r="I534" s="2" t="s">
        <v>15</v>
      </c>
      <c r="J534" s="2" t="s">
        <v>15</v>
      </c>
    </row>
    <row r="535" ht="15.75" customHeight="1">
      <c r="A535" s="1" t="s">
        <v>1073</v>
      </c>
      <c r="B535" s="1" t="s">
        <v>1074</v>
      </c>
      <c r="C535" s="1" t="s">
        <v>12</v>
      </c>
      <c r="D535" s="1" t="s">
        <v>1026</v>
      </c>
      <c r="E535" s="4">
        <v>1008854.0</v>
      </c>
      <c r="F535" s="2">
        <v>3.0</v>
      </c>
      <c r="G535" s="2" t="s">
        <v>1</v>
      </c>
      <c r="H535" s="2" t="s">
        <v>37</v>
      </c>
      <c r="I535" s="2" t="s">
        <v>15</v>
      </c>
      <c r="J535" s="2" t="s">
        <v>15</v>
      </c>
    </row>
    <row r="536" ht="15.75" customHeight="1">
      <c r="A536" s="1" t="s">
        <v>1075</v>
      </c>
      <c r="B536" s="1" t="s">
        <v>1076</v>
      </c>
      <c r="C536" s="1" t="s">
        <v>12</v>
      </c>
      <c r="D536" s="1" t="s">
        <v>1026</v>
      </c>
      <c r="E536" s="4">
        <v>1008854.0</v>
      </c>
      <c r="F536" s="2">
        <v>4.0</v>
      </c>
      <c r="G536" s="2" t="s">
        <v>1</v>
      </c>
      <c r="H536" s="2" t="s">
        <v>37</v>
      </c>
      <c r="I536" s="2" t="s">
        <v>15</v>
      </c>
      <c r="J536" s="2" t="s">
        <v>15</v>
      </c>
    </row>
    <row r="537" ht="15.75" customHeight="1">
      <c r="A537" s="1" t="s">
        <v>1077</v>
      </c>
      <c r="B537" s="1" t="s">
        <v>1078</v>
      </c>
      <c r="C537" s="1" t="s">
        <v>12</v>
      </c>
      <c r="D537" s="1" t="s">
        <v>1026</v>
      </c>
      <c r="E537" s="4">
        <v>1008854.0</v>
      </c>
      <c r="F537" s="2" t="s">
        <v>30</v>
      </c>
      <c r="G537" s="2" t="s">
        <v>1</v>
      </c>
      <c r="H537" s="2" t="s">
        <v>37</v>
      </c>
      <c r="I537" s="2" t="s">
        <v>15</v>
      </c>
      <c r="J537" s="2" t="s">
        <v>15</v>
      </c>
    </row>
    <row r="538" ht="15.75" customHeight="1">
      <c r="A538" s="1" t="s">
        <v>1079</v>
      </c>
      <c r="B538" s="3" t="s">
        <v>1080</v>
      </c>
      <c r="C538" s="1" t="s">
        <v>12</v>
      </c>
      <c r="D538" s="1" t="s">
        <v>1081</v>
      </c>
      <c r="E538" s="4">
        <v>1008918.0</v>
      </c>
      <c r="F538" s="2">
        <v>1.0</v>
      </c>
      <c r="G538" s="2" t="s">
        <v>1</v>
      </c>
      <c r="H538" s="2" t="s">
        <v>14</v>
      </c>
      <c r="I538" s="5" t="str">
        <f>IFERROR(
  MID(
    SUBSTITUTE(B538, CHAR(10), ""),
    FIND("_Gross ROI=", SUBSTITUTE(B538, CHAR(10), "")) + LEN("_Gross ROI="),
    FIND("%", SUBSTITUTE(B538, CHAR(10), ""), FIND("_Gross ROI=", SUBSTITUTE(B538, CHAR(10), "")))
      - FIND("_Gross ROI=", SUBSTITUTE(B538, CHAR(10), "")) - LEN("_Gross ROI=") + 1
  ),
  ""
)</f>
        <v>5.91%</v>
      </c>
      <c r="J538" s="5" t="str">
        <f>IFERROR(
  MID(
    SUBSTITUTE(B538, CHAR(10), ""),
    FIND("_Median annual rent=", SUBSTITUTE(B538, CHAR(10), "")) + LEN("_Median annual rent="),
    FIND("K", SUBSTITUTE(B538, CHAR(10), ""), FIND("_Median annual rent=", SUBSTITUTE(B538, CHAR(10), "")))
      - FIND("_Median annual rent=", SUBSTITUTE(B538, CHAR(10), "")) - LEN("_Median annual rent=") + 1
  ),
  "")</f>
        <v>120K</v>
      </c>
    </row>
    <row r="539" ht="15.75" customHeight="1">
      <c r="A539" s="1" t="s">
        <v>1082</v>
      </c>
      <c r="B539" s="1" t="s">
        <v>1083</v>
      </c>
      <c r="C539" s="1" t="s">
        <v>12</v>
      </c>
      <c r="D539" s="1" t="s">
        <v>1081</v>
      </c>
      <c r="E539" s="4">
        <v>1008918.0</v>
      </c>
      <c r="F539" s="2">
        <v>1.0</v>
      </c>
      <c r="G539" s="2" t="s">
        <v>1</v>
      </c>
      <c r="H539" s="2" t="s">
        <v>18</v>
      </c>
      <c r="I539" s="2" t="s">
        <v>15</v>
      </c>
      <c r="J539" s="2" t="s">
        <v>15</v>
      </c>
    </row>
    <row r="540" ht="15.75" customHeight="1">
      <c r="A540" s="1" t="s">
        <v>1084</v>
      </c>
      <c r="B540" s="1" t="s">
        <v>1085</v>
      </c>
      <c r="C540" s="1" t="s">
        <v>12</v>
      </c>
      <c r="D540" s="1" t="s">
        <v>1081</v>
      </c>
      <c r="E540" s="4">
        <v>1008918.0</v>
      </c>
      <c r="F540" s="2">
        <v>1.0</v>
      </c>
      <c r="G540" s="2" t="s">
        <v>1</v>
      </c>
      <c r="H540" s="2" t="s">
        <v>53</v>
      </c>
      <c r="I540" s="2" t="s">
        <v>15</v>
      </c>
      <c r="J540" s="2" t="s">
        <v>15</v>
      </c>
    </row>
    <row r="541" ht="15.75" customHeight="1">
      <c r="A541" s="1" t="s">
        <v>1086</v>
      </c>
      <c r="B541" s="1" t="s">
        <v>1087</v>
      </c>
      <c r="C541" s="1" t="s">
        <v>12</v>
      </c>
      <c r="D541" s="1" t="s">
        <v>1081</v>
      </c>
      <c r="E541" s="4">
        <v>1008918.0</v>
      </c>
      <c r="F541" s="2">
        <v>1.0</v>
      </c>
      <c r="G541" s="2" t="s">
        <v>1</v>
      </c>
      <c r="H541" s="2" t="s">
        <v>21</v>
      </c>
      <c r="I541" s="2" t="s">
        <v>15</v>
      </c>
      <c r="J541" s="2" t="s">
        <v>15</v>
      </c>
    </row>
    <row r="542" ht="15.75" customHeight="1">
      <c r="A542" s="1" t="s">
        <v>1088</v>
      </c>
      <c r="B542" s="1" t="s">
        <v>1089</v>
      </c>
      <c r="C542" s="1" t="s">
        <v>12</v>
      </c>
      <c r="D542" s="1" t="s">
        <v>1081</v>
      </c>
      <c r="E542" s="4">
        <v>1008918.0</v>
      </c>
      <c r="F542" s="2">
        <v>2.0</v>
      </c>
      <c r="G542" s="2" t="s">
        <v>1</v>
      </c>
      <c r="H542" s="2" t="s">
        <v>14</v>
      </c>
      <c r="I542" s="5" t="str">
        <f>IFERROR(
  MID(
    SUBSTITUTE(B542, CHAR(10), ""),
    FIND("_Gross ROI=", SUBSTITUTE(B542, CHAR(10), "")) + LEN("_Gross ROI="),
    FIND("%", SUBSTITUTE(B542, CHAR(10), ""), FIND("_Gross ROI=", SUBSTITUTE(B542, CHAR(10), "")))
      - FIND("_Gross ROI=", SUBSTITUTE(B542, CHAR(10), "")) - LEN("_Gross ROI=") + 1
  ),
  ""
)</f>
        <v>6.72%</v>
      </c>
      <c r="J542" s="5" t="str">
        <f>IFERROR(
  MID(
    SUBSTITUTE(B542, CHAR(10), ""),
    FIND("_Median annual rent=", SUBSTITUTE(B542, CHAR(10), "")) + LEN("_Median annual rent="),
    FIND("K", SUBSTITUTE(B542, CHAR(10), ""), FIND("_Median annual rent=", SUBSTITUTE(B542, CHAR(10), "")))
      - FIND("_Median annual rent=", SUBSTITUTE(B542, CHAR(10), "")) - LEN("_Median annual rent=") + 1
  ),
  "")</f>
        <v>189K</v>
      </c>
    </row>
    <row r="543" ht="15.75" customHeight="1">
      <c r="A543" s="1" t="s">
        <v>1090</v>
      </c>
      <c r="B543" s="1" t="s">
        <v>1091</v>
      </c>
      <c r="C543" s="1" t="s">
        <v>12</v>
      </c>
      <c r="D543" s="1" t="s">
        <v>1081</v>
      </c>
      <c r="E543" s="4">
        <v>1008918.0</v>
      </c>
      <c r="F543" s="2">
        <v>2.0</v>
      </c>
      <c r="G543" s="2" t="s">
        <v>1</v>
      </c>
      <c r="H543" s="2" t="s">
        <v>18</v>
      </c>
      <c r="I543" s="2" t="s">
        <v>15</v>
      </c>
      <c r="J543" s="2" t="s">
        <v>15</v>
      </c>
    </row>
    <row r="544" ht="15.75" customHeight="1">
      <c r="A544" s="1" t="s">
        <v>1092</v>
      </c>
      <c r="B544" s="1" t="s">
        <v>1093</v>
      </c>
      <c r="C544" s="1" t="s">
        <v>12</v>
      </c>
      <c r="D544" s="1" t="s">
        <v>1081</v>
      </c>
      <c r="E544" s="4">
        <v>1008918.0</v>
      </c>
      <c r="F544" s="2">
        <v>2.0</v>
      </c>
      <c r="G544" s="2" t="s">
        <v>1</v>
      </c>
      <c r="H544" s="2" t="s">
        <v>53</v>
      </c>
      <c r="I544" s="2" t="s">
        <v>15</v>
      </c>
      <c r="J544" s="2" t="s">
        <v>15</v>
      </c>
    </row>
    <row r="545" ht="15.75" customHeight="1">
      <c r="A545" s="1" t="s">
        <v>1094</v>
      </c>
      <c r="B545" s="1" t="s">
        <v>1095</v>
      </c>
      <c r="C545" s="1" t="s">
        <v>12</v>
      </c>
      <c r="D545" s="1" t="s">
        <v>1081</v>
      </c>
      <c r="E545" s="4">
        <v>1008918.0</v>
      </c>
      <c r="F545" s="2">
        <v>2.0</v>
      </c>
      <c r="G545" s="2" t="s">
        <v>1</v>
      </c>
      <c r="H545" s="2" t="s">
        <v>21</v>
      </c>
      <c r="I545" s="2" t="s">
        <v>15</v>
      </c>
      <c r="J545" s="2" t="s">
        <v>15</v>
      </c>
    </row>
    <row r="546" ht="15.75" customHeight="1">
      <c r="A546" s="1" t="s">
        <v>1096</v>
      </c>
      <c r="B546" s="1" t="s">
        <v>1097</v>
      </c>
      <c r="C546" s="1" t="s">
        <v>12</v>
      </c>
      <c r="D546" s="1" t="s">
        <v>1081</v>
      </c>
      <c r="E546" s="4">
        <v>1008918.0</v>
      </c>
      <c r="F546" s="2">
        <v>3.0</v>
      </c>
      <c r="G546" s="2" t="s">
        <v>1</v>
      </c>
      <c r="H546" s="2" t="s">
        <v>14</v>
      </c>
      <c r="I546" s="5" t="str">
        <f>IFERROR(
  MID(
    SUBSTITUTE(B546, CHAR(10), ""),
    FIND("_Gross ROI=", SUBSTITUTE(B546, CHAR(10), "")) + LEN("_Gross ROI="),
    FIND("%", SUBSTITUTE(B546, CHAR(10), ""), FIND("_Gross ROI=", SUBSTITUTE(B546, CHAR(10), "")))
      - FIND("_Gross ROI=", SUBSTITUTE(B546, CHAR(10), "")) - LEN("_Gross ROI=") + 1
  ),
  ""
)</f>
        <v>6.5%</v>
      </c>
      <c r="J546" s="5" t="str">
        <f>IFERROR(
  MID(
    SUBSTITUTE(B546, CHAR(10), ""),
    FIND("_Median annual rent=", SUBSTITUTE(B546, CHAR(10), "")) + LEN("_Median annual rent="),
    FIND("K", SUBSTITUTE(B546, CHAR(10), ""), FIND("_Median annual rent=", SUBSTITUTE(B546, CHAR(10), "")))
      - FIND("_Median annual rent=", SUBSTITUTE(B546, CHAR(10), "")) - LEN("_Median annual rent=") + 1
  ),
  "")</f>
        <v>260K</v>
      </c>
    </row>
    <row r="547" ht="15.75" customHeight="1">
      <c r="A547" s="1" t="s">
        <v>1098</v>
      </c>
      <c r="B547" s="1" t="s">
        <v>1099</v>
      </c>
      <c r="C547" s="1" t="s">
        <v>12</v>
      </c>
      <c r="D547" s="1" t="s">
        <v>1081</v>
      </c>
      <c r="E547" s="4">
        <v>1008918.0</v>
      </c>
      <c r="F547" s="2">
        <v>3.0</v>
      </c>
      <c r="G547" s="2" t="s">
        <v>1</v>
      </c>
      <c r="H547" s="2" t="s">
        <v>18</v>
      </c>
      <c r="I547" s="2" t="s">
        <v>15</v>
      </c>
      <c r="J547" s="2" t="s">
        <v>15</v>
      </c>
    </row>
    <row r="548" ht="15.75" customHeight="1">
      <c r="A548" s="1" t="s">
        <v>1100</v>
      </c>
      <c r="B548" s="1" t="s">
        <v>1101</v>
      </c>
      <c r="C548" s="1" t="s">
        <v>12</v>
      </c>
      <c r="D548" s="1" t="s">
        <v>1081</v>
      </c>
      <c r="E548" s="4">
        <v>1008918.0</v>
      </c>
      <c r="F548" s="2">
        <v>3.0</v>
      </c>
      <c r="G548" s="2" t="s">
        <v>1</v>
      </c>
      <c r="H548" s="2" t="s">
        <v>53</v>
      </c>
      <c r="I548" s="2" t="s">
        <v>15</v>
      </c>
      <c r="J548" s="2" t="s">
        <v>15</v>
      </c>
    </row>
    <row r="549" ht="15.75" customHeight="1">
      <c r="A549" s="1" t="s">
        <v>1102</v>
      </c>
      <c r="B549" s="1" t="s">
        <v>1103</v>
      </c>
      <c r="C549" s="1" t="s">
        <v>12</v>
      </c>
      <c r="D549" s="1" t="s">
        <v>1081</v>
      </c>
      <c r="E549" s="4">
        <v>1008918.0</v>
      </c>
      <c r="F549" s="2">
        <v>3.0</v>
      </c>
      <c r="G549" s="2" t="s">
        <v>1</v>
      </c>
      <c r="H549" s="2" t="s">
        <v>21</v>
      </c>
      <c r="I549" s="2" t="s">
        <v>15</v>
      </c>
      <c r="J549" s="2" t="s">
        <v>15</v>
      </c>
    </row>
    <row r="550" ht="15.75" customHeight="1">
      <c r="A550" s="1" t="s">
        <v>1104</v>
      </c>
      <c r="B550" s="1" t="s">
        <v>1105</v>
      </c>
      <c r="C550" s="1" t="s">
        <v>12</v>
      </c>
      <c r="D550" s="1" t="s">
        <v>1081</v>
      </c>
      <c r="E550" s="4">
        <v>1008918.0</v>
      </c>
      <c r="F550" s="2" t="s">
        <v>15</v>
      </c>
      <c r="G550" s="2" t="s">
        <v>1</v>
      </c>
      <c r="H550" s="2" t="s">
        <v>53</v>
      </c>
      <c r="I550" s="2" t="s">
        <v>15</v>
      </c>
      <c r="J550" s="2" t="s">
        <v>15</v>
      </c>
    </row>
    <row r="551" ht="15.75" customHeight="1">
      <c r="A551" s="1" t="s">
        <v>1106</v>
      </c>
      <c r="B551" s="1" t="s">
        <v>1107</v>
      </c>
      <c r="C551" s="1" t="s">
        <v>12</v>
      </c>
      <c r="D551" s="1" t="s">
        <v>1081</v>
      </c>
      <c r="E551" s="4">
        <v>1008918.0</v>
      </c>
      <c r="F551" s="2" t="s">
        <v>30</v>
      </c>
      <c r="G551" s="2" t="s">
        <v>1</v>
      </c>
      <c r="H551" s="2" t="s">
        <v>53</v>
      </c>
      <c r="I551" s="2" t="s">
        <v>15</v>
      </c>
      <c r="J551" s="2" t="s">
        <v>15</v>
      </c>
    </row>
    <row r="552" ht="15.75" customHeight="1">
      <c r="A552" s="1" t="s">
        <v>1108</v>
      </c>
      <c r="B552" s="1" t="s">
        <v>1109</v>
      </c>
      <c r="C552" s="1" t="s">
        <v>12</v>
      </c>
      <c r="D552" s="1" t="s">
        <v>1081</v>
      </c>
      <c r="E552" s="4">
        <v>1008918.0</v>
      </c>
      <c r="F552" s="2" t="s">
        <v>30</v>
      </c>
      <c r="G552" s="2" t="s">
        <v>1</v>
      </c>
      <c r="H552" s="2" t="s">
        <v>14</v>
      </c>
      <c r="I552" s="2" t="s">
        <v>15</v>
      </c>
      <c r="J552" s="2" t="s">
        <v>15</v>
      </c>
    </row>
    <row r="553" ht="15.75" customHeight="1">
      <c r="A553" s="1" t="s">
        <v>1110</v>
      </c>
      <c r="B553" s="1" t="s">
        <v>1111</v>
      </c>
      <c r="C553" s="1" t="s">
        <v>12</v>
      </c>
      <c r="D553" s="1" t="s">
        <v>1081</v>
      </c>
      <c r="E553" s="4">
        <v>1008918.0</v>
      </c>
      <c r="F553" s="2" t="s">
        <v>15</v>
      </c>
      <c r="G553" s="2" t="s">
        <v>33</v>
      </c>
      <c r="H553" s="2" t="s">
        <v>15</v>
      </c>
      <c r="I553" s="2" t="s">
        <v>15</v>
      </c>
      <c r="J553" s="2" t="s">
        <v>15</v>
      </c>
    </row>
    <row r="554" ht="15.75" customHeight="1">
      <c r="A554" s="1" t="s">
        <v>1112</v>
      </c>
      <c r="B554" s="1" t="s">
        <v>1113</v>
      </c>
      <c r="C554" s="1" t="s">
        <v>12</v>
      </c>
      <c r="D554" s="1" t="s">
        <v>1081</v>
      </c>
      <c r="E554" s="4">
        <v>1008918.0</v>
      </c>
      <c r="F554" s="2">
        <v>1.0</v>
      </c>
      <c r="G554" s="2" t="s">
        <v>1</v>
      </c>
      <c r="H554" s="2" t="s">
        <v>37</v>
      </c>
      <c r="I554" s="2" t="s">
        <v>15</v>
      </c>
      <c r="J554" s="2" t="s">
        <v>15</v>
      </c>
    </row>
    <row r="555" ht="15.75" customHeight="1">
      <c r="A555" s="1" t="s">
        <v>1114</v>
      </c>
      <c r="B555" s="1" t="s">
        <v>1115</v>
      </c>
      <c r="C555" s="1" t="s">
        <v>12</v>
      </c>
      <c r="D555" s="1" t="s">
        <v>1081</v>
      </c>
      <c r="E555" s="4">
        <v>1008918.0</v>
      </c>
      <c r="F555" s="2">
        <v>2.0</v>
      </c>
      <c r="G555" s="2" t="s">
        <v>1</v>
      </c>
      <c r="H555" s="2" t="s">
        <v>37</v>
      </c>
      <c r="I555" s="2" t="s">
        <v>15</v>
      </c>
      <c r="J555" s="2" t="s">
        <v>15</v>
      </c>
    </row>
    <row r="556" ht="15.75" customHeight="1">
      <c r="A556" s="1" t="s">
        <v>1116</v>
      </c>
      <c r="B556" s="1" t="s">
        <v>1117</v>
      </c>
      <c r="C556" s="1" t="s">
        <v>12</v>
      </c>
      <c r="D556" s="1" t="s">
        <v>1081</v>
      </c>
      <c r="E556" s="4">
        <v>1008918.0</v>
      </c>
      <c r="F556" s="2">
        <v>3.0</v>
      </c>
      <c r="G556" s="2" t="s">
        <v>1</v>
      </c>
      <c r="H556" s="2" t="s">
        <v>37</v>
      </c>
      <c r="I556" s="2" t="s">
        <v>15</v>
      </c>
      <c r="J556" s="2" t="s">
        <v>15</v>
      </c>
    </row>
    <row r="557" ht="15.75" customHeight="1">
      <c r="A557" s="1" t="s">
        <v>1118</v>
      </c>
      <c r="B557" s="1" t="s">
        <v>1119</v>
      </c>
      <c r="C557" s="1" t="s">
        <v>12</v>
      </c>
      <c r="D557" s="1" t="s">
        <v>1081</v>
      </c>
      <c r="E557" s="4">
        <v>1008918.0</v>
      </c>
      <c r="F557" s="2" t="s">
        <v>30</v>
      </c>
      <c r="G557" s="2" t="s">
        <v>1</v>
      </c>
      <c r="H557" s="2" t="s">
        <v>37</v>
      </c>
      <c r="I557" s="2" t="s">
        <v>15</v>
      </c>
      <c r="J557" s="2" t="s">
        <v>15</v>
      </c>
    </row>
    <row r="558" ht="15.75" customHeight="1">
      <c r="A558" s="1" t="s">
        <v>1120</v>
      </c>
      <c r="B558" s="1" t="s">
        <v>1121</v>
      </c>
      <c r="C558" s="1" t="s">
        <v>12</v>
      </c>
      <c r="D558" s="1" t="s">
        <v>1122</v>
      </c>
      <c r="E558" s="4">
        <v>1008982.0</v>
      </c>
      <c r="F558" s="2" t="s">
        <v>36</v>
      </c>
      <c r="G558" s="2" t="s">
        <v>1</v>
      </c>
      <c r="H558" s="2" t="s">
        <v>14</v>
      </c>
      <c r="I558" s="2" t="s">
        <v>15</v>
      </c>
      <c r="J558" s="2" t="s">
        <v>15</v>
      </c>
    </row>
    <row r="559" ht="15.75" customHeight="1">
      <c r="A559" s="1" t="s">
        <v>1123</v>
      </c>
      <c r="B559" s="1" t="s">
        <v>1124</v>
      </c>
      <c r="C559" s="1" t="s">
        <v>12</v>
      </c>
      <c r="D559" s="1" t="s">
        <v>1122</v>
      </c>
      <c r="E559" s="4">
        <v>1008982.0</v>
      </c>
      <c r="F559" s="2" t="s">
        <v>36</v>
      </c>
      <c r="G559" s="2" t="s">
        <v>1</v>
      </c>
      <c r="H559" s="2" t="s">
        <v>18</v>
      </c>
      <c r="I559" s="2" t="s">
        <v>15</v>
      </c>
      <c r="J559" s="2" t="s">
        <v>15</v>
      </c>
    </row>
    <row r="560" ht="15.75" customHeight="1">
      <c r="A560" s="1" t="s">
        <v>1125</v>
      </c>
      <c r="B560" s="1" t="s">
        <v>1126</v>
      </c>
      <c r="C560" s="1" t="s">
        <v>12</v>
      </c>
      <c r="D560" s="1" t="s">
        <v>1122</v>
      </c>
      <c r="E560" s="4">
        <v>1008982.0</v>
      </c>
      <c r="F560" s="2">
        <v>1.0</v>
      </c>
      <c r="G560" s="2" t="s">
        <v>1</v>
      </c>
      <c r="H560" s="2" t="s">
        <v>14</v>
      </c>
      <c r="I560" s="2" t="s">
        <v>15</v>
      </c>
      <c r="J560" s="2" t="s">
        <v>15</v>
      </c>
    </row>
    <row r="561" ht="15.75" customHeight="1">
      <c r="A561" s="1" t="s">
        <v>1127</v>
      </c>
      <c r="B561" s="1" t="s">
        <v>1128</v>
      </c>
      <c r="C561" s="1" t="s">
        <v>12</v>
      </c>
      <c r="D561" s="1" t="s">
        <v>1122</v>
      </c>
      <c r="E561" s="4">
        <v>1008982.0</v>
      </c>
      <c r="F561" s="2">
        <v>1.0</v>
      </c>
      <c r="G561" s="2" t="s">
        <v>1</v>
      </c>
      <c r="H561" s="2" t="s">
        <v>18</v>
      </c>
      <c r="I561" s="2" t="s">
        <v>15</v>
      </c>
      <c r="J561" s="2" t="s">
        <v>15</v>
      </c>
    </row>
    <row r="562" ht="15.75" customHeight="1">
      <c r="A562" s="1" t="s">
        <v>1129</v>
      </c>
      <c r="B562" s="1" t="s">
        <v>1130</v>
      </c>
      <c r="C562" s="1" t="s">
        <v>12</v>
      </c>
      <c r="D562" s="1" t="s">
        <v>1122</v>
      </c>
      <c r="E562" s="4">
        <v>1008982.0</v>
      </c>
      <c r="F562" s="2">
        <v>2.0</v>
      </c>
      <c r="G562" s="2" t="s">
        <v>1</v>
      </c>
      <c r="H562" s="2" t="s">
        <v>14</v>
      </c>
      <c r="I562" s="2" t="s">
        <v>15</v>
      </c>
      <c r="J562" s="2" t="s">
        <v>15</v>
      </c>
    </row>
    <row r="563" ht="15.75" customHeight="1">
      <c r="A563" s="1" t="s">
        <v>1131</v>
      </c>
      <c r="B563" s="1" t="s">
        <v>1132</v>
      </c>
      <c r="C563" s="1" t="s">
        <v>12</v>
      </c>
      <c r="D563" s="1" t="s">
        <v>1122</v>
      </c>
      <c r="E563" s="4">
        <v>1008982.0</v>
      </c>
      <c r="F563" s="2">
        <v>2.0</v>
      </c>
      <c r="G563" s="2" t="s">
        <v>1</v>
      </c>
      <c r="H563" s="2" t="s">
        <v>18</v>
      </c>
      <c r="I563" s="2" t="s">
        <v>15</v>
      </c>
      <c r="J563" s="2" t="s">
        <v>15</v>
      </c>
    </row>
    <row r="564" ht="15.75" customHeight="1">
      <c r="A564" s="1" t="s">
        <v>1133</v>
      </c>
      <c r="B564" s="1" t="s">
        <v>1134</v>
      </c>
      <c r="C564" s="1" t="s">
        <v>12</v>
      </c>
      <c r="D564" s="1" t="s">
        <v>1122</v>
      </c>
      <c r="E564" s="4">
        <v>1008982.0</v>
      </c>
      <c r="F564" s="2">
        <v>2.0</v>
      </c>
      <c r="G564" s="2" t="s">
        <v>1</v>
      </c>
      <c r="H564" s="2" t="s">
        <v>21</v>
      </c>
      <c r="I564" s="2" t="s">
        <v>15</v>
      </c>
      <c r="J564" s="2" t="s">
        <v>15</v>
      </c>
    </row>
    <row r="565" ht="15.75" customHeight="1">
      <c r="A565" s="1" t="s">
        <v>1135</v>
      </c>
      <c r="B565" s="1" t="s">
        <v>1136</v>
      </c>
      <c r="C565" s="1" t="s">
        <v>12</v>
      </c>
      <c r="D565" s="1" t="s">
        <v>1122</v>
      </c>
      <c r="E565" s="4">
        <v>1008982.0</v>
      </c>
      <c r="F565" s="2">
        <v>3.0</v>
      </c>
      <c r="G565" s="2" t="s">
        <v>1</v>
      </c>
      <c r="H565" s="2" t="s">
        <v>14</v>
      </c>
      <c r="I565" s="2" t="s">
        <v>15</v>
      </c>
      <c r="J565" s="2" t="s">
        <v>15</v>
      </c>
    </row>
    <row r="566" ht="15.75" customHeight="1">
      <c r="A566" s="1" t="s">
        <v>1137</v>
      </c>
      <c r="B566" s="1" t="s">
        <v>1138</v>
      </c>
      <c r="C566" s="1" t="s">
        <v>12</v>
      </c>
      <c r="D566" s="1" t="s">
        <v>1122</v>
      </c>
      <c r="E566" s="4">
        <v>1008982.0</v>
      </c>
      <c r="F566" s="2">
        <v>3.0</v>
      </c>
      <c r="G566" s="2" t="s">
        <v>1</v>
      </c>
      <c r="H566" s="2" t="s">
        <v>18</v>
      </c>
      <c r="I566" s="2" t="s">
        <v>15</v>
      </c>
      <c r="J566" s="2" t="s">
        <v>15</v>
      </c>
    </row>
    <row r="567" ht="15.75" customHeight="1">
      <c r="A567" s="1" t="s">
        <v>1139</v>
      </c>
      <c r="B567" s="1" t="s">
        <v>1140</v>
      </c>
      <c r="C567" s="1" t="s">
        <v>12</v>
      </c>
      <c r="D567" s="1" t="s">
        <v>1122</v>
      </c>
      <c r="E567" s="4">
        <v>1008982.0</v>
      </c>
      <c r="F567" s="2">
        <v>4.0</v>
      </c>
      <c r="G567" s="2" t="s">
        <v>1</v>
      </c>
      <c r="H567" s="2" t="s">
        <v>14</v>
      </c>
      <c r="I567" s="2" t="s">
        <v>15</v>
      </c>
      <c r="J567" s="2" t="s">
        <v>15</v>
      </c>
    </row>
    <row r="568" ht="15.75" customHeight="1">
      <c r="A568" s="1" t="s">
        <v>1141</v>
      </c>
      <c r="B568" s="1" t="s">
        <v>1142</v>
      </c>
      <c r="C568" s="1" t="s">
        <v>12</v>
      </c>
      <c r="D568" s="1" t="s">
        <v>1122</v>
      </c>
      <c r="E568" s="4">
        <v>1008982.0</v>
      </c>
      <c r="F568" s="2">
        <v>4.0</v>
      </c>
      <c r="G568" s="2" t="s">
        <v>1</v>
      </c>
      <c r="H568" s="2" t="s">
        <v>18</v>
      </c>
      <c r="I568" s="2" t="s">
        <v>15</v>
      </c>
      <c r="J568" s="2" t="s">
        <v>15</v>
      </c>
    </row>
    <row r="569" ht="15.75" customHeight="1">
      <c r="A569" s="1" t="s">
        <v>1143</v>
      </c>
      <c r="B569" s="1" t="s">
        <v>1144</v>
      </c>
      <c r="C569" s="1" t="s">
        <v>12</v>
      </c>
      <c r="D569" s="1" t="s">
        <v>1122</v>
      </c>
      <c r="E569" s="4">
        <v>1008982.0</v>
      </c>
      <c r="F569" s="2">
        <v>5.0</v>
      </c>
      <c r="G569" s="2" t="s">
        <v>1</v>
      </c>
      <c r="H569" s="2" t="s">
        <v>14</v>
      </c>
      <c r="I569" s="2" t="s">
        <v>15</v>
      </c>
      <c r="J569" s="2" t="s">
        <v>15</v>
      </c>
    </row>
    <row r="570" ht="15.75" customHeight="1">
      <c r="A570" s="1" t="s">
        <v>1145</v>
      </c>
      <c r="B570" s="1" t="s">
        <v>1146</v>
      </c>
      <c r="C570" s="1" t="s">
        <v>12</v>
      </c>
      <c r="D570" s="1" t="s">
        <v>1122</v>
      </c>
      <c r="E570" s="4">
        <v>1008982.0</v>
      </c>
      <c r="F570" s="2">
        <v>5.0</v>
      </c>
      <c r="G570" s="2" t="s">
        <v>1</v>
      </c>
      <c r="H570" s="2" t="s">
        <v>18</v>
      </c>
      <c r="I570" s="2" t="s">
        <v>15</v>
      </c>
      <c r="J570" s="2" t="s">
        <v>15</v>
      </c>
    </row>
    <row r="571" ht="15.75" customHeight="1">
      <c r="A571" s="1" t="s">
        <v>1147</v>
      </c>
      <c r="B571" s="1" t="s">
        <v>1148</v>
      </c>
      <c r="C571" s="1" t="s">
        <v>12</v>
      </c>
      <c r="D571" s="1" t="s">
        <v>1122</v>
      </c>
      <c r="E571" s="4">
        <v>1008982.0</v>
      </c>
      <c r="F571" s="2" t="s">
        <v>399</v>
      </c>
      <c r="G571" s="2" t="s">
        <v>1</v>
      </c>
      <c r="H571" s="2" t="s">
        <v>14</v>
      </c>
      <c r="I571" s="2" t="s">
        <v>15</v>
      </c>
      <c r="J571" s="2" t="s">
        <v>15</v>
      </c>
    </row>
    <row r="572" ht="15.75" customHeight="1">
      <c r="A572" s="1" t="s">
        <v>1149</v>
      </c>
      <c r="B572" s="1" t="s">
        <v>1150</v>
      </c>
      <c r="C572" s="1" t="s">
        <v>12</v>
      </c>
      <c r="D572" s="1" t="s">
        <v>1122</v>
      </c>
      <c r="E572" s="4">
        <v>1008982.0</v>
      </c>
      <c r="F572" s="2" t="s">
        <v>399</v>
      </c>
      <c r="G572" s="2" t="s">
        <v>1</v>
      </c>
      <c r="H572" s="2" t="s">
        <v>18</v>
      </c>
      <c r="I572" s="2" t="s">
        <v>15</v>
      </c>
      <c r="J572" s="2" t="s">
        <v>15</v>
      </c>
    </row>
    <row r="573" ht="15.75" customHeight="1">
      <c r="A573" s="1" t="s">
        <v>1151</v>
      </c>
      <c r="B573" s="1" t="s">
        <v>1152</v>
      </c>
      <c r="C573" s="1" t="s">
        <v>12</v>
      </c>
      <c r="D573" s="1" t="s">
        <v>1122</v>
      </c>
      <c r="E573" s="4">
        <v>1008982.0</v>
      </c>
      <c r="F573" s="2" t="s">
        <v>30</v>
      </c>
      <c r="G573" s="2" t="s">
        <v>1</v>
      </c>
      <c r="H573" s="2" t="s">
        <v>14</v>
      </c>
      <c r="I573" s="2" t="s">
        <v>15</v>
      </c>
      <c r="J573" s="2" t="s">
        <v>15</v>
      </c>
    </row>
    <row r="574" ht="15.75" customHeight="1">
      <c r="A574" s="1" t="s">
        <v>1153</v>
      </c>
      <c r="B574" s="1" t="s">
        <v>1154</v>
      </c>
      <c r="C574" s="1" t="s">
        <v>12</v>
      </c>
      <c r="D574" s="1" t="s">
        <v>1122</v>
      </c>
      <c r="E574" s="4">
        <v>1008982.0</v>
      </c>
      <c r="F574" s="2" t="s">
        <v>15</v>
      </c>
      <c r="G574" s="2" t="s">
        <v>33</v>
      </c>
      <c r="H574" s="2" t="s">
        <v>15</v>
      </c>
      <c r="I574" s="2" t="s">
        <v>15</v>
      </c>
      <c r="J574" s="2" t="s">
        <v>15</v>
      </c>
    </row>
    <row r="575" ht="15.75" customHeight="1">
      <c r="A575" s="1" t="s">
        <v>1155</v>
      </c>
      <c r="B575" s="1" t="s">
        <v>1156</v>
      </c>
      <c r="C575" s="1" t="s">
        <v>12</v>
      </c>
      <c r="D575" s="1" t="s">
        <v>1122</v>
      </c>
      <c r="E575" s="4">
        <v>1008982.0</v>
      </c>
      <c r="F575" s="2">
        <v>2.0</v>
      </c>
      <c r="G575" s="2" t="s">
        <v>1</v>
      </c>
      <c r="H575" s="2" t="s">
        <v>37</v>
      </c>
      <c r="I575" s="2" t="s">
        <v>15</v>
      </c>
      <c r="J575" s="2" t="s">
        <v>15</v>
      </c>
    </row>
    <row r="576" ht="15.75" customHeight="1">
      <c r="A576" s="1" t="s">
        <v>1157</v>
      </c>
      <c r="B576" s="1" t="s">
        <v>1158</v>
      </c>
      <c r="C576" s="1" t="s">
        <v>12</v>
      </c>
      <c r="D576" s="1" t="s">
        <v>1122</v>
      </c>
      <c r="E576" s="4">
        <v>1008982.0</v>
      </c>
      <c r="F576" s="2" t="s">
        <v>30</v>
      </c>
      <c r="G576" s="2" t="s">
        <v>1</v>
      </c>
      <c r="H576" s="2" t="s">
        <v>37</v>
      </c>
      <c r="I576" s="2" t="s">
        <v>15</v>
      </c>
      <c r="J576" s="2" t="s">
        <v>15</v>
      </c>
    </row>
    <row r="577" ht="15.75" customHeight="1">
      <c r="A577" s="1" t="s">
        <v>1159</v>
      </c>
      <c r="B577" s="1" t="s">
        <v>1160</v>
      </c>
      <c r="C577" s="1" t="s">
        <v>12</v>
      </c>
      <c r="D577" s="1" t="s">
        <v>1161</v>
      </c>
      <c r="E577" s="4">
        <v>1009046.0</v>
      </c>
      <c r="F577" s="2" t="s">
        <v>399</v>
      </c>
      <c r="G577" s="2" t="s">
        <v>1</v>
      </c>
      <c r="H577" s="2" t="s">
        <v>14</v>
      </c>
      <c r="I577" s="2" t="s">
        <v>15</v>
      </c>
      <c r="J577" s="2" t="s">
        <v>15</v>
      </c>
    </row>
    <row r="578" ht="15.75" customHeight="1">
      <c r="A578" s="1" t="s">
        <v>1162</v>
      </c>
      <c r="B578" s="1" t="s">
        <v>1163</v>
      </c>
      <c r="C578" s="1" t="s">
        <v>12</v>
      </c>
      <c r="D578" s="1" t="s">
        <v>1161</v>
      </c>
      <c r="E578" s="4">
        <v>1009046.0</v>
      </c>
      <c r="F578" s="2" t="s">
        <v>399</v>
      </c>
      <c r="G578" s="2" t="s">
        <v>1</v>
      </c>
      <c r="H578" s="2" t="s">
        <v>18</v>
      </c>
      <c r="I578" s="2" t="s">
        <v>15</v>
      </c>
      <c r="J578" s="2" t="s">
        <v>15</v>
      </c>
    </row>
    <row r="579" ht="15.75" customHeight="1">
      <c r="A579" s="1" t="s">
        <v>1164</v>
      </c>
      <c r="B579" s="1" t="s">
        <v>1165</v>
      </c>
      <c r="C579" s="1" t="s">
        <v>12</v>
      </c>
      <c r="D579" s="1" t="s">
        <v>1161</v>
      </c>
      <c r="E579" s="4">
        <v>1009046.0</v>
      </c>
      <c r="F579" s="2" t="s">
        <v>15</v>
      </c>
      <c r="G579" s="2" t="s">
        <v>33</v>
      </c>
      <c r="H579" s="2" t="s">
        <v>15</v>
      </c>
      <c r="I579" s="2" t="s">
        <v>15</v>
      </c>
      <c r="J579" s="2" t="s">
        <v>15</v>
      </c>
    </row>
    <row r="580" ht="15.75" customHeight="1">
      <c r="A580" s="1" t="s">
        <v>1166</v>
      </c>
      <c r="B580" s="1" t="s">
        <v>1167</v>
      </c>
      <c r="C580" s="1" t="s">
        <v>12</v>
      </c>
      <c r="D580" s="1" t="s">
        <v>1168</v>
      </c>
      <c r="E580" s="4">
        <v>1009110.0</v>
      </c>
      <c r="F580" s="2">
        <v>3.0</v>
      </c>
      <c r="G580" s="2" t="s">
        <v>1</v>
      </c>
      <c r="H580" s="2" t="s">
        <v>14</v>
      </c>
      <c r="I580" s="2" t="s">
        <v>15</v>
      </c>
      <c r="J580" s="2" t="s">
        <v>15</v>
      </c>
    </row>
    <row r="581" ht="15.75" customHeight="1">
      <c r="A581" s="1" t="s">
        <v>1169</v>
      </c>
      <c r="B581" s="1" t="s">
        <v>1170</v>
      </c>
      <c r="C581" s="1" t="s">
        <v>12</v>
      </c>
      <c r="D581" s="1" t="s">
        <v>1168</v>
      </c>
      <c r="E581" s="4">
        <v>1009110.0</v>
      </c>
      <c r="F581" s="2">
        <v>3.0</v>
      </c>
      <c r="G581" s="2" t="s">
        <v>1</v>
      </c>
      <c r="H581" s="2" t="s">
        <v>18</v>
      </c>
      <c r="I581" s="2" t="s">
        <v>15</v>
      </c>
      <c r="J581" s="2" t="s">
        <v>15</v>
      </c>
    </row>
    <row r="582" ht="15.75" customHeight="1">
      <c r="A582" s="1" t="s">
        <v>1171</v>
      </c>
      <c r="B582" s="1" t="s">
        <v>1172</v>
      </c>
      <c r="C582" s="1" t="s">
        <v>12</v>
      </c>
      <c r="D582" s="1" t="s">
        <v>1168</v>
      </c>
      <c r="E582" s="4">
        <v>1009110.0</v>
      </c>
      <c r="F582" s="2">
        <v>4.0</v>
      </c>
      <c r="G582" s="2" t="s">
        <v>1</v>
      </c>
      <c r="H582" s="2" t="s">
        <v>14</v>
      </c>
      <c r="I582" s="2" t="s">
        <v>15</v>
      </c>
      <c r="J582" s="2" t="s">
        <v>15</v>
      </c>
    </row>
    <row r="583" ht="15.75" customHeight="1">
      <c r="A583" s="1" t="s">
        <v>1173</v>
      </c>
      <c r="B583" s="1" t="s">
        <v>1174</v>
      </c>
      <c r="C583" s="1" t="s">
        <v>12</v>
      </c>
      <c r="D583" s="1" t="s">
        <v>1168</v>
      </c>
      <c r="E583" s="4">
        <v>1009110.0</v>
      </c>
      <c r="F583" s="2">
        <v>4.0</v>
      </c>
      <c r="G583" s="2" t="s">
        <v>1</v>
      </c>
      <c r="H583" s="2" t="s">
        <v>18</v>
      </c>
      <c r="I583" s="2" t="s">
        <v>15</v>
      </c>
      <c r="J583" s="2" t="s">
        <v>15</v>
      </c>
    </row>
    <row r="584" ht="15.75" customHeight="1">
      <c r="A584" s="1" t="s">
        <v>1175</v>
      </c>
      <c r="B584" s="1" t="s">
        <v>1176</v>
      </c>
      <c r="C584" s="1" t="s">
        <v>12</v>
      </c>
      <c r="D584" s="1" t="s">
        <v>1168</v>
      </c>
      <c r="E584" s="4">
        <v>1009110.0</v>
      </c>
      <c r="F584" s="2">
        <v>5.0</v>
      </c>
      <c r="G584" s="2" t="s">
        <v>1</v>
      </c>
      <c r="H584" s="2" t="s">
        <v>14</v>
      </c>
      <c r="I584" s="2" t="s">
        <v>15</v>
      </c>
      <c r="J584" s="2" t="s">
        <v>15</v>
      </c>
    </row>
    <row r="585" ht="15.75" customHeight="1">
      <c r="A585" s="1" t="s">
        <v>1177</v>
      </c>
      <c r="B585" s="1" t="s">
        <v>1178</v>
      </c>
      <c r="C585" s="1" t="s">
        <v>12</v>
      </c>
      <c r="D585" s="1" t="s">
        <v>1168</v>
      </c>
      <c r="E585" s="4">
        <v>1009110.0</v>
      </c>
      <c r="F585" s="2">
        <v>5.0</v>
      </c>
      <c r="G585" s="2" t="s">
        <v>1</v>
      </c>
      <c r="H585" s="2" t="s">
        <v>18</v>
      </c>
      <c r="I585" s="2" t="s">
        <v>15</v>
      </c>
      <c r="J585" s="2" t="s">
        <v>15</v>
      </c>
    </row>
    <row r="586" ht="15.75" customHeight="1">
      <c r="A586" s="1" t="s">
        <v>1179</v>
      </c>
      <c r="B586" s="1" t="s">
        <v>1180</v>
      </c>
      <c r="C586" s="1" t="s">
        <v>12</v>
      </c>
      <c r="D586" s="1" t="s">
        <v>1168</v>
      </c>
      <c r="E586" s="4">
        <v>1009110.0</v>
      </c>
      <c r="F586" s="2" t="s">
        <v>30</v>
      </c>
      <c r="G586" s="2" t="s">
        <v>1</v>
      </c>
      <c r="H586" s="2" t="s">
        <v>14</v>
      </c>
      <c r="I586" s="2" t="s">
        <v>15</v>
      </c>
      <c r="J586" s="2" t="s">
        <v>15</v>
      </c>
    </row>
    <row r="587" ht="15.75" customHeight="1">
      <c r="A587" s="1" t="s">
        <v>1181</v>
      </c>
      <c r="B587" s="1" t="s">
        <v>1182</v>
      </c>
      <c r="C587" s="1" t="s">
        <v>12</v>
      </c>
      <c r="D587" s="1" t="s">
        <v>1168</v>
      </c>
      <c r="E587" s="4">
        <v>1009110.0</v>
      </c>
      <c r="F587" s="2" t="s">
        <v>15</v>
      </c>
      <c r="G587" s="2" t="s">
        <v>33</v>
      </c>
      <c r="H587" s="2" t="s">
        <v>15</v>
      </c>
      <c r="I587" s="2" t="s">
        <v>15</v>
      </c>
      <c r="J587" s="2" t="s">
        <v>15</v>
      </c>
    </row>
    <row r="588" ht="15.75" customHeight="1">
      <c r="A588" s="1" t="s">
        <v>1183</v>
      </c>
      <c r="B588" s="1" t="s">
        <v>1184</v>
      </c>
      <c r="C588" s="1" t="s">
        <v>12</v>
      </c>
      <c r="D588" s="1" t="s">
        <v>1185</v>
      </c>
      <c r="E588" s="4">
        <v>1009174.0</v>
      </c>
      <c r="F588" s="2">
        <v>3.0</v>
      </c>
      <c r="G588" s="2" t="s">
        <v>1</v>
      </c>
      <c r="H588" s="2" t="s">
        <v>14</v>
      </c>
      <c r="I588" s="2" t="s">
        <v>15</v>
      </c>
      <c r="J588" s="2" t="s">
        <v>15</v>
      </c>
    </row>
    <row r="589" ht="15.75" customHeight="1">
      <c r="A589" s="1" t="s">
        <v>1186</v>
      </c>
      <c r="B589" s="1" t="s">
        <v>1187</v>
      </c>
      <c r="C589" s="1" t="s">
        <v>12</v>
      </c>
      <c r="D589" s="1" t="s">
        <v>1185</v>
      </c>
      <c r="E589" s="4">
        <v>1009174.0</v>
      </c>
      <c r="F589" s="2">
        <v>3.0</v>
      </c>
      <c r="G589" s="2" t="s">
        <v>1</v>
      </c>
      <c r="H589" s="2" t="s">
        <v>18</v>
      </c>
      <c r="I589" s="2" t="s">
        <v>15</v>
      </c>
      <c r="J589" s="2" t="s">
        <v>15</v>
      </c>
    </row>
    <row r="590" ht="15.75" customHeight="1">
      <c r="A590" s="1" t="s">
        <v>1188</v>
      </c>
      <c r="B590" s="1" t="s">
        <v>1189</v>
      </c>
      <c r="C590" s="1" t="s">
        <v>12</v>
      </c>
      <c r="D590" s="1" t="s">
        <v>1185</v>
      </c>
      <c r="E590" s="4">
        <v>1009174.0</v>
      </c>
      <c r="F590" s="2">
        <v>4.0</v>
      </c>
      <c r="G590" s="2" t="s">
        <v>1</v>
      </c>
      <c r="H590" s="2" t="s">
        <v>14</v>
      </c>
      <c r="I590" s="2" t="s">
        <v>15</v>
      </c>
      <c r="J590" s="2" t="s">
        <v>15</v>
      </c>
    </row>
    <row r="591" ht="15.75" customHeight="1">
      <c r="A591" s="1" t="s">
        <v>1190</v>
      </c>
      <c r="B591" s="1" t="s">
        <v>1191</v>
      </c>
      <c r="C591" s="1" t="s">
        <v>12</v>
      </c>
      <c r="D591" s="1" t="s">
        <v>1185</v>
      </c>
      <c r="E591" s="4">
        <v>1009174.0</v>
      </c>
      <c r="F591" s="2">
        <v>4.0</v>
      </c>
      <c r="G591" s="2" t="s">
        <v>1</v>
      </c>
      <c r="H591" s="2" t="s">
        <v>18</v>
      </c>
      <c r="I591" s="2" t="s">
        <v>15</v>
      </c>
      <c r="J591" s="2" t="s">
        <v>15</v>
      </c>
    </row>
    <row r="592" ht="15.75" customHeight="1">
      <c r="A592" s="1" t="s">
        <v>1192</v>
      </c>
      <c r="B592" s="1" t="s">
        <v>1193</v>
      </c>
      <c r="C592" s="1" t="s">
        <v>12</v>
      </c>
      <c r="D592" s="1" t="s">
        <v>1185</v>
      </c>
      <c r="E592" s="4">
        <v>1009174.0</v>
      </c>
      <c r="F592" s="2">
        <v>5.0</v>
      </c>
      <c r="G592" s="2" t="s">
        <v>1</v>
      </c>
      <c r="H592" s="2" t="s">
        <v>14</v>
      </c>
      <c r="I592" s="2" t="s">
        <v>15</v>
      </c>
      <c r="J592" s="2" t="s">
        <v>15</v>
      </c>
    </row>
    <row r="593" ht="15.75" customHeight="1">
      <c r="A593" s="1" t="s">
        <v>1194</v>
      </c>
      <c r="B593" s="1" t="s">
        <v>1195</v>
      </c>
      <c r="C593" s="1" t="s">
        <v>12</v>
      </c>
      <c r="D593" s="1" t="s">
        <v>1185</v>
      </c>
      <c r="E593" s="4">
        <v>1009174.0</v>
      </c>
      <c r="F593" s="2">
        <v>5.0</v>
      </c>
      <c r="G593" s="2" t="s">
        <v>1</v>
      </c>
      <c r="H593" s="2" t="s">
        <v>18</v>
      </c>
      <c r="I593" s="2" t="s">
        <v>15</v>
      </c>
      <c r="J593" s="2" t="s">
        <v>15</v>
      </c>
    </row>
    <row r="594" ht="15.75" customHeight="1">
      <c r="A594" s="1" t="s">
        <v>1196</v>
      </c>
      <c r="B594" s="1" t="s">
        <v>1197</v>
      </c>
      <c r="C594" s="1" t="s">
        <v>12</v>
      </c>
      <c r="D594" s="1" t="s">
        <v>1185</v>
      </c>
      <c r="E594" s="4">
        <v>1009174.0</v>
      </c>
      <c r="F594" s="2" t="s">
        <v>30</v>
      </c>
      <c r="G594" s="2" t="s">
        <v>1</v>
      </c>
      <c r="H594" s="2" t="s">
        <v>14</v>
      </c>
      <c r="I594" s="2" t="s">
        <v>15</v>
      </c>
      <c r="J594" s="2" t="s">
        <v>15</v>
      </c>
    </row>
    <row r="595" ht="15.75" customHeight="1">
      <c r="A595" s="1" t="s">
        <v>1198</v>
      </c>
      <c r="B595" s="1" t="s">
        <v>1199</v>
      </c>
      <c r="C595" s="1" t="s">
        <v>12</v>
      </c>
      <c r="D595" s="1" t="s">
        <v>1185</v>
      </c>
      <c r="E595" s="4">
        <v>1009174.0</v>
      </c>
      <c r="F595" s="2" t="s">
        <v>15</v>
      </c>
      <c r="G595" s="2" t="s">
        <v>33</v>
      </c>
      <c r="H595" s="2" t="s">
        <v>15</v>
      </c>
      <c r="I595" s="2" t="s">
        <v>15</v>
      </c>
      <c r="J595" s="2" t="s">
        <v>15</v>
      </c>
    </row>
    <row r="596" ht="15.75" customHeight="1">
      <c r="A596" s="1" t="s">
        <v>1200</v>
      </c>
      <c r="B596" s="1" t="s">
        <v>1201</v>
      </c>
      <c r="C596" s="1" t="s">
        <v>12</v>
      </c>
      <c r="D596" s="1" t="s">
        <v>1202</v>
      </c>
      <c r="E596" s="4">
        <v>1009238.0</v>
      </c>
      <c r="F596" s="2" t="s">
        <v>36</v>
      </c>
      <c r="G596" s="2" t="s">
        <v>1</v>
      </c>
      <c r="H596" s="2" t="s">
        <v>14</v>
      </c>
      <c r="I596" s="2" t="s">
        <v>15</v>
      </c>
      <c r="J596" s="2" t="s">
        <v>15</v>
      </c>
    </row>
    <row r="597" ht="15.75" customHeight="1">
      <c r="A597" s="1" t="s">
        <v>1203</v>
      </c>
      <c r="B597" s="1" t="s">
        <v>1204</v>
      </c>
      <c r="C597" s="1" t="s">
        <v>12</v>
      </c>
      <c r="D597" s="1" t="s">
        <v>1202</v>
      </c>
      <c r="E597" s="4">
        <v>1009238.0</v>
      </c>
      <c r="F597" s="2" t="s">
        <v>36</v>
      </c>
      <c r="G597" s="2" t="s">
        <v>1</v>
      </c>
      <c r="H597" s="2" t="s">
        <v>18</v>
      </c>
      <c r="I597" s="2" t="s">
        <v>15</v>
      </c>
      <c r="J597" s="2" t="s">
        <v>15</v>
      </c>
    </row>
    <row r="598" ht="15.75" customHeight="1">
      <c r="A598" s="1" t="s">
        <v>1205</v>
      </c>
      <c r="B598" s="1" t="s">
        <v>1206</v>
      </c>
      <c r="C598" s="1" t="s">
        <v>12</v>
      </c>
      <c r="D598" s="1" t="s">
        <v>1202</v>
      </c>
      <c r="E598" s="4">
        <v>1009238.0</v>
      </c>
      <c r="F598" s="2">
        <v>1.0</v>
      </c>
      <c r="G598" s="2" t="s">
        <v>1</v>
      </c>
      <c r="H598" s="2" t="s">
        <v>14</v>
      </c>
      <c r="I598" s="2" t="s">
        <v>15</v>
      </c>
      <c r="J598" s="2" t="s">
        <v>15</v>
      </c>
    </row>
    <row r="599" ht="15.75" customHeight="1">
      <c r="A599" s="1" t="s">
        <v>1207</v>
      </c>
      <c r="B599" s="1" t="s">
        <v>1208</v>
      </c>
      <c r="C599" s="1" t="s">
        <v>12</v>
      </c>
      <c r="D599" s="1" t="s">
        <v>1202</v>
      </c>
      <c r="E599" s="4">
        <v>1009238.0</v>
      </c>
      <c r="F599" s="2">
        <v>1.0</v>
      </c>
      <c r="G599" s="2" t="s">
        <v>1</v>
      </c>
      <c r="H599" s="2" t="s">
        <v>18</v>
      </c>
      <c r="I599" s="2" t="s">
        <v>15</v>
      </c>
      <c r="J599" s="2" t="s">
        <v>15</v>
      </c>
    </row>
    <row r="600" ht="15.75" customHeight="1">
      <c r="A600" s="1" t="s">
        <v>1209</v>
      </c>
      <c r="B600" s="1" t="s">
        <v>1210</v>
      </c>
      <c r="C600" s="1" t="s">
        <v>12</v>
      </c>
      <c r="D600" s="1" t="s">
        <v>1202</v>
      </c>
      <c r="E600" s="4">
        <v>1009238.0</v>
      </c>
      <c r="F600" s="2">
        <v>2.0</v>
      </c>
      <c r="G600" s="2" t="s">
        <v>1</v>
      </c>
      <c r="H600" s="2" t="s">
        <v>14</v>
      </c>
      <c r="I600" s="2" t="s">
        <v>15</v>
      </c>
      <c r="J600" s="2" t="s">
        <v>15</v>
      </c>
    </row>
    <row r="601" ht="15.75" customHeight="1">
      <c r="A601" s="1" t="s">
        <v>1211</v>
      </c>
      <c r="B601" s="1" t="s">
        <v>1212</v>
      </c>
      <c r="C601" s="1" t="s">
        <v>12</v>
      </c>
      <c r="D601" s="1" t="s">
        <v>1202</v>
      </c>
      <c r="E601" s="4">
        <v>1009238.0</v>
      </c>
      <c r="F601" s="2">
        <v>2.0</v>
      </c>
      <c r="G601" s="2" t="s">
        <v>1</v>
      </c>
      <c r="H601" s="2" t="s">
        <v>18</v>
      </c>
      <c r="I601" s="2" t="s">
        <v>15</v>
      </c>
      <c r="J601" s="2" t="s">
        <v>15</v>
      </c>
    </row>
    <row r="602" ht="15.75" customHeight="1">
      <c r="A602" s="1" t="s">
        <v>1213</v>
      </c>
      <c r="B602" s="1" t="s">
        <v>1214</v>
      </c>
      <c r="C602" s="1" t="s">
        <v>12</v>
      </c>
      <c r="D602" s="1" t="s">
        <v>1202</v>
      </c>
      <c r="E602" s="4">
        <v>1009238.0</v>
      </c>
      <c r="F602" s="2">
        <v>3.0</v>
      </c>
      <c r="G602" s="2" t="s">
        <v>1</v>
      </c>
      <c r="H602" s="2" t="s">
        <v>14</v>
      </c>
      <c r="I602" s="2" t="s">
        <v>15</v>
      </c>
      <c r="J602" s="2" t="s">
        <v>15</v>
      </c>
    </row>
    <row r="603" ht="15.75" customHeight="1">
      <c r="A603" s="1" t="s">
        <v>1215</v>
      </c>
      <c r="B603" s="1" t="s">
        <v>1216</v>
      </c>
      <c r="C603" s="1" t="s">
        <v>12</v>
      </c>
      <c r="D603" s="1" t="s">
        <v>1202</v>
      </c>
      <c r="E603" s="4">
        <v>1009238.0</v>
      </c>
      <c r="F603" s="2">
        <v>3.0</v>
      </c>
      <c r="G603" s="2" t="s">
        <v>1</v>
      </c>
      <c r="H603" s="2" t="s">
        <v>18</v>
      </c>
      <c r="I603" s="2" t="s">
        <v>15</v>
      </c>
      <c r="J603" s="2" t="s">
        <v>15</v>
      </c>
    </row>
    <row r="604" ht="15.75" customHeight="1">
      <c r="A604" s="1" t="s">
        <v>1217</v>
      </c>
      <c r="B604" s="1" t="s">
        <v>1218</v>
      </c>
      <c r="C604" s="1" t="s">
        <v>12</v>
      </c>
      <c r="D604" s="1" t="s">
        <v>1202</v>
      </c>
      <c r="E604" s="4">
        <v>1009238.0</v>
      </c>
      <c r="F604" s="2">
        <v>4.0</v>
      </c>
      <c r="G604" s="2" t="s">
        <v>1</v>
      </c>
      <c r="H604" s="2" t="s">
        <v>14</v>
      </c>
      <c r="I604" s="2" t="s">
        <v>15</v>
      </c>
      <c r="J604" s="2" t="s">
        <v>15</v>
      </c>
    </row>
    <row r="605" ht="15.75" customHeight="1">
      <c r="A605" s="1" t="s">
        <v>1219</v>
      </c>
      <c r="B605" s="1" t="s">
        <v>1220</v>
      </c>
      <c r="C605" s="1" t="s">
        <v>12</v>
      </c>
      <c r="D605" s="1" t="s">
        <v>1202</v>
      </c>
      <c r="E605" s="4">
        <v>1009238.0</v>
      </c>
      <c r="F605" s="2">
        <v>4.0</v>
      </c>
      <c r="G605" s="2" t="s">
        <v>1</v>
      </c>
      <c r="H605" s="2" t="s">
        <v>18</v>
      </c>
      <c r="I605" s="2" t="s">
        <v>15</v>
      </c>
      <c r="J605" s="2" t="s">
        <v>15</v>
      </c>
    </row>
    <row r="606" ht="15.75" customHeight="1">
      <c r="A606" s="1" t="s">
        <v>1221</v>
      </c>
      <c r="B606" s="1" t="s">
        <v>1222</v>
      </c>
      <c r="C606" s="1" t="s">
        <v>12</v>
      </c>
      <c r="D606" s="1" t="s">
        <v>1202</v>
      </c>
      <c r="E606" s="4">
        <v>1009238.0</v>
      </c>
      <c r="F606" s="2" t="s">
        <v>30</v>
      </c>
      <c r="G606" s="2" t="s">
        <v>1</v>
      </c>
      <c r="H606" s="2" t="s">
        <v>14</v>
      </c>
      <c r="I606" s="2" t="s">
        <v>15</v>
      </c>
      <c r="J606" s="2" t="s">
        <v>15</v>
      </c>
    </row>
    <row r="607" ht="15.75" customHeight="1">
      <c r="A607" s="1" t="s">
        <v>1223</v>
      </c>
      <c r="B607" s="1" t="s">
        <v>1224</v>
      </c>
      <c r="C607" s="1" t="s">
        <v>12</v>
      </c>
      <c r="D607" s="1" t="s">
        <v>1202</v>
      </c>
      <c r="E607" s="4">
        <v>1009238.0</v>
      </c>
      <c r="F607" s="2" t="s">
        <v>15</v>
      </c>
      <c r="G607" s="2" t="s">
        <v>33</v>
      </c>
      <c r="H607" s="2" t="s">
        <v>15</v>
      </c>
      <c r="I607" s="2" t="s">
        <v>15</v>
      </c>
      <c r="J607" s="2" t="s">
        <v>15</v>
      </c>
    </row>
    <row r="608" ht="15.75" customHeight="1">
      <c r="A608" s="1" t="s">
        <v>1225</v>
      </c>
      <c r="B608" s="1" t="s">
        <v>1226</v>
      </c>
      <c r="C608" s="1" t="s">
        <v>12</v>
      </c>
      <c r="D608" s="1" t="s">
        <v>1227</v>
      </c>
      <c r="E608" s="4">
        <v>1009302.0</v>
      </c>
      <c r="F608" s="2">
        <v>1.0</v>
      </c>
      <c r="G608" s="2" t="s">
        <v>1</v>
      </c>
      <c r="H608" s="2" t="s">
        <v>14</v>
      </c>
      <c r="I608" s="2" t="s">
        <v>15</v>
      </c>
      <c r="J608" s="2" t="s">
        <v>15</v>
      </c>
    </row>
    <row r="609" ht="15.75" customHeight="1">
      <c r="A609" s="1" t="s">
        <v>1228</v>
      </c>
      <c r="B609" s="1" t="s">
        <v>1229</v>
      </c>
      <c r="C609" s="1" t="s">
        <v>12</v>
      </c>
      <c r="D609" s="1" t="s">
        <v>1227</v>
      </c>
      <c r="E609" s="4">
        <v>1009302.0</v>
      </c>
      <c r="F609" s="2">
        <v>1.0</v>
      </c>
      <c r="G609" s="2" t="s">
        <v>1</v>
      </c>
      <c r="H609" s="2" t="s">
        <v>18</v>
      </c>
      <c r="I609" s="2" t="s">
        <v>15</v>
      </c>
      <c r="J609" s="2" t="s">
        <v>15</v>
      </c>
    </row>
    <row r="610" ht="15.75" customHeight="1">
      <c r="A610" s="1" t="s">
        <v>1230</v>
      </c>
      <c r="B610" s="1" t="s">
        <v>1231</v>
      </c>
      <c r="C610" s="1" t="s">
        <v>12</v>
      </c>
      <c r="D610" s="1" t="s">
        <v>1227</v>
      </c>
      <c r="E610" s="4">
        <v>1009302.0</v>
      </c>
      <c r="F610" s="2">
        <v>2.0</v>
      </c>
      <c r="G610" s="2" t="s">
        <v>1</v>
      </c>
      <c r="H610" s="2" t="s">
        <v>14</v>
      </c>
      <c r="I610" s="2" t="s">
        <v>15</v>
      </c>
      <c r="J610" s="2" t="s">
        <v>15</v>
      </c>
    </row>
    <row r="611" ht="15.75" customHeight="1">
      <c r="A611" s="1" t="s">
        <v>1232</v>
      </c>
      <c r="B611" s="1" t="s">
        <v>1233</v>
      </c>
      <c r="C611" s="1" t="s">
        <v>12</v>
      </c>
      <c r="D611" s="1" t="s">
        <v>1227</v>
      </c>
      <c r="E611" s="4">
        <v>1009302.0</v>
      </c>
      <c r="F611" s="2">
        <v>2.0</v>
      </c>
      <c r="G611" s="2" t="s">
        <v>1</v>
      </c>
      <c r="H611" s="2" t="s">
        <v>18</v>
      </c>
      <c r="I611" s="2" t="s">
        <v>15</v>
      </c>
      <c r="J611" s="2" t="s">
        <v>15</v>
      </c>
    </row>
    <row r="612" ht="15.75" customHeight="1">
      <c r="A612" s="1" t="s">
        <v>1234</v>
      </c>
      <c r="B612" s="1" t="s">
        <v>1235</v>
      </c>
      <c r="C612" s="1" t="s">
        <v>12</v>
      </c>
      <c r="D612" s="1" t="s">
        <v>1227</v>
      </c>
      <c r="E612" s="4">
        <v>1009302.0</v>
      </c>
      <c r="F612" s="2">
        <v>3.0</v>
      </c>
      <c r="G612" s="2" t="s">
        <v>1</v>
      </c>
      <c r="H612" s="2" t="s">
        <v>14</v>
      </c>
      <c r="I612" s="2" t="s">
        <v>15</v>
      </c>
      <c r="J612" s="2" t="s">
        <v>15</v>
      </c>
    </row>
    <row r="613" ht="15.75" customHeight="1">
      <c r="A613" s="1" t="s">
        <v>1236</v>
      </c>
      <c r="B613" s="1" t="s">
        <v>1237</v>
      </c>
      <c r="C613" s="1" t="s">
        <v>12</v>
      </c>
      <c r="D613" s="1" t="s">
        <v>1227</v>
      </c>
      <c r="E613" s="4">
        <v>1009302.0</v>
      </c>
      <c r="F613" s="2">
        <v>3.0</v>
      </c>
      <c r="G613" s="2" t="s">
        <v>1</v>
      </c>
      <c r="H613" s="2" t="s">
        <v>18</v>
      </c>
      <c r="I613" s="2" t="s">
        <v>15</v>
      </c>
      <c r="J613" s="2" t="s">
        <v>15</v>
      </c>
    </row>
    <row r="614" ht="15.75" customHeight="1">
      <c r="A614" s="1" t="s">
        <v>1238</v>
      </c>
      <c r="B614" s="1" t="s">
        <v>1239</v>
      </c>
      <c r="C614" s="1" t="s">
        <v>12</v>
      </c>
      <c r="D614" s="1" t="s">
        <v>1227</v>
      </c>
      <c r="E614" s="4">
        <v>1009302.0</v>
      </c>
      <c r="F614" s="2">
        <v>4.0</v>
      </c>
      <c r="G614" s="2" t="s">
        <v>1</v>
      </c>
      <c r="H614" s="2" t="s">
        <v>14</v>
      </c>
      <c r="I614" s="2" t="s">
        <v>15</v>
      </c>
      <c r="J614" s="2" t="s">
        <v>15</v>
      </c>
    </row>
    <row r="615" ht="15.75" customHeight="1">
      <c r="A615" s="1" t="s">
        <v>1240</v>
      </c>
      <c r="B615" s="1" t="s">
        <v>1241</v>
      </c>
      <c r="C615" s="1" t="s">
        <v>12</v>
      </c>
      <c r="D615" s="1" t="s">
        <v>1227</v>
      </c>
      <c r="E615" s="4">
        <v>1009302.0</v>
      </c>
      <c r="F615" s="2">
        <v>4.0</v>
      </c>
      <c r="G615" s="2" t="s">
        <v>1</v>
      </c>
      <c r="H615" s="2" t="s">
        <v>18</v>
      </c>
      <c r="I615" s="2" t="s">
        <v>15</v>
      </c>
      <c r="J615" s="2" t="s">
        <v>15</v>
      </c>
    </row>
    <row r="616" ht="15.75" customHeight="1">
      <c r="A616" s="1" t="s">
        <v>1242</v>
      </c>
      <c r="B616" s="1" t="s">
        <v>1243</v>
      </c>
      <c r="C616" s="1" t="s">
        <v>12</v>
      </c>
      <c r="D616" s="1" t="s">
        <v>1227</v>
      </c>
      <c r="E616" s="4">
        <v>1009302.0</v>
      </c>
      <c r="F616" s="2" t="s">
        <v>30</v>
      </c>
      <c r="G616" s="2" t="s">
        <v>1</v>
      </c>
      <c r="H616" s="2" t="s">
        <v>14</v>
      </c>
      <c r="I616" s="2" t="s">
        <v>15</v>
      </c>
      <c r="J616" s="2" t="s">
        <v>15</v>
      </c>
    </row>
    <row r="617" ht="15.75" customHeight="1">
      <c r="A617" s="1" t="s">
        <v>1244</v>
      </c>
      <c r="B617" s="1" t="s">
        <v>1245</v>
      </c>
      <c r="C617" s="1" t="s">
        <v>12</v>
      </c>
      <c r="D617" s="1" t="s">
        <v>1227</v>
      </c>
      <c r="E617" s="4">
        <v>1009302.0</v>
      </c>
      <c r="F617" s="2" t="s">
        <v>15</v>
      </c>
      <c r="G617" s="2" t="s">
        <v>33</v>
      </c>
      <c r="H617" s="2" t="s">
        <v>15</v>
      </c>
      <c r="I617" s="2" t="s">
        <v>15</v>
      </c>
      <c r="J617" s="2" t="s">
        <v>15</v>
      </c>
    </row>
    <row r="618" ht="15.75" customHeight="1">
      <c r="A618" s="1" t="s">
        <v>1246</v>
      </c>
      <c r="B618" s="1" t="s">
        <v>1247</v>
      </c>
      <c r="C618" s="1" t="s">
        <v>12</v>
      </c>
      <c r="D618" s="1" t="s">
        <v>1248</v>
      </c>
      <c r="E618" s="4">
        <v>1009366.0</v>
      </c>
      <c r="F618" s="2">
        <v>1.0</v>
      </c>
      <c r="G618" s="2" t="s">
        <v>1</v>
      </c>
      <c r="H618" s="2" t="s">
        <v>14</v>
      </c>
      <c r="I618" s="2" t="s">
        <v>15</v>
      </c>
      <c r="J618" s="2" t="s">
        <v>15</v>
      </c>
    </row>
    <row r="619" ht="15.75" customHeight="1">
      <c r="A619" s="1" t="s">
        <v>1249</v>
      </c>
      <c r="B619" s="1" t="s">
        <v>1250</v>
      </c>
      <c r="C619" s="1" t="s">
        <v>12</v>
      </c>
      <c r="D619" s="1" t="s">
        <v>1248</v>
      </c>
      <c r="E619" s="4">
        <v>1009366.0</v>
      </c>
      <c r="F619" s="2">
        <v>1.0</v>
      </c>
      <c r="G619" s="2" t="s">
        <v>1</v>
      </c>
      <c r="H619" s="2" t="s">
        <v>18</v>
      </c>
      <c r="I619" s="2" t="s">
        <v>15</v>
      </c>
      <c r="J619" s="2" t="s">
        <v>15</v>
      </c>
    </row>
    <row r="620" ht="15.75" customHeight="1">
      <c r="A620" s="1" t="s">
        <v>1251</v>
      </c>
      <c r="B620" s="1" t="s">
        <v>1252</v>
      </c>
      <c r="C620" s="1" t="s">
        <v>12</v>
      </c>
      <c r="D620" s="1" t="s">
        <v>1248</v>
      </c>
      <c r="E620" s="4">
        <v>1009366.0</v>
      </c>
      <c r="F620" s="2">
        <v>2.0</v>
      </c>
      <c r="G620" s="2" t="s">
        <v>1</v>
      </c>
      <c r="H620" s="2" t="s">
        <v>14</v>
      </c>
      <c r="I620" s="2" t="s">
        <v>15</v>
      </c>
      <c r="J620" s="2" t="s">
        <v>15</v>
      </c>
    </row>
    <row r="621" ht="15.75" customHeight="1">
      <c r="A621" s="1" t="s">
        <v>1253</v>
      </c>
      <c r="B621" s="1" t="s">
        <v>1254</v>
      </c>
      <c r="C621" s="1" t="s">
        <v>12</v>
      </c>
      <c r="D621" s="1" t="s">
        <v>1248</v>
      </c>
      <c r="E621" s="4">
        <v>1009366.0</v>
      </c>
      <c r="F621" s="2">
        <v>2.0</v>
      </c>
      <c r="G621" s="2" t="s">
        <v>1</v>
      </c>
      <c r="H621" s="2" t="s">
        <v>18</v>
      </c>
      <c r="I621" s="2" t="s">
        <v>15</v>
      </c>
      <c r="J621" s="2" t="s">
        <v>15</v>
      </c>
    </row>
    <row r="622" ht="15.75" customHeight="1">
      <c r="A622" s="1" t="s">
        <v>1255</v>
      </c>
      <c r="B622" s="1" t="s">
        <v>1256</v>
      </c>
      <c r="C622" s="1" t="s">
        <v>12</v>
      </c>
      <c r="D622" s="1" t="s">
        <v>1248</v>
      </c>
      <c r="E622" s="4">
        <v>1009366.0</v>
      </c>
      <c r="F622" s="2">
        <v>3.0</v>
      </c>
      <c r="G622" s="2" t="s">
        <v>1</v>
      </c>
      <c r="H622" s="2" t="s">
        <v>14</v>
      </c>
      <c r="I622" s="2" t="s">
        <v>15</v>
      </c>
      <c r="J622" s="2" t="s">
        <v>15</v>
      </c>
    </row>
    <row r="623" ht="15.75" customHeight="1">
      <c r="A623" s="1" t="s">
        <v>1257</v>
      </c>
      <c r="B623" s="1" t="s">
        <v>1258</v>
      </c>
      <c r="C623" s="1" t="s">
        <v>12</v>
      </c>
      <c r="D623" s="1" t="s">
        <v>1248</v>
      </c>
      <c r="E623" s="4">
        <v>1009366.0</v>
      </c>
      <c r="F623" s="2">
        <v>3.0</v>
      </c>
      <c r="G623" s="2" t="s">
        <v>1</v>
      </c>
      <c r="H623" s="2" t="s">
        <v>18</v>
      </c>
      <c r="I623" s="2" t="s">
        <v>15</v>
      </c>
      <c r="J623" s="2" t="s">
        <v>15</v>
      </c>
    </row>
    <row r="624" ht="15.75" customHeight="1">
      <c r="A624" s="1" t="s">
        <v>1259</v>
      </c>
      <c r="B624" s="1" t="s">
        <v>1260</v>
      </c>
      <c r="C624" s="1" t="s">
        <v>12</v>
      </c>
      <c r="D624" s="1" t="s">
        <v>1248</v>
      </c>
      <c r="E624" s="4">
        <v>1009366.0</v>
      </c>
      <c r="F624" s="2">
        <v>4.0</v>
      </c>
      <c r="G624" s="2" t="s">
        <v>1</v>
      </c>
      <c r="H624" s="2" t="s">
        <v>14</v>
      </c>
      <c r="I624" s="2" t="s">
        <v>15</v>
      </c>
      <c r="J624" s="2" t="s">
        <v>15</v>
      </c>
    </row>
    <row r="625" ht="15.75" customHeight="1">
      <c r="A625" s="1" t="s">
        <v>1261</v>
      </c>
      <c r="B625" s="1" t="s">
        <v>1262</v>
      </c>
      <c r="C625" s="1" t="s">
        <v>12</v>
      </c>
      <c r="D625" s="1" t="s">
        <v>1248</v>
      </c>
      <c r="E625" s="4">
        <v>1009366.0</v>
      </c>
      <c r="F625" s="2">
        <v>4.0</v>
      </c>
      <c r="G625" s="2" t="s">
        <v>1</v>
      </c>
      <c r="H625" s="2" t="s">
        <v>18</v>
      </c>
      <c r="I625" s="2" t="s">
        <v>15</v>
      </c>
      <c r="J625" s="2" t="s">
        <v>15</v>
      </c>
    </row>
    <row r="626" ht="15.75" customHeight="1">
      <c r="A626" s="1" t="s">
        <v>1263</v>
      </c>
      <c r="B626" s="1" t="s">
        <v>1264</v>
      </c>
      <c r="C626" s="1" t="s">
        <v>12</v>
      </c>
      <c r="D626" s="1" t="s">
        <v>1248</v>
      </c>
      <c r="E626" s="4">
        <v>1009366.0</v>
      </c>
      <c r="F626" s="2">
        <v>5.0</v>
      </c>
      <c r="G626" s="2" t="s">
        <v>1</v>
      </c>
      <c r="H626" s="2" t="s">
        <v>14</v>
      </c>
      <c r="I626" s="2" t="s">
        <v>15</v>
      </c>
      <c r="J626" s="2" t="s">
        <v>15</v>
      </c>
    </row>
    <row r="627" ht="15.75" customHeight="1">
      <c r="A627" s="1" t="s">
        <v>1265</v>
      </c>
      <c r="B627" s="1" t="s">
        <v>1266</v>
      </c>
      <c r="C627" s="1" t="s">
        <v>12</v>
      </c>
      <c r="D627" s="1" t="s">
        <v>1248</v>
      </c>
      <c r="E627" s="4">
        <v>1009366.0</v>
      </c>
      <c r="F627" s="2">
        <v>5.0</v>
      </c>
      <c r="G627" s="2" t="s">
        <v>1</v>
      </c>
      <c r="H627" s="2" t="s">
        <v>18</v>
      </c>
      <c r="I627" s="2" t="s">
        <v>15</v>
      </c>
      <c r="J627" s="2" t="s">
        <v>15</v>
      </c>
    </row>
    <row r="628" ht="15.75" customHeight="1">
      <c r="A628" s="1" t="s">
        <v>1267</v>
      </c>
      <c r="B628" s="1" t="s">
        <v>1268</v>
      </c>
      <c r="C628" s="1" t="s">
        <v>12</v>
      </c>
      <c r="D628" s="1" t="s">
        <v>1248</v>
      </c>
      <c r="E628" s="4">
        <v>1009366.0</v>
      </c>
      <c r="F628" s="2" t="s">
        <v>30</v>
      </c>
      <c r="G628" s="2" t="s">
        <v>1</v>
      </c>
      <c r="H628" s="2" t="s">
        <v>14</v>
      </c>
      <c r="I628" s="2" t="s">
        <v>15</v>
      </c>
      <c r="J628" s="2" t="s">
        <v>15</v>
      </c>
    </row>
    <row r="629" ht="15.75" customHeight="1">
      <c r="A629" s="1" t="s">
        <v>1269</v>
      </c>
      <c r="B629" s="1" t="s">
        <v>1270</v>
      </c>
      <c r="C629" s="1" t="s">
        <v>12</v>
      </c>
      <c r="D629" s="1" t="s">
        <v>1248</v>
      </c>
      <c r="E629" s="4">
        <v>1009366.0</v>
      </c>
      <c r="F629" s="2" t="s">
        <v>15</v>
      </c>
      <c r="G629" s="2" t="s">
        <v>33</v>
      </c>
      <c r="H629" s="2" t="s">
        <v>15</v>
      </c>
      <c r="I629" s="2" t="s">
        <v>15</v>
      </c>
      <c r="J629" s="2" t="s">
        <v>15</v>
      </c>
    </row>
    <row r="630" ht="15.75" customHeight="1">
      <c r="A630" s="1" t="s">
        <v>1271</v>
      </c>
      <c r="B630" s="1" t="s">
        <v>1272</v>
      </c>
      <c r="C630" s="1" t="s">
        <v>12</v>
      </c>
      <c r="D630" s="1" t="s">
        <v>1273</v>
      </c>
      <c r="E630" s="4">
        <v>1009430.0</v>
      </c>
      <c r="F630" s="2">
        <v>1.0</v>
      </c>
      <c r="G630" s="2" t="s">
        <v>1</v>
      </c>
      <c r="H630" s="2" t="s">
        <v>14</v>
      </c>
      <c r="I630" s="2" t="s">
        <v>15</v>
      </c>
      <c r="J630" s="2" t="s">
        <v>15</v>
      </c>
    </row>
    <row r="631" ht="15.75" customHeight="1">
      <c r="A631" s="1" t="s">
        <v>1274</v>
      </c>
      <c r="B631" s="1" t="s">
        <v>1275</v>
      </c>
      <c r="C631" s="1" t="s">
        <v>12</v>
      </c>
      <c r="D631" s="1" t="s">
        <v>1273</v>
      </c>
      <c r="E631" s="4">
        <v>1009430.0</v>
      </c>
      <c r="F631" s="2">
        <v>1.0</v>
      </c>
      <c r="G631" s="2" t="s">
        <v>1</v>
      </c>
      <c r="H631" s="2" t="s">
        <v>18</v>
      </c>
      <c r="I631" s="2" t="s">
        <v>15</v>
      </c>
      <c r="J631" s="2" t="s">
        <v>15</v>
      </c>
    </row>
    <row r="632" ht="15.75" customHeight="1">
      <c r="A632" s="1" t="s">
        <v>1276</v>
      </c>
      <c r="B632" s="1" t="s">
        <v>1277</v>
      </c>
      <c r="C632" s="1" t="s">
        <v>12</v>
      </c>
      <c r="D632" s="1" t="s">
        <v>1273</v>
      </c>
      <c r="E632" s="4">
        <v>1009430.0</v>
      </c>
      <c r="F632" s="2">
        <v>1.0</v>
      </c>
      <c r="G632" s="2" t="s">
        <v>1</v>
      </c>
      <c r="H632" s="2" t="s">
        <v>21</v>
      </c>
      <c r="I632" s="2" t="s">
        <v>15</v>
      </c>
      <c r="J632" s="2" t="s">
        <v>15</v>
      </c>
    </row>
    <row r="633" ht="15.75" customHeight="1">
      <c r="A633" s="1" t="s">
        <v>1278</v>
      </c>
      <c r="B633" s="1" t="s">
        <v>1279</v>
      </c>
      <c r="C633" s="1" t="s">
        <v>12</v>
      </c>
      <c r="D633" s="1" t="s">
        <v>1273</v>
      </c>
      <c r="E633" s="4">
        <v>1009430.0</v>
      </c>
      <c r="F633" s="2">
        <v>2.0</v>
      </c>
      <c r="G633" s="2" t="s">
        <v>1</v>
      </c>
      <c r="H633" s="2" t="s">
        <v>14</v>
      </c>
      <c r="I633" s="2" t="s">
        <v>15</v>
      </c>
      <c r="J633" s="2" t="s">
        <v>15</v>
      </c>
    </row>
    <row r="634" ht="15.75" customHeight="1">
      <c r="A634" s="1" t="s">
        <v>1280</v>
      </c>
      <c r="B634" s="1" t="s">
        <v>1281</v>
      </c>
      <c r="C634" s="1" t="s">
        <v>12</v>
      </c>
      <c r="D634" s="1" t="s">
        <v>1273</v>
      </c>
      <c r="E634" s="4">
        <v>1009430.0</v>
      </c>
      <c r="F634" s="2">
        <v>2.0</v>
      </c>
      <c r="G634" s="2" t="s">
        <v>1</v>
      </c>
      <c r="H634" s="2" t="s">
        <v>18</v>
      </c>
      <c r="I634" s="2" t="s">
        <v>15</v>
      </c>
      <c r="J634" s="2" t="s">
        <v>15</v>
      </c>
    </row>
    <row r="635" ht="15.75" customHeight="1">
      <c r="A635" s="1" t="s">
        <v>1282</v>
      </c>
      <c r="B635" s="1" t="s">
        <v>1283</v>
      </c>
      <c r="C635" s="1" t="s">
        <v>12</v>
      </c>
      <c r="D635" s="1" t="s">
        <v>1273</v>
      </c>
      <c r="E635" s="4">
        <v>1009430.0</v>
      </c>
      <c r="F635" s="2">
        <v>2.0</v>
      </c>
      <c r="G635" s="2" t="s">
        <v>1</v>
      </c>
      <c r="H635" s="2" t="s">
        <v>21</v>
      </c>
      <c r="I635" s="2" t="s">
        <v>15</v>
      </c>
      <c r="J635" s="2" t="s">
        <v>15</v>
      </c>
    </row>
    <row r="636" ht="15.75" customHeight="1">
      <c r="A636" s="1" t="s">
        <v>1284</v>
      </c>
      <c r="B636" s="1" t="s">
        <v>1285</v>
      </c>
      <c r="C636" s="1" t="s">
        <v>12</v>
      </c>
      <c r="D636" s="1" t="s">
        <v>1273</v>
      </c>
      <c r="E636" s="4">
        <v>1009430.0</v>
      </c>
      <c r="F636" s="2">
        <v>3.0</v>
      </c>
      <c r="G636" s="2" t="s">
        <v>1</v>
      </c>
      <c r="H636" s="2" t="s">
        <v>14</v>
      </c>
      <c r="I636" s="2" t="s">
        <v>15</v>
      </c>
      <c r="J636" s="2" t="s">
        <v>15</v>
      </c>
    </row>
    <row r="637" ht="15.75" customHeight="1">
      <c r="A637" s="1" t="s">
        <v>1286</v>
      </c>
      <c r="B637" s="1" t="s">
        <v>1287</v>
      </c>
      <c r="C637" s="1" t="s">
        <v>12</v>
      </c>
      <c r="D637" s="1" t="s">
        <v>1273</v>
      </c>
      <c r="E637" s="4">
        <v>1009430.0</v>
      </c>
      <c r="F637" s="2">
        <v>3.0</v>
      </c>
      <c r="G637" s="2" t="s">
        <v>1</v>
      </c>
      <c r="H637" s="2" t="s">
        <v>18</v>
      </c>
      <c r="I637" s="2" t="s">
        <v>15</v>
      </c>
      <c r="J637" s="2" t="s">
        <v>15</v>
      </c>
    </row>
    <row r="638" ht="15.75" customHeight="1">
      <c r="A638" s="1" t="s">
        <v>1288</v>
      </c>
      <c r="B638" s="1" t="s">
        <v>1289</v>
      </c>
      <c r="C638" s="1" t="s">
        <v>12</v>
      </c>
      <c r="D638" s="1" t="s">
        <v>1273</v>
      </c>
      <c r="E638" s="4">
        <v>1009430.0</v>
      </c>
      <c r="F638" s="2">
        <v>3.0</v>
      </c>
      <c r="G638" s="2" t="s">
        <v>1</v>
      </c>
      <c r="H638" s="2" t="s">
        <v>21</v>
      </c>
      <c r="I638" s="2" t="s">
        <v>15</v>
      </c>
      <c r="J638" s="2" t="s">
        <v>15</v>
      </c>
    </row>
    <row r="639" ht="15.75" customHeight="1">
      <c r="A639" s="1" t="s">
        <v>1290</v>
      </c>
      <c r="B639" s="1" t="s">
        <v>1291</v>
      </c>
      <c r="C639" s="1" t="s">
        <v>12</v>
      </c>
      <c r="D639" s="1" t="s">
        <v>1273</v>
      </c>
      <c r="E639" s="4">
        <v>1009430.0</v>
      </c>
      <c r="F639" s="2" t="s">
        <v>30</v>
      </c>
      <c r="G639" s="2" t="s">
        <v>1</v>
      </c>
      <c r="H639" s="2" t="s">
        <v>14</v>
      </c>
      <c r="I639" s="2" t="s">
        <v>15</v>
      </c>
      <c r="J639" s="2" t="s">
        <v>15</v>
      </c>
    </row>
    <row r="640" ht="15.75" customHeight="1">
      <c r="A640" s="1" t="s">
        <v>1292</v>
      </c>
      <c r="B640" s="1" t="s">
        <v>1293</v>
      </c>
      <c r="C640" s="1" t="s">
        <v>12</v>
      </c>
      <c r="D640" s="1" t="s">
        <v>1273</v>
      </c>
      <c r="E640" s="4">
        <v>1009430.0</v>
      </c>
      <c r="F640" s="2" t="s">
        <v>15</v>
      </c>
      <c r="G640" s="2" t="s">
        <v>33</v>
      </c>
      <c r="H640" s="2" t="s">
        <v>15</v>
      </c>
      <c r="I640" s="2" t="s">
        <v>15</v>
      </c>
      <c r="J640" s="2" t="s">
        <v>15</v>
      </c>
    </row>
    <row r="641" ht="15.75" customHeight="1">
      <c r="A641" s="1" t="s">
        <v>1294</v>
      </c>
      <c r="B641" s="1" t="s">
        <v>1295</v>
      </c>
      <c r="C641" s="1" t="s">
        <v>12</v>
      </c>
      <c r="D641" s="1" t="s">
        <v>1273</v>
      </c>
      <c r="E641" s="4">
        <v>1009430.0</v>
      </c>
      <c r="F641" s="2">
        <v>1.0</v>
      </c>
      <c r="G641" s="2" t="s">
        <v>1</v>
      </c>
      <c r="H641" s="2" t="s">
        <v>37</v>
      </c>
      <c r="I641" s="2" t="s">
        <v>15</v>
      </c>
      <c r="J641" s="2" t="s">
        <v>15</v>
      </c>
    </row>
    <row r="642" ht="15.75" customHeight="1">
      <c r="A642" s="1" t="s">
        <v>1296</v>
      </c>
      <c r="B642" s="1" t="s">
        <v>1297</v>
      </c>
      <c r="C642" s="1" t="s">
        <v>12</v>
      </c>
      <c r="D642" s="1" t="s">
        <v>1273</v>
      </c>
      <c r="E642" s="4">
        <v>1009430.0</v>
      </c>
      <c r="F642" s="2">
        <v>2.0</v>
      </c>
      <c r="G642" s="2" t="s">
        <v>1</v>
      </c>
      <c r="H642" s="2" t="s">
        <v>37</v>
      </c>
      <c r="I642" s="2" t="s">
        <v>15</v>
      </c>
      <c r="J642" s="2" t="s">
        <v>15</v>
      </c>
    </row>
    <row r="643" ht="15.75" customHeight="1">
      <c r="A643" s="1" t="s">
        <v>1298</v>
      </c>
      <c r="B643" s="1" t="s">
        <v>1299</v>
      </c>
      <c r="C643" s="1" t="s">
        <v>12</v>
      </c>
      <c r="D643" s="1" t="s">
        <v>1273</v>
      </c>
      <c r="E643" s="4">
        <v>1009430.0</v>
      </c>
      <c r="F643" s="2">
        <v>3.0</v>
      </c>
      <c r="G643" s="2" t="s">
        <v>1</v>
      </c>
      <c r="H643" s="2" t="s">
        <v>37</v>
      </c>
      <c r="I643" s="2" t="s">
        <v>15</v>
      </c>
      <c r="J643" s="2" t="s">
        <v>15</v>
      </c>
    </row>
    <row r="644" ht="15.75" customHeight="1">
      <c r="A644" s="1" t="s">
        <v>1300</v>
      </c>
      <c r="B644" s="1" t="s">
        <v>1301</v>
      </c>
      <c r="C644" s="1" t="s">
        <v>12</v>
      </c>
      <c r="D644" s="1" t="s">
        <v>1273</v>
      </c>
      <c r="E644" s="4">
        <v>1009430.0</v>
      </c>
      <c r="F644" s="2" t="s">
        <v>30</v>
      </c>
      <c r="G644" s="2" t="s">
        <v>1</v>
      </c>
      <c r="H644" s="2" t="s">
        <v>37</v>
      </c>
      <c r="I644" s="2" t="s">
        <v>15</v>
      </c>
      <c r="J644" s="2" t="s">
        <v>15</v>
      </c>
    </row>
    <row r="645" ht="15.75" customHeight="1">
      <c r="A645" s="1" t="s">
        <v>1302</v>
      </c>
      <c r="B645" s="1" t="s">
        <v>1303</v>
      </c>
      <c r="C645" s="1" t="s">
        <v>12</v>
      </c>
      <c r="D645" s="1" t="s">
        <v>1304</v>
      </c>
      <c r="E645" s="4">
        <v>1009494.0</v>
      </c>
      <c r="F645" s="2">
        <v>1.0</v>
      </c>
      <c r="G645" s="2" t="s">
        <v>1</v>
      </c>
      <c r="H645" s="2" t="s">
        <v>14</v>
      </c>
      <c r="I645" s="2" t="s">
        <v>15</v>
      </c>
      <c r="J645" s="2" t="s">
        <v>15</v>
      </c>
    </row>
    <row r="646" ht="15.75" customHeight="1">
      <c r="A646" s="1" t="s">
        <v>1305</v>
      </c>
      <c r="B646" s="1" t="s">
        <v>1306</v>
      </c>
      <c r="C646" s="1" t="s">
        <v>12</v>
      </c>
      <c r="D646" s="1" t="s">
        <v>1304</v>
      </c>
      <c r="E646" s="4">
        <v>1009494.0</v>
      </c>
      <c r="F646" s="2">
        <v>1.0</v>
      </c>
      <c r="G646" s="2" t="s">
        <v>1</v>
      </c>
      <c r="H646" s="2" t="s">
        <v>18</v>
      </c>
      <c r="I646" s="2" t="s">
        <v>15</v>
      </c>
      <c r="J646" s="2" t="s">
        <v>15</v>
      </c>
    </row>
    <row r="647" ht="15.75" customHeight="1">
      <c r="A647" s="1" t="s">
        <v>1307</v>
      </c>
      <c r="B647" s="1" t="s">
        <v>1308</v>
      </c>
      <c r="C647" s="1" t="s">
        <v>12</v>
      </c>
      <c r="D647" s="1" t="s">
        <v>1304</v>
      </c>
      <c r="E647" s="4">
        <v>1009494.0</v>
      </c>
      <c r="F647" s="2">
        <v>2.0</v>
      </c>
      <c r="G647" s="2" t="s">
        <v>1</v>
      </c>
      <c r="H647" s="2" t="s">
        <v>14</v>
      </c>
      <c r="I647" s="2" t="s">
        <v>15</v>
      </c>
      <c r="J647" s="2" t="s">
        <v>15</v>
      </c>
    </row>
    <row r="648" ht="15.75" customHeight="1">
      <c r="A648" s="1" t="s">
        <v>1309</v>
      </c>
      <c r="B648" s="1" t="s">
        <v>1310</v>
      </c>
      <c r="C648" s="1" t="s">
        <v>12</v>
      </c>
      <c r="D648" s="1" t="s">
        <v>1304</v>
      </c>
      <c r="E648" s="4">
        <v>1009494.0</v>
      </c>
      <c r="F648" s="2">
        <v>2.0</v>
      </c>
      <c r="G648" s="2" t="s">
        <v>1</v>
      </c>
      <c r="H648" s="2" t="s">
        <v>18</v>
      </c>
      <c r="I648" s="2" t="s">
        <v>15</v>
      </c>
      <c r="J648" s="2" t="s">
        <v>15</v>
      </c>
    </row>
    <row r="649" ht="15.75" customHeight="1">
      <c r="A649" s="1" t="s">
        <v>1311</v>
      </c>
      <c r="B649" s="1" t="s">
        <v>1312</v>
      </c>
      <c r="C649" s="1" t="s">
        <v>12</v>
      </c>
      <c r="D649" s="1" t="s">
        <v>1304</v>
      </c>
      <c r="E649" s="4">
        <v>1009494.0</v>
      </c>
      <c r="F649" s="2" t="s">
        <v>30</v>
      </c>
      <c r="G649" s="2" t="s">
        <v>1</v>
      </c>
      <c r="H649" s="2" t="s">
        <v>14</v>
      </c>
      <c r="I649" s="2" t="s">
        <v>15</v>
      </c>
      <c r="J649" s="2" t="s">
        <v>15</v>
      </c>
    </row>
    <row r="650" ht="15.75" customHeight="1">
      <c r="A650" s="1" t="s">
        <v>1313</v>
      </c>
      <c r="B650" s="1" t="s">
        <v>1314</v>
      </c>
      <c r="C650" s="1" t="s">
        <v>12</v>
      </c>
      <c r="D650" s="1" t="s">
        <v>1304</v>
      </c>
      <c r="E650" s="4">
        <v>1009494.0</v>
      </c>
      <c r="F650" s="2" t="s">
        <v>15</v>
      </c>
      <c r="G650" s="2" t="s">
        <v>33</v>
      </c>
      <c r="H650" s="2" t="s">
        <v>15</v>
      </c>
      <c r="I650" s="2" t="s">
        <v>15</v>
      </c>
      <c r="J650" s="2" t="s">
        <v>15</v>
      </c>
    </row>
    <row r="651" ht="15.75" customHeight="1">
      <c r="A651" s="1" t="s">
        <v>1315</v>
      </c>
      <c r="B651" s="1" t="s">
        <v>1316</v>
      </c>
      <c r="C651" s="1" t="s">
        <v>12</v>
      </c>
      <c r="D651" s="1" t="s">
        <v>1317</v>
      </c>
      <c r="E651" s="4">
        <v>1009558.0</v>
      </c>
      <c r="F651" s="2">
        <v>1.0</v>
      </c>
      <c r="G651" s="2" t="s">
        <v>1</v>
      </c>
      <c r="H651" s="2" t="s">
        <v>14</v>
      </c>
      <c r="I651" s="2" t="s">
        <v>15</v>
      </c>
      <c r="J651" s="2" t="s">
        <v>15</v>
      </c>
    </row>
    <row r="652" ht="15.75" customHeight="1">
      <c r="A652" s="1" t="s">
        <v>1318</v>
      </c>
      <c r="B652" s="1" t="s">
        <v>1319</v>
      </c>
      <c r="C652" s="1" t="s">
        <v>12</v>
      </c>
      <c r="D652" s="1" t="s">
        <v>1317</v>
      </c>
      <c r="E652" s="4">
        <v>1009558.0</v>
      </c>
      <c r="F652" s="2">
        <v>1.0</v>
      </c>
      <c r="G652" s="2" t="s">
        <v>1</v>
      </c>
      <c r="H652" s="2" t="s">
        <v>18</v>
      </c>
      <c r="I652" s="2" t="s">
        <v>15</v>
      </c>
      <c r="J652" s="2" t="s">
        <v>15</v>
      </c>
    </row>
    <row r="653" ht="15.75" customHeight="1">
      <c r="A653" s="1" t="s">
        <v>1320</v>
      </c>
      <c r="B653" s="1" t="s">
        <v>1321</v>
      </c>
      <c r="C653" s="1" t="s">
        <v>12</v>
      </c>
      <c r="D653" s="1" t="s">
        <v>1317</v>
      </c>
      <c r="E653" s="4">
        <v>1009558.0</v>
      </c>
      <c r="F653" s="2">
        <v>2.0</v>
      </c>
      <c r="G653" s="2" t="s">
        <v>1</v>
      </c>
      <c r="H653" s="2" t="s">
        <v>14</v>
      </c>
      <c r="I653" s="2" t="s">
        <v>15</v>
      </c>
      <c r="J653" s="2" t="s">
        <v>15</v>
      </c>
    </row>
    <row r="654" ht="15.75" customHeight="1">
      <c r="A654" s="1" t="s">
        <v>1322</v>
      </c>
      <c r="B654" s="1" t="s">
        <v>1323</v>
      </c>
      <c r="C654" s="1" t="s">
        <v>12</v>
      </c>
      <c r="D654" s="1" t="s">
        <v>1317</v>
      </c>
      <c r="E654" s="4">
        <v>1009558.0</v>
      </c>
      <c r="F654" s="2">
        <v>2.0</v>
      </c>
      <c r="G654" s="2" t="s">
        <v>1</v>
      </c>
      <c r="H654" s="2" t="s">
        <v>18</v>
      </c>
      <c r="I654" s="2" t="s">
        <v>15</v>
      </c>
      <c r="J654" s="2" t="s">
        <v>15</v>
      </c>
    </row>
    <row r="655" ht="15.75" customHeight="1">
      <c r="A655" s="1" t="s">
        <v>1324</v>
      </c>
      <c r="B655" s="1" t="s">
        <v>1325</v>
      </c>
      <c r="C655" s="1" t="s">
        <v>12</v>
      </c>
      <c r="D655" s="1" t="s">
        <v>1317</v>
      </c>
      <c r="E655" s="4">
        <v>1009558.0</v>
      </c>
      <c r="F655" s="2">
        <v>3.0</v>
      </c>
      <c r="G655" s="2" t="s">
        <v>1</v>
      </c>
      <c r="H655" s="2" t="s">
        <v>14</v>
      </c>
      <c r="I655" s="2" t="s">
        <v>15</v>
      </c>
      <c r="J655" s="2" t="s">
        <v>15</v>
      </c>
    </row>
    <row r="656" ht="15.75" customHeight="1">
      <c r="A656" s="1" t="s">
        <v>1326</v>
      </c>
      <c r="B656" s="1" t="s">
        <v>1327</v>
      </c>
      <c r="C656" s="1" t="s">
        <v>12</v>
      </c>
      <c r="D656" s="1" t="s">
        <v>1317</v>
      </c>
      <c r="E656" s="4">
        <v>1009558.0</v>
      </c>
      <c r="F656" s="2">
        <v>3.0</v>
      </c>
      <c r="G656" s="2" t="s">
        <v>1</v>
      </c>
      <c r="H656" s="2" t="s">
        <v>18</v>
      </c>
      <c r="I656" s="2" t="s">
        <v>15</v>
      </c>
      <c r="J656" s="2" t="s">
        <v>15</v>
      </c>
    </row>
    <row r="657" ht="15.75" customHeight="1">
      <c r="A657" s="1" t="s">
        <v>1328</v>
      </c>
      <c r="B657" s="1" t="s">
        <v>1329</v>
      </c>
      <c r="C657" s="1" t="s">
        <v>12</v>
      </c>
      <c r="D657" s="1" t="s">
        <v>1317</v>
      </c>
      <c r="E657" s="4">
        <v>1009558.0</v>
      </c>
      <c r="F657" s="2" t="s">
        <v>30</v>
      </c>
      <c r="G657" s="2" t="s">
        <v>1</v>
      </c>
      <c r="H657" s="2" t="s">
        <v>14</v>
      </c>
      <c r="I657" s="2" t="s">
        <v>15</v>
      </c>
      <c r="J657" s="2" t="s">
        <v>15</v>
      </c>
    </row>
    <row r="658" ht="15.75" customHeight="1">
      <c r="A658" s="1" t="s">
        <v>1330</v>
      </c>
      <c r="B658" s="1" t="s">
        <v>1331</v>
      </c>
      <c r="C658" s="1" t="s">
        <v>12</v>
      </c>
      <c r="D658" s="1" t="s">
        <v>1317</v>
      </c>
      <c r="E658" s="4">
        <v>1009558.0</v>
      </c>
      <c r="F658" s="2" t="s">
        <v>15</v>
      </c>
      <c r="G658" s="2" t="s">
        <v>33</v>
      </c>
      <c r="H658" s="2" t="s">
        <v>15</v>
      </c>
      <c r="I658" s="2" t="s">
        <v>15</v>
      </c>
      <c r="J658" s="2" t="s">
        <v>15</v>
      </c>
    </row>
    <row r="659" ht="15.75" customHeight="1">
      <c r="A659" s="1" t="s">
        <v>1332</v>
      </c>
      <c r="B659" s="1" t="s">
        <v>1333</v>
      </c>
      <c r="C659" s="1" t="s">
        <v>12</v>
      </c>
      <c r="D659" s="1" t="s">
        <v>1334</v>
      </c>
      <c r="E659" s="4">
        <v>1009622.0</v>
      </c>
      <c r="F659" s="2">
        <v>1.0</v>
      </c>
      <c r="G659" s="2" t="s">
        <v>1</v>
      </c>
      <c r="H659" s="2" t="s">
        <v>14</v>
      </c>
      <c r="I659" s="2" t="s">
        <v>15</v>
      </c>
      <c r="J659" s="2" t="s">
        <v>15</v>
      </c>
    </row>
    <row r="660" ht="15.75" customHeight="1">
      <c r="A660" s="1" t="s">
        <v>1335</v>
      </c>
      <c r="B660" s="1" t="s">
        <v>1336</v>
      </c>
      <c r="C660" s="1" t="s">
        <v>12</v>
      </c>
      <c r="D660" s="1" t="s">
        <v>1334</v>
      </c>
      <c r="E660" s="4">
        <v>1009622.0</v>
      </c>
      <c r="F660" s="2">
        <v>1.0</v>
      </c>
      <c r="G660" s="2" t="s">
        <v>1</v>
      </c>
      <c r="H660" s="2" t="s">
        <v>18</v>
      </c>
      <c r="I660" s="2" t="s">
        <v>15</v>
      </c>
      <c r="J660" s="2" t="s">
        <v>15</v>
      </c>
    </row>
    <row r="661" ht="15.75" customHeight="1">
      <c r="A661" s="1" t="s">
        <v>1337</v>
      </c>
      <c r="B661" s="1" t="s">
        <v>1338</v>
      </c>
      <c r="C661" s="1" t="s">
        <v>12</v>
      </c>
      <c r="D661" s="1" t="s">
        <v>1334</v>
      </c>
      <c r="E661" s="4">
        <v>1009622.0</v>
      </c>
      <c r="F661" s="2">
        <v>2.0</v>
      </c>
      <c r="G661" s="2" t="s">
        <v>1</v>
      </c>
      <c r="H661" s="2" t="s">
        <v>14</v>
      </c>
      <c r="I661" s="2" t="s">
        <v>15</v>
      </c>
      <c r="J661" s="2" t="s">
        <v>15</v>
      </c>
    </row>
    <row r="662" ht="15.75" customHeight="1">
      <c r="A662" s="1" t="s">
        <v>1339</v>
      </c>
      <c r="B662" s="1" t="s">
        <v>1340</v>
      </c>
      <c r="C662" s="1" t="s">
        <v>12</v>
      </c>
      <c r="D662" s="1" t="s">
        <v>1334</v>
      </c>
      <c r="E662" s="4">
        <v>1009622.0</v>
      </c>
      <c r="F662" s="2">
        <v>2.0</v>
      </c>
      <c r="G662" s="2" t="s">
        <v>1</v>
      </c>
      <c r="H662" s="2" t="s">
        <v>18</v>
      </c>
      <c r="I662" s="2" t="s">
        <v>15</v>
      </c>
      <c r="J662" s="2" t="s">
        <v>15</v>
      </c>
    </row>
    <row r="663" ht="15.75" customHeight="1">
      <c r="A663" s="1" t="s">
        <v>1341</v>
      </c>
      <c r="B663" s="1" t="s">
        <v>1342</v>
      </c>
      <c r="C663" s="1" t="s">
        <v>12</v>
      </c>
      <c r="D663" s="1" t="s">
        <v>1334</v>
      </c>
      <c r="E663" s="4">
        <v>1009622.0</v>
      </c>
      <c r="F663" s="2" t="s">
        <v>30</v>
      </c>
      <c r="G663" s="2" t="s">
        <v>1</v>
      </c>
      <c r="H663" s="2" t="s">
        <v>14</v>
      </c>
      <c r="I663" s="2" t="s">
        <v>15</v>
      </c>
      <c r="J663" s="2" t="s">
        <v>15</v>
      </c>
    </row>
    <row r="664" ht="15.75" customHeight="1">
      <c r="A664" s="1" t="s">
        <v>1343</v>
      </c>
      <c r="B664" s="1" t="s">
        <v>1344</v>
      </c>
      <c r="C664" s="1" t="s">
        <v>12</v>
      </c>
      <c r="D664" s="1" t="s">
        <v>1334</v>
      </c>
      <c r="E664" s="4">
        <v>1009622.0</v>
      </c>
      <c r="F664" s="2" t="s">
        <v>15</v>
      </c>
      <c r="G664" s="2" t="s">
        <v>33</v>
      </c>
      <c r="H664" s="2" t="s">
        <v>15</v>
      </c>
      <c r="I664" s="2" t="s">
        <v>15</v>
      </c>
      <c r="J664" s="2" t="s">
        <v>15</v>
      </c>
    </row>
    <row r="665" ht="15.75" customHeight="1">
      <c r="A665" s="1" t="s">
        <v>1345</v>
      </c>
      <c r="B665" s="1" t="s">
        <v>1346</v>
      </c>
      <c r="C665" s="1" t="s">
        <v>12</v>
      </c>
      <c r="D665" s="1" t="s">
        <v>1347</v>
      </c>
      <c r="E665" s="4">
        <v>1009686.0</v>
      </c>
      <c r="F665" s="2" t="s">
        <v>36</v>
      </c>
      <c r="G665" s="2" t="s">
        <v>1</v>
      </c>
      <c r="H665" s="2" t="s">
        <v>14</v>
      </c>
      <c r="I665" s="2" t="s">
        <v>15</v>
      </c>
      <c r="J665" s="2" t="s">
        <v>15</v>
      </c>
    </row>
    <row r="666" ht="15.75" customHeight="1">
      <c r="A666" s="1" t="s">
        <v>1348</v>
      </c>
      <c r="B666" s="1" t="s">
        <v>1349</v>
      </c>
      <c r="C666" s="1" t="s">
        <v>12</v>
      </c>
      <c r="D666" s="1" t="s">
        <v>1347</v>
      </c>
      <c r="E666" s="4">
        <v>1009686.0</v>
      </c>
      <c r="F666" s="2" t="s">
        <v>36</v>
      </c>
      <c r="G666" s="2" t="s">
        <v>1</v>
      </c>
      <c r="H666" s="2" t="s">
        <v>18</v>
      </c>
      <c r="I666" s="2" t="s">
        <v>15</v>
      </c>
      <c r="J666" s="2" t="s">
        <v>15</v>
      </c>
    </row>
    <row r="667" ht="15.75" customHeight="1">
      <c r="A667" s="1" t="s">
        <v>1350</v>
      </c>
      <c r="B667" s="1" t="s">
        <v>1351</v>
      </c>
      <c r="C667" s="1" t="s">
        <v>12</v>
      </c>
      <c r="D667" s="1" t="s">
        <v>1347</v>
      </c>
      <c r="E667" s="4">
        <v>1009686.0</v>
      </c>
      <c r="F667" s="2">
        <v>1.0</v>
      </c>
      <c r="G667" s="2" t="s">
        <v>1</v>
      </c>
      <c r="H667" s="2" t="s">
        <v>14</v>
      </c>
      <c r="I667" s="2" t="s">
        <v>15</v>
      </c>
      <c r="J667" s="2" t="s">
        <v>15</v>
      </c>
    </row>
    <row r="668" ht="15.75" customHeight="1">
      <c r="A668" s="1" t="s">
        <v>1352</v>
      </c>
      <c r="B668" s="1" t="s">
        <v>1353</v>
      </c>
      <c r="C668" s="1" t="s">
        <v>12</v>
      </c>
      <c r="D668" s="1" t="s">
        <v>1347</v>
      </c>
      <c r="E668" s="4">
        <v>1009686.0</v>
      </c>
      <c r="F668" s="2">
        <v>1.0</v>
      </c>
      <c r="G668" s="2" t="s">
        <v>1</v>
      </c>
      <c r="H668" s="2" t="s">
        <v>18</v>
      </c>
      <c r="I668" s="2" t="s">
        <v>15</v>
      </c>
      <c r="J668" s="2" t="s">
        <v>15</v>
      </c>
    </row>
    <row r="669" ht="15.75" customHeight="1">
      <c r="A669" s="1" t="s">
        <v>1354</v>
      </c>
      <c r="B669" s="1" t="s">
        <v>1355</v>
      </c>
      <c r="C669" s="1" t="s">
        <v>12</v>
      </c>
      <c r="D669" s="1" t="s">
        <v>1347</v>
      </c>
      <c r="E669" s="4">
        <v>1009686.0</v>
      </c>
      <c r="F669" s="2">
        <v>2.0</v>
      </c>
      <c r="G669" s="2" t="s">
        <v>1</v>
      </c>
      <c r="H669" s="2" t="s">
        <v>14</v>
      </c>
      <c r="I669" s="2" t="s">
        <v>15</v>
      </c>
      <c r="J669" s="2" t="s">
        <v>15</v>
      </c>
    </row>
    <row r="670" ht="15.75" customHeight="1">
      <c r="A670" s="1" t="s">
        <v>1356</v>
      </c>
      <c r="B670" s="1" t="s">
        <v>1357</v>
      </c>
      <c r="C670" s="1" t="s">
        <v>12</v>
      </c>
      <c r="D670" s="1" t="s">
        <v>1347</v>
      </c>
      <c r="E670" s="4">
        <v>1009686.0</v>
      </c>
      <c r="F670" s="2">
        <v>2.0</v>
      </c>
      <c r="G670" s="2" t="s">
        <v>1</v>
      </c>
      <c r="H670" s="2" t="s">
        <v>18</v>
      </c>
      <c r="I670" s="2" t="s">
        <v>15</v>
      </c>
      <c r="J670" s="2" t="s">
        <v>15</v>
      </c>
    </row>
    <row r="671" ht="15.75" customHeight="1">
      <c r="A671" s="1" t="s">
        <v>1358</v>
      </c>
      <c r="B671" s="1" t="s">
        <v>1359</v>
      </c>
      <c r="C671" s="1" t="s">
        <v>12</v>
      </c>
      <c r="D671" s="1" t="s">
        <v>1347</v>
      </c>
      <c r="E671" s="4">
        <v>1009686.0</v>
      </c>
      <c r="F671" s="2" t="s">
        <v>30</v>
      </c>
      <c r="G671" s="2" t="s">
        <v>1</v>
      </c>
      <c r="H671" s="2" t="s">
        <v>14</v>
      </c>
      <c r="I671" s="2" t="s">
        <v>15</v>
      </c>
      <c r="J671" s="2" t="s">
        <v>15</v>
      </c>
    </row>
    <row r="672" ht="15.75" customHeight="1">
      <c r="A672" s="1" t="s">
        <v>1360</v>
      </c>
      <c r="B672" s="1" t="s">
        <v>1361</v>
      </c>
      <c r="C672" s="1" t="s">
        <v>12</v>
      </c>
      <c r="D672" s="1" t="s">
        <v>1347</v>
      </c>
      <c r="E672" s="4">
        <v>1009686.0</v>
      </c>
      <c r="F672" s="2" t="s">
        <v>15</v>
      </c>
      <c r="G672" s="2" t="s">
        <v>33</v>
      </c>
      <c r="H672" s="2" t="s">
        <v>15</v>
      </c>
      <c r="I672" s="2" t="s">
        <v>15</v>
      </c>
      <c r="J672" s="2" t="s">
        <v>15</v>
      </c>
    </row>
    <row r="673" ht="15.75" customHeight="1">
      <c r="A673" s="1" t="s">
        <v>1362</v>
      </c>
      <c r="B673" s="3" t="s">
        <v>1363</v>
      </c>
      <c r="C673" s="1" t="s">
        <v>12</v>
      </c>
      <c r="D673" s="1" t="s">
        <v>1364</v>
      </c>
      <c r="E673" s="4">
        <v>1009750.0</v>
      </c>
      <c r="F673" s="2">
        <v>1.0</v>
      </c>
      <c r="G673" s="2" t="s">
        <v>1</v>
      </c>
      <c r="H673" s="2" t="s">
        <v>14</v>
      </c>
      <c r="I673" s="5" t="str">
        <f>IFERROR(
  MID(
    SUBSTITUTE(B673, CHAR(10), ""),
    FIND("_Gross ROI=", SUBSTITUTE(B673, CHAR(10), "")) + LEN("_Gross ROI="),
    FIND("%", SUBSTITUTE(B673, CHAR(10), ""), FIND("_Gross ROI=", SUBSTITUTE(B673, CHAR(10), "")))
      - FIND("_Gross ROI=", SUBSTITUTE(B673, CHAR(10), "")) - LEN("_Gross ROI=") + 1
  ),
  ""
)</f>
        <v>5.94%</v>
      </c>
      <c r="J673" s="5" t="str">
        <f>IFERROR(
  MID(
    SUBSTITUTE(B673, CHAR(10), ""),
    FIND("_Median annual rent=", SUBSTITUTE(B673, CHAR(10), "")) + LEN("_Median annual rent="),
    FIND("K", SUBSTITUTE(B673, CHAR(10), ""), FIND("_Median annual rent=", SUBSTITUTE(B673, CHAR(10), "")))
      - FIND("_Median annual rent=", SUBSTITUTE(B673, CHAR(10), "")) - LEN("_Median annual rent=") + 1
  ),
  "")</f>
        <v>139.5K</v>
      </c>
    </row>
    <row r="674" ht="15.75" customHeight="1">
      <c r="A674" s="1" t="s">
        <v>1365</v>
      </c>
      <c r="B674" s="1" t="s">
        <v>1366</v>
      </c>
      <c r="C674" s="1" t="s">
        <v>12</v>
      </c>
      <c r="D674" s="1" t="s">
        <v>1364</v>
      </c>
      <c r="E674" s="4">
        <v>1009750.0</v>
      </c>
      <c r="F674" s="2">
        <v>1.0</v>
      </c>
      <c r="G674" s="2" t="s">
        <v>1</v>
      </c>
      <c r="H674" s="2" t="s">
        <v>18</v>
      </c>
      <c r="I674" s="2" t="s">
        <v>15</v>
      </c>
      <c r="J674" s="2" t="s">
        <v>15</v>
      </c>
    </row>
    <row r="675" ht="15.75" customHeight="1">
      <c r="A675" s="1" t="s">
        <v>1367</v>
      </c>
      <c r="B675" s="1" t="s">
        <v>1368</v>
      </c>
      <c r="C675" s="1" t="s">
        <v>12</v>
      </c>
      <c r="D675" s="1" t="s">
        <v>1364</v>
      </c>
      <c r="E675" s="4">
        <v>1009750.0</v>
      </c>
      <c r="F675" s="2">
        <v>1.0</v>
      </c>
      <c r="G675" s="2" t="s">
        <v>1</v>
      </c>
      <c r="H675" s="2" t="s">
        <v>53</v>
      </c>
      <c r="I675" s="2" t="s">
        <v>15</v>
      </c>
      <c r="J675" s="2" t="s">
        <v>15</v>
      </c>
    </row>
    <row r="676" ht="15.75" customHeight="1">
      <c r="A676" s="1" t="s">
        <v>1369</v>
      </c>
      <c r="B676" s="3" t="s">
        <v>1370</v>
      </c>
      <c r="C676" s="1" t="s">
        <v>12</v>
      </c>
      <c r="D676" s="1" t="s">
        <v>1364</v>
      </c>
      <c r="E676" s="4">
        <v>1009750.0</v>
      </c>
      <c r="F676" s="2">
        <v>2.0</v>
      </c>
      <c r="G676" s="2" t="s">
        <v>1</v>
      </c>
      <c r="H676" s="2" t="s">
        <v>14</v>
      </c>
      <c r="I676" s="5" t="str">
        <f>IFERROR(
  MID(
    SUBSTITUTE(B676, CHAR(10), ""),
    FIND("_Gross ROI=", SUBSTITUTE(B676, CHAR(10), "")) + LEN("_Gross ROI="),
    FIND("%", SUBSTITUTE(B676, CHAR(10), ""), FIND("_Gross ROI=", SUBSTITUTE(B676, CHAR(10), "")))
      - FIND("_Gross ROI=", SUBSTITUTE(B676, CHAR(10), "")) - LEN("_Gross ROI=") + 1
  ),
  ""
)</f>
        <v>5.51%</v>
      </c>
      <c r="J676" s="5" t="str">
        <f>IFERROR(
  MID(
    SUBSTITUTE(B676, CHAR(10), ""),
    FIND("_Median annual rent=", SUBSTITUTE(B676, CHAR(10), "")) + LEN("_Median annual rent="),
    FIND("K", SUBSTITUTE(B676, CHAR(10), ""), FIND("_Median annual rent=", SUBSTITUTE(B676, CHAR(10), "")))
      - FIND("_Median annual rent=", SUBSTITUTE(B676, CHAR(10), "")) - LEN("_Median annual rent=") + 1
  ),
  "")</f>
        <v>197.5K</v>
      </c>
    </row>
    <row r="677" ht="15.75" customHeight="1">
      <c r="A677" s="1" t="s">
        <v>1371</v>
      </c>
      <c r="B677" s="1" t="s">
        <v>1372</v>
      </c>
      <c r="C677" s="1" t="s">
        <v>12</v>
      </c>
      <c r="D677" s="1" t="s">
        <v>1364</v>
      </c>
      <c r="E677" s="4">
        <v>1009750.0</v>
      </c>
      <c r="F677" s="2">
        <v>2.0</v>
      </c>
      <c r="G677" s="2" t="s">
        <v>1</v>
      </c>
      <c r="H677" s="2" t="s">
        <v>18</v>
      </c>
      <c r="I677" s="2" t="s">
        <v>15</v>
      </c>
      <c r="J677" s="2" t="s">
        <v>15</v>
      </c>
    </row>
    <row r="678" ht="15.75" customHeight="1">
      <c r="A678" s="1" t="s">
        <v>1373</v>
      </c>
      <c r="B678" s="1" t="s">
        <v>1374</v>
      </c>
      <c r="C678" s="1" t="s">
        <v>12</v>
      </c>
      <c r="D678" s="1" t="s">
        <v>1364</v>
      </c>
      <c r="E678" s="4">
        <v>1009750.0</v>
      </c>
      <c r="F678" s="2">
        <v>2.0</v>
      </c>
      <c r="G678" s="2" t="s">
        <v>1</v>
      </c>
      <c r="H678" s="2" t="s">
        <v>53</v>
      </c>
      <c r="I678" s="2" t="s">
        <v>15</v>
      </c>
      <c r="J678" s="2" t="s">
        <v>15</v>
      </c>
    </row>
    <row r="679" ht="15.75" customHeight="1">
      <c r="A679" s="1" t="s">
        <v>1375</v>
      </c>
      <c r="B679" s="1" t="s">
        <v>1376</v>
      </c>
      <c r="C679" s="1" t="s">
        <v>12</v>
      </c>
      <c r="D679" s="1" t="s">
        <v>1364</v>
      </c>
      <c r="E679" s="4">
        <v>1009750.0</v>
      </c>
      <c r="F679" s="2">
        <v>3.0</v>
      </c>
      <c r="G679" s="2" t="s">
        <v>1</v>
      </c>
      <c r="H679" s="2" t="s">
        <v>14</v>
      </c>
      <c r="I679" s="5" t="str">
        <f>IFERROR(
  MID(
    SUBSTITUTE(B679, CHAR(10), ""),
    FIND("_Gross ROI=", SUBSTITUTE(B679, CHAR(10), "")) + LEN("_Gross ROI="),
    FIND("%", SUBSTITUTE(B679, CHAR(10), ""), FIND("_Gross ROI=", SUBSTITUTE(B679, CHAR(10), "")))
      - FIND("_Gross ROI=", SUBSTITUTE(B679, CHAR(10), "")) - LEN("_Gross ROI=") + 1
  ),
  ""
)</f>
        <v>4.63%</v>
      </c>
      <c r="J679" s="5" t="str">
        <f>IFERROR(
  MID(
    SUBSTITUTE(B679, CHAR(10), ""),
    FIND("_Median annual rent=", SUBSTITUTE(B679, CHAR(10), "")) + LEN("_Median annual rent="),
    FIND("K", SUBSTITUTE(B679, CHAR(10), ""), FIND("_Median annual rent=", SUBSTITUTE(B679, CHAR(10), "")))
      - FIND("_Median annual rent=", SUBSTITUTE(B679, CHAR(10), "")) - LEN("_Median annual rent=") + 1
  ),
  "")</f>
        <v>342.5K</v>
      </c>
    </row>
    <row r="680" ht="15.75" customHeight="1">
      <c r="A680" s="1" t="s">
        <v>1377</v>
      </c>
      <c r="B680" s="1" t="s">
        <v>1378</v>
      </c>
      <c r="C680" s="1" t="s">
        <v>12</v>
      </c>
      <c r="D680" s="1" t="s">
        <v>1364</v>
      </c>
      <c r="E680" s="4">
        <v>1009750.0</v>
      </c>
      <c r="F680" s="2">
        <v>3.0</v>
      </c>
      <c r="G680" s="2" t="s">
        <v>1</v>
      </c>
      <c r="H680" s="2" t="s">
        <v>18</v>
      </c>
      <c r="I680" s="2" t="s">
        <v>15</v>
      </c>
      <c r="J680" s="2" t="s">
        <v>15</v>
      </c>
    </row>
    <row r="681" ht="15.75" customHeight="1">
      <c r="A681" s="1" t="s">
        <v>1379</v>
      </c>
      <c r="B681" s="1" t="s">
        <v>1380</v>
      </c>
      <c r="C681" s="1" t="s">
        <v>12</v>
      </c>
      <c r="D681" s="1" t="s">
        <v>1364</v>
      </c>
      <c r="E681" s="4">
        <v>1009750.0</v>
      </c>
      <c r="F681" s="2">
        <v>3.0</v>
      </c>
      <c r="G681" s="2" t="s">
        <v>1</v>
      </c>
      <c r="H681" s="2" t="s">
        <v>53</v>
      </c>
      <c r="I681" s="2" t="s">
        <v>15</v>
      </c>
      <c r="J681" s="2" t="s">
        <v>15</v>
      </c>
    </row>
    <row r="682" ht="15.75" customHeight="1">
      <c r="A682" s="1" t="s">
        <v>1381</v>
      </c>
      <c r="B682" s="1" t="s">
        <v>1382</v>
      </c>
      <c r="C682" s="1" t="s">
        <v>12</v>
      </c>
      <c r="D682" s="1" t="s">
        <v>1364</v>
      </c>
      <c r="E682" s="4">
        <v>1009750.0</v>
      </c>
      <c r="F682" s="2" t="s">
        <v>15</v>
      </c>
      <c r="G682" s="2" t="s">
        <v>1</v>
      </c>
      <c r="H682" s="2" t="s">
        <v>53</v>
      </c>
      <c r="I682" s="2" t="s">
        <v>15</v>
      </c>
      <c r="J682" s="2" t="s">
        <v>15</v>
      </c>
    </row>
    <row r="683" ht="15.75" customHeight="1">
      <c r="A683" s="1" t="s">
        <v>1383</v>
      </c>
      <c r="B683" s="1" t="s">
        <v>1384</v>
      </c>
      <c r="C683" s="1" t="s">
        <v>12</v>
      </c>
      <c r="D683" s="1" t="s">
        <v>1364</v>
      </c>
      <c r="E683" s="4">
        <v>1009750.0</v>
      </c>
      <c r="F683" s="2">
        <v>5.0</v>
      </c>
      <c r="G683" s="2" t="s">
        <v>1</v>
      </c>
      <c r="H683" s="2" t="s">
        <v>14</v>
      </c>
      <c r="I683" s="2" t="s">
        <v>15</v>
      </c>
      <c r="J683" s="2" t="s">
        <v>15</v>
      </c>
    </row>
    <row r="684" ht="15.75" customHeight="1">
      <c r="A684" s="1" t="s">
        <v>1385</v>
      </c>
      <c r="B684" s="1" t="s">
        <v>1386</v>
      </c>
      <c r="C684" s="1" t="s">
        <v>12</v>
      </c>
      <c r="D684" s="1" t="s">
        <v>1364</v>
      </c>
      <c r="E684" s="4">
        <v>1009750.0</v>
      </c>
      <c r="F684" s="2">
        <v>5.0</v>
      </c>
      <c r="G684" s="2" t="s">
        <v>1</v>
      </c>
      <c r="H684" s="2" t="s">
        <v>18</v>
      </c>
      <c r="I684" s="2" t="s">
        <v>15</v>
      </c>
      <c r="J684" s="2" t="s">
        <v>15</v>
      </c>
    </row>
    <row r="685" ht="15.75" customHeight="1">
      <c r="A685" s="1" t="s">
        <v>1387</v>
      </c>
      <c r="B685" s="1" t="s">
        <v>1388</v>
      </c>
      <c r="C685" s="1" t="s">
        <v>12</v>
      </c>
      <c r="D685" s="1" t="s">
        <v>1364</v>
      </c>
      <c r="E685" s="4">
        <v>1009750.0</v>
      </c>
      <c r="F685" s="2" t="s">
        <v>15</v>
      </c>
      <c r="G685" s="2" t="s">
        <v>1</v>
      </c>
      <c r="H685" s="2" t="s">
        <v>53</v>
      </c>
      <c r="I685" s="2" t="s">
        <v>15</v>
      </c>
      <c r="J685" s="2" t="s">
        <v>15</v>
      </c>
    </row>
    <row r="686" ht="15.75" customHeight="1">
      <c r="A686" s="1" t="s">
        <v>1389</v>
      </c>
      <c r="B686" s="1" t="s">
        <v>1390</v>
      </c>
      <c r="C686" s="1" t="s">
        <v>12</v>
      </c>
      <c r="D686" s="1" t="s">
        <v>1364</v>
      </c>
      <c r="E686" s="4">
        <v>1009750.0</v>
      </c>
      <c r="F686" s="2" t="s">
        <v>15</v>
      </c>
      <c r="G686" s="2" t="s">
        <v>1</v>
      </c>
      <c r="H686" s="2" t="s">
        <v>53</v>
      </c>
      <c r="I686" s="2" t="s">
        <v>15</v>
      </c>
      <c r="J686" s="2" t="s">
        <v>15</v>
      </c>
    </row>
    <row r="687" ht="15.75" customHeight="1">
      <c r="A687" s="1" t="s">
        <v>1391</v>
      </c>
      <c r="B687" s="1" t="s">
        <v>1392</v>
      </c>
      <c r="C687" s="1" t="s">
        <v>12</v>
      </c>
      <c r="D687" s="1" t="s">
        <v>1364</v>
      </c>
      <c r="E687" s="4">
        <v>1009750.0</v>
      </c>
      <c r="F687" s="2" t="s">
        <v>15</v>
      </c>
      <c r="G687" s="2" t="s">
        <v>1</v>
      </c>
      <c r="H687" s="2" t="s">
        <v>53</v>
      </c>
      <c r="I687" s="2" t="s">
        <v>15</v>
      </c>
      <c r="J687" s="2" t="s">
        <v>15</v>
      </c>
    </row>
    <row r="688" ht="15.75" customHeight="1">
      <c r="A688" s="1" t="s">
        <v>1393</v>
      </c>
      <c r="B688" s="1" t="s">
        <v>1394</v>
      </c>
      <c r="C688" s="1" t="s">
        <v>12</v>
      </c>
      <c r="D688" s="1" t="s">
        <v>1364</v>
      </c>
      <c r="E688" s="4">
        <v>1009750.0</v>
      </c>
      <c r="F688" s="2" t="s">
        <v>30</v>
      </c>
      <c r="G688" s="2" t="s">
        <v>1</v>
      </c>
      <c r="H688" s="2" t="s">
        <v>53</v>
      </c>
      <c r="I688" s="2" t="s">
        <v>15</v>
      </c>
      <c r="J688" s="2" t="s">
        <v>15</v>
      </c>
    </row>
    <row r="689" ht="15.75" customHeight="1">
      <c r="A689" s="1" t="s">
        <v>1395</v>
      </c>
      <c r="B689" s="1" t="s">
        <v>1396</v>
      </c>
      <c r="C689" s="1" t="s">
        <v>12</v>
      </c>
      <c r="D689" s="1" t="s">
        <v>1364</v>
      </c>
      <c r="E689" s="4">
        <v>1009750.0</v>
      </c>
      <c r="F689" s="2" t="s">
        <v>30</v>
      </c>
      <c r="G689" s="2" t="s">
        <v>1</v>
      </c>
      <c r="H689" s="2" t="s">
        <v>14</v>
      </c>
      <c r="I689" s="2" t="s">
        <v>15</v>
      </c>
      <c r="J689" s="2" t="s">
        <v>15</v>
      </c>
    </row>
    <row r="690" ht="15.75" customHeight="1">
      <c r="A690" s="1" t="s">
        <v>1397</v>
      </c>
      <c r="B690" s="1" t="s">
        <v>1398</v>
      </c>
      <c r="C690" s="1" t="s">
        <v>12</v>
      </c>
      <c r="D690" s="1" t="s">
        <v>1364</v>
      </c>
      <c r="E690" s="4">
        <v>1009750.0</v>
      </c>
      <c r="F690" s="2" t="s">
        <v>15</v>
      </c>
      <c r="G690" s="2" t="s">
        <v>33</v>
      </c>
      <c r="H690" s="2" t="s">
        <v>15</v>
      </c>
      <c r="I690" s="2" t="s">
        <v>15</v>
      </c>
      <c r="J690" s="2" t="s">
        <v>15</v>
      </c>
    </row>
    <row r="691" ht="15.75" customHeight="1">
      <c r="A691" s="1" t="s">
        <v>1399</v>
      </c>
      <c r="B691" s="1" t="s">
        <v>1400</v>
      </c>
      <c r="C691" s="1" t="s">
        <v>12</v>
      </c>
      <c r="D691" s="1" t="s">
        <v>1401</v>
      </c>
      <c r="E691" s="4">
        <v>1009814.0</v>
      </c>
      <c r="F691" s="2">
        <v>1.0</v>
      </c>
      <c r="G691" s="2" t="s">
        <v>1</v>
      </c>
      <c r="H691" s="2" t="s">
        <v>14</v>
      </c>
      <c r="I691" s="5" t="str">
        <f>IFERROR(
  MID(
    SUBSTITUTE(B691, CHAR(10), ""),
    FIND("_Gross ROI=", SUBSTITUTE(B691, CHAR(10), "")) + LEN("_Gross ROI="),
    FIND("%", SUBSTITUTE(B691, CHAR(10), ""), FIND("_Gross ROI=", SUBSTITUTE(B691, CHAR(10), "")))
      - FIND("_Gross ROI=", SUBSTITUTE(B691, CHAR(10), "")) - LEN("_Gross ROI=") + 1
  ),
  ""
)</f>
        <v>6.12%</v>
      </c>
      <c r="J691" s="5" t="str">
        <f>IFERROR(
  MID(
    SUBSTITUTE(B691, CHAR(10), ""),
    FIND("_Median annual rent=", SUBSTITUTE(B691, CHAR(10), "")) + LEN("_Median annual rent="),
    FIND("K", SUBSTITUTE(B691, CHAR(10), ""), FIND("_Median annual rent=", SUBSTITUTE(B691, CHAR(10), "")))
      - FIND("_Median annual rent=", SUBSTITUTE(B691, CHAR(10), "")) - LEN("_Median annual rent=") + 1
  ),
  "")</f>
        <v>139.5K</v>
      </c>
    </row>
    <row r="692" ht="15.75" customHeight="1">
      <c r="A692" s="1" t="s">
        <v>1402</v>
      </c>
      <c r="B692" s="1" t="s">
        <v>1403</v>
      </c>
      <c r="C692" s="1" t="s">
        <v>12</v>
      </c>
      <c r="D692" s="1" t="s">
        <v>1401</v>
      </c>
      <c r="E692" s="4">
        <v>1009814.0</v>
      </c>
      <c r="F692" s="2">
        <v>1.0</v>
      </c>
      <c r="G692" s="2" t="s">
        <v>1</v>
      </c>
      <c r="H692" s="2" t="s">
        <v>18</v>
      </c>
      <c r="I692" s="2" t="s">
        <v>15</v>
      </c>
      <c r="J692" s="2" t="s">
        <v>15</v>
      </c>
    </row>
    <row r="693" ht="15.75" customHeight="1">
      <c r="A693" s="1" t="s">
        <v>1404</v>
      </c>
      <c r="B693" s="1" t="s">
        <v>1368</v>
      </c>
      <c r="C693" s="1" t="s">
        <v>12</v>
      </c>
      <c r="D693" s="1" t="s">
        <v>1401</v>
      </c>
      <c r="E693" s="4">
        <v>1009814.0</v>
      </c>
      <c r="F693" s="2">
        <v>1.0</v>
      </c>
      <c r="G693" s="2" t="s">
        <v>1</v>
      </c>
      <c r="H693" s="2" t="s">
        <v>53</v>
      </c>
      <c r="I693" s="2" t="s">
        <v>15</v>
      </c>
      <c r="J693" s="2" t="s">
        <v>15</v>
      </c>
    </row>
    <row r="694" ht="15.75" customHeight="1">
      <c r="A694" s="1" t="s">
        <v>1405</v>
      </c>
      <c r="B694" s="1" t="s">
        <v>1406</v>
      </c>
      <c r="C694" s="1" t="s">
        <v>12</v>
      </c>
      <c r="D694" s="1" t="s">
        <v>1401</v>
      </c>
      <c r="E694" s="4">
        <v>1009814.0</v>
      </c>
      <c r="F694" s="2">
        <v>2.0</v>
      </c>
      <c r="G694" s="2" t="s">
        <v>1</v>
      </c>
      <c r="H694" s="2" t="s">
        <v>14</v>
      </c>
      <c r="I694" s="5" t="str">
        <f>IFERROR(
  MID(
    SUBSTITUTE(B694, CHAR(10), ""),
    FIND("_Gross ROI=", SUBSTITUTE(B694, CHAR(10), "")) + LEN("_Gross ROI="),
    FIND("%", SUBSTITUTE(B694, CHAR(10), ""), FIND("_Gross ROI=", SUBSTITUTE(B694, CHAR(10), "")))
      - FIND("_Gross ROI=", SUBSTITUTE(B694, CHAR(10), "")) - LEN("_Gross ROI=") + 1
  ),
  ""
)</f>
        <v>5.28%</v>
      </c>
      <c r="J694" s="5" t="str">
        <f>IFERROR(
  MID(
    SUBSTITUTE(B694, CHAR(10), ""),
    FIND("_Median annual rent=", SUBSTITUTE(B694, CHAR(10), "")) + LEN("_Median annual rent="),
    FIND("K", SUBSTITUTE(B694, CHAR(10), ""), FIND("_Median annual rent=", SUBSTITUTE(B694, CHAR(10), "")))
      - FIND("_Median annual rent=", SUBSTITUTE(B694, CHAR(10), "")) - LEN("_Median annual rent=") + 1
  ),
  "")</f>
        <v>197.5K</v>
      </c>
    </row>
    <row r="695" ht="15.75" customHeight="1">
      <c r="A695" s="1" t="s">
        <v>1407</v>
      </c>
      <c r="B695" s="1" t="s">
        <v>1408</v>
      </c>
      <c r="C695" s="1" t="s">
        <v>12</v>
      </c>
      <c r="D695" s="1" t="s">
        <v>1401</v>
      </c>
      <c r="E695" s="4">
        <v>1009814.0</v>
      </c>
      <c r="F695" s="2">
        <v>2.0</v>
      </c>
      <c r="G695" s="2" t="s">
        <v>1</v>
      </c>
      <c r="H695" s="2" t="s">
        <v>18</v>
      </c>
      <c r="I695" s="2" t="s">
        <v>15</v>
      </c>
      <c r="J695" s="2" t="s">
        <v>15</v>
      </c>
    </row>
    <row r="696" ht="15.75" customHeight="1">
      <c r="A696" s="1" t="s">
        <v>1409</v>
      </c>
      <c r="B696" s="1" t="s">
        <v>1374</v>
      </c>
      <c r="C696" s="1" t="s">
        <v>12</v>
      </c>
      <c r="D696" s="1" t="s">
        <v>1401</v>
      </c>
      <c r="E696" s="4">
        <v>1009814.0</v>
      </c>
      <c r="F696" s="2">
        <v>2.0</v>
      </c>
      <c r="G696" s="2" t="s">
        <v>1</v>
      </c>
      <c r="H696" s="2" t="s">
        <v>53</v>
      </c>
      <c r="I696" s="2" t="s">
        <v>15</v>
      </c>
      <c r="J696" s="2" t="s">
        <v>15</v>
      </c>
    </row>
    <row r="697" ht="15.75" customHeight="1">
      <c r="A697" s="1" t="s">
        <v>1410</v>
      </c>
      <c r="B697" s="1" t="s">
        <v>1411</v>
      </c>
      <c r="C697" s="1" t="s">
        <v>12</v>
      </c>
      <c r="D697" s="1" t="s">
        <v>1401</v>
      </c>
      <c r="E697" s="4">
        <v>1009814.0</v>
      </c>
      <c r="F697" s="2">
        <v>3.0</v>
      </c>
      <c r="G697" s="2" t="s">
        <v>1</v>
      </c>
      <c r="H697" s="2" t="s">
        <v>14</v>
      </c>
      <c r="I697" s="2" t="s">
        <v>15</v>
      </c>
      <c r="J697" s="2" t="s">
        <v>15</v>
      </c>
    </row>
    <row r="698" ht="15.75" customHeight="1">
      <c r="A698" s="1" t="s">
        <v>1412</v>
      </c>
      <c r="B698" s="1" t="s">
        <v>1413</v>
      </c>
      <c r="C698" s="1" t="s">
        <v>12</v>
      </c>
      <c r="D698" s="1" t="s">
        <v>1401</v>
      </c>
      <c r="E698" s="4">
        <v>1009814.0</v>
      </c>
      <c r="F698" s="2">
        <v>3.0</v>
      </c>
      <c r="G698" s="2" t="s">
        <v>1</v>
      </c>
      <c r="H698" s="2" t="s">
        <v>18</v>
      </c>
      <c r="I698" s="2" t="s">
        <v>15</v>
      </c>
      <c r="J698" s="2" t="s">
        <v>15</v>
      </c>
    </row>
    <row r="699" ht="15.75" customHeight="1">
      <c r="A699" s="1" t="s">
        <v>1414</v>
      </c>
      <c r="B699" s="1" t="s">
        <v>1380</v>
      </c>
      <c r="C699" s="1" t="s">
        <v>12</v>
      </c>
      <c r="D699" s="1" t="s">
        <v>1401</v>
      </c>
      <c r="E699" s="4">
        <v>1009814.0</v>
      </c>
      <c r="F699" s="2">
        <v>3.0</v>
      </c>
      <c r="G699" s="2" t="s">
        <v>1</v>
      </c>
      <c r="H699" s="2" t="s">
        <v>53</v>
      </c>
      <c r="I699" s="2" t="s">
        <v>15</v>
      </c>
      <c r="J699" s="2" t="s">
        <v>15</v>
      </c>
    </row>
    <row r="700" ht="15.75" customHeight="1">
      <c r="A700" s="1" t="s">
        <v>1415</v>
      </c>
      <c r="B700" s="1" t="s">
        <v>1416</v>
      </c>
      <c r="C700" s="1" t="s">
        <v>12</v>
      </c>
      <c r="D700" s="1" t="s">
        <v>1401</v>
      </c>
      <c r="E700" s="4">
        <v>1009814.0</v>
      </c>
      <c r="F700" s="2">
        <v>4.0</v>
      </c>
      <c r="G700" s="2" t="s">
        <v>1</v>
      </c>
      <c r="H700" s="2" t="s">
        <v>14</v>
      </c>
      <c r="I700" s="2" t="s">
        <v>15</v>
      </c>
      <c r="J700" s="2" t="s">
        <v>15</v>
      </c>
    </row>
    <row r="701" ht="15.75" customHeight="1">
      <c r="A701" s="1" t="s">
        <v>1417</v>
      </c>
      <c r="B701" s="1" t="s">
        <v>1418</v>
      </c>
      <c r="C701" s="1" t="s">
        <v>12</v>
      </c>
      <c r="D701" s="1" t="s">
        <v>1401</v>
      </c>
      <c r="E701" s="4">
        <v>1009814.0</v>
      </c>
      <c r="F701" s="2">
        <v>4.0</v>
      </c>
      <c r="G701" s="2" t="s">
        <v>1</v>
      </c>
      <c r="H701" s="2" t="s">
        <v>18</v>
      </c>
      <c r="I701" s="2" t="s">
        <v>15</v>
      </c>
      <c r="J701" s="2" t="s">
        <v>15</v>
      </c>
    </row>
    <row r="702" ht="15.75" customHeight="1">
      <c r="A702" s="1" t="s">
        <v>1419</v>
      </c>
      <c r="B702" s="1" t="s">
        <v>1420</v>
      </c>
      <c r="C702" s="1" t="s">
        <v>12</v>
      </c>
      <c r="D702" s="1" t="s">
        <v>1401</v>
      </c>
      <c r="E702" s="4">
        <v>1009814.0</v>
      </c>
      <c r="F702" s="2">
        <v>4.0</v>
      </c>
      <c r="G702" s="2" t="s">
        <v>1</v>
      </c>
      <c r="H702" s="2" t="s">
        <v>53</v>
      </c>
      <c r="I702" s="2" t="s">
        <v>15</v>
      </c>
      <c r="J702" s="2" t="s">
        <v>15</v>
      </c>
    </row>
    <row r="703" ht="15.75" customHeight="1">
      <c r="A703" s="1" t="s">
        <v>1421</v>
      </c>
      <c r="B703" s="1" t="s">
        <v>1422</v>
      </c>
      <c r="C703" s="1" t="s">
        <v>12</v>
      </c>
      <c r="D703" s="1" t="s">
        <v>1401</v>
      </c>
      <c r="E703" s="4">
        <v>1009814.0</v>
      </c>
      <c r="F703" s="2">
        <v>5.0</v>
      </c>
      <c r="G703" s="2" t="s">
        <v>1</v>
      </c>
      <c r="H703" s="2" t="s">
        <v>14</v>
      </c>
      <c r="I703" s="2" t="s">
        <v>15</v>
      </c>
      <c r="J703" s="2" t="s">
        <v>15</v>
      </c>
    </row>
    <row r="704" ht="15.75" customHeight="1">
      <c r="A704" s="1" t="s">
        <v>1423</v>
      </c>
      <c r="B704" s="1" t="s">
        <v>1424</v>
      </c>
      <c r="C704" s="1" t="s">
        <v>12</v>
      </c>
      <c r="D704" s="1" t="s">
        <v>1401</v>
      </c>
      <c r="E704" s="4">
        <v>1009814.0</v>
      </c>
      <c r="F704" s="2">
        <v>5.0</v>
      </c>
      <c r="G704" s="2" t="s">
        <v>1</v>
      </c>
      <c r="H704" s="2" t="s">
        <v>18</v>
      </c>
      <c r="I704" s="2" t="s">
        <v>15</v>
      </c>
      <c r="J704" s="2" t="s">
        <v>15</v>
      </c>
    </row>
    <row r="705" ht="15.75" customHeight="1">
      <c r="A705" s="1" t="s">
        <v>1425</v>
      </c>
      <c r="B705" s="1" t="s">
        <v>1388</v>
      </c>
      <c r="C705" s="1" t="s">
        <v>12</v>
      </c>
      <c r="D705" s="1" t="s">
        <v>1401</v>
      </c>
      <c r="E705" s="4">
        <v>1009814.0</v>
      </c>
      <c r="F705" s="2" t="s">
        <v>15</v>
      </c>
      <c r="G705" s="2" t="s">
        <v>1</v>
      </c>
      <c r="H705" s="2" t="s">
        <v>53</v>
      </c>
      <c r="I705" s="2" t="s">
        <v>15</v>
      </c>
      <c r="J705" s="2" t="s">
        <v>15</v>
      </c>
    </row>
    <row r="706" ht="15.75" customHeight="1">
      <c r="A706" s="1" t="s">
        <v>1426</v>
      </c>
      <c r="B706" s="1" t="s">
        <v>1390</v>
      </c>
      <c r="C706" s="1" t="s">
        <v>12</v>
      </c>
      <c r="D706" s="1" t="s">
        <v>1401</v>
      </c>
      <c r="E706" s="4">
        <v>1009814.0</v>
      </c>
      <c r="F706" s="2" t="s">
        <v>15</v>
      </c>
      <c r="G706" s="2" t="s">
        <v>1</v>
      </c>
      <c r="H706" s="2" t="s">
        <v>53</v>
      </c>
      <c r="I706" s="2" t="s">
        <v>15</v>
      </c>
      <c r="J706" s="2" t="s">
        <v>15</v>
      </c>
    </row>
    <row r="707" ht="15.75" customHeight="1">
      <c r="A707" s="1" t="s">
        <v>1427</v>
      </c>
      <c r="B707" s="1" t="s">
        <v>1392</v>
      </c>
      <c r="C707" s="1" t="s">
        <v>12</v>
      </c>
      <c r="D707" s="1" t="s">
        <v>1401</v>
      </c>
      <c r="E707" s="4">
        <v>1009814.0</v>
      </c>
      <c r="F707" s="2" t="s">
        <v>15</v>
      </c>
      <c r="G707" s="2" t="s">
        <v>1</v>
      </c>
      <c r="H707" s="2" t="s">
        <v>53</v>
      </c>
      <c r="I707" s="2" t="s">
        <v>15</v>
      </c>
      <c r="J707" s="2" t="s">
        <v>15</v>
      </c>
    </row>
    <row r="708" ht="15.75" customHeight="1">
      <c r="A708" s="1" t="s">
        <v>1428</v>
      </c>
      <c r="B708" s="1" t="s">
        <v>1394</v>
      </c>
      <c r="C708" s="1" t="s">
        <v>12</v>
      </c>
      <c r="D708" s="1" t="s">
        <v>1401</v>
      </c>
      <c r="E708" s="4">
        <v>1009814.0</v>
      </c>
      <c r="F708" s="2" t="s">
        <v>30</v>
      </c>
      <c r="G708" s="2" t="s">
        <v>1</v>
      </c>
      <c r="H708" s="2" t="s">
        <v>53</v>
      </c>
      <c r="I708" s="2" t="s">
        <v>15</v>
      </c>
      <c r="J708" s="2" t="s">
        <v>15</v>
      </c>
    </row>
    <row r="709" ht="15.75" customHeight="1">
      <c r="A709" s="1" t="s">
        <v>1429</v>
      </c>
      <c r="B709" s="1" t="s">
        <v>1430</v>
      </c>
      <c r="C709" s="1" t="s">
        <v>12</v>
      </c>
      <c r="D709" s="1" t="s">
        <v>1401</v>
      </c>
      <c r="E709" s="4">
        <v>1009814.0</v>
      </c>
      <c r="F709" s="2" t="s">
        <v>30</v>
      </c>
      <c r="G709" s="2" t="s">
        <v>1</v>
      </c>
      <c r="H709" s="2" t="s">
        <v>14</v>
      </c>
      <c r="I709" s="2" t="s">
        <v>15</v>
      </c>
      <c r="J709" s="2" t="s">
        <v>15</v>
      </c>
    </row>
    <row r="710" ht="15.75" customHeight="1">
      <c r="A710" s="1" t="s">
        <v>1431</v>
      </c>
      <c r="B710" s="1" t="s">
        <v>1432</v>
      </c>
      <c r="C710" s="1" t="s">
        <v>12</v>
      </c>
      <c r="D710" s="1" t="s">
        <v>1401</v>
      </c>
      <c r="E710" s="4">
        <v>1009814.0</v>
      </c>
      <c r="F710" s="2" t="s">
        <v>15</v>
      </c>
      <c r="G710" s="2" t="s">
        <v>33</v>
      </c>
      <c r="H710" s="2" t="s">
        <v>15</v>
      </c>
      <c r="I710" s="2" t="s">
        <v>15</v>
      </c>
      <c r="J710" s="2" t="s">
        <v>15</v>
      </c>
    </row>
    <row r="711" ht="15.75" customHeight="1">
      <c r="A711" s="1" t="s">
        <v>1433</v>
      </c>
      <c r="B711" s="1" t="s">
        <v>1434</v>
      </c>
      <c r="C711" s="1" t="s">
        <v>12</v>
      </c>
      <c r="D711" s="1" t="s">
        <v>1435</v>
      </c>
      <c r="E711" s="4">
        <v>1009878.0</v>
      </c>
      <c r="F711" s="2">
        <v>1.0</v>
      </c>
      <c r="G711" s="2" t="s">
        <v>1</v>
      </c>
      <c r="H711" s="2" t="s">
        <v>14</v>
      </c>
      <c r="I711" s="5" t="str">
        <f>IFERROR(
  MID(
    SUBSTITUTE(B711, CHAR(10), ""),
    FIND("_Gross ROI=", SUBSTITUTE(B711, CHAR(10), "")) + LEN("_Gross ROI="),
    FIND("%", SUBSTITUTE(B711, CHAR(10), ""), FIND("_Gross ROI=", SUBSTITUTE(B711, CHAR(10), "")))
      - FIND("_Gross ROI=", SUBSTITUTE(B711, CHAR(10), "")) - LEN("_Gross ROI=") + 1
  ),
  ""
)</f>
        <v>6.31%</v>
      </c>
      <c r="J711" s="5" t="str">
        <f>IFERROR(
  MID(
    SUBSTITUTE(B711, CHAR(10), ""),
    FIND("_Median annual rent=", SUBSTITUTE(B711, CHAR(10), "")) + LEN("_Median annual rent="),
    FIND("K", SUBSTITUTE(B711, CHAR(10), ""), FIND("_Median annual rent=", SUBSTITUTE(B711, CHAR(10), "")))
      - FIND("_Median annual rent=", SUBSTITUTE(B711, CHAR(10), "")) - LEN("_Median annual rent=") + 1
  ),
  "")</f>
        <v>139.5K</v>
      </c>
    </row>
    <row r="712" ht="15.75" customHeight="1">
      <c r="A712" s="1" t="s">
        <v>1436</v>
      </c>
      <c r="B712" s="1" t="s">
        <v>1437</v>
      </c>
      <c r="C712" s="1" t="s">
        <v>12</v>
      </c>
      <c r="D712" s="1" t="s">
        <v>1435</v>
      </c>
      <c r="E712" s="4">
        <v>1009878.0</v>
      </c>
      <c r="F712" s="2">
        <v>1.0</v>
      </c>
      <c r="G712" s="2" t="s">
        <v>1</v>
      </c>
      <c r="H712" s="2" t="s">
        <v>18</v>
      </c>
      <c r="I712" s="2" t="s">
        <v>15</v>
      </c>
      <c r="J712" s="2" t="s">
        <v>15</v>
      </c>
    </row>
    <row r="713" ht="15.75" customHeight="1">
      <c r="A713" s="1" t="s">
        <v>1438</v>
      </c>
      <c r="B713" s="1" t="s">
        <v>1368</v>
      </c>
      <c r="C713" s="1" t="s">
        <v>12</v>
      </c>
      <c r="D713" s="1" t="s">
        <v>1435</v>
      </c>
      <c r="E713" s="4">
        <v>1009878.0</v>
      </c>
      <c r="F713" s="2">
        <v>1.0</v>
      </c>
      <c r="G713" s="2" t="s">
        <v>1</v>
      </c>
      <c r="H713" s="2" t="s">
        <v>53</v>
      </c>
      <c r="I713" s="2" t="s">
        <v>15</v>
      </c>
      <c r="J713" s="2" t="s">
        <v>15</v>
      </c>
    </row>
    <row r="714" ht="15.75" customHeight="1">
      <c r="A714" s="1" t="s">
        <v>1439</v>
      </c>
      <c r="B714" s="1" t="s">
        <v>1440</v>
      </c>
      <c r="C714" s="1" t="s">
        <v>12</v>
      </c>
      <c r="D714" s="1" t="s">
        <v>1435</v>
      </c>
      <c r="E714" s="4">
        <v>1009878.0</v>
      </c>
      <c r="F714" s="2">
        <v>2.0</v>
      </c>
      <c r="G714" s="2" t="s">
        <v>1</v>
      </c>
      <c r="H714" s="2" t="s">
        <v>14</v>
      </c>
      <c r="I714" s="5" t="str">
        <f>IFERROR(
  MID(
    SUBSTITUTE(B714, CHAR(10), ""),
    FIND("_Gross ROI=", SUBSTITUTE(B714, CHAR(10), "")) + LEN("_Gross ROI="),
    FIND("%", SUBSTITUTE(B714, CHAR(10), ""), FIND("_Gross ROI=", SUBSTITUTE(B714, CHAR(10), "")))
      - FIND("_Gross ROI=", SUBSTITUTE(B714, CHAR(10), "")) - LEN("_Gross ROI=") + 1
  ),
  ""
)</f>
        <v>5.45%</v>
      </c>
      <c r="J714" s="5" t="str">
        <f>IFERROR(
  MID(
    SUBSTITUTE(B714, CHAR(10), ""),
    FIND("_Median annual rent=", SUBSTITUTE(B714, CHAR(10), "")) + LEN("_Median annual rent="),
    FIND("K", SUBSTITUTE(B714, CHAR(10), ""), FIND("_Median annual rent=", SUBSTITUTE(B714, CHAR(10), "")))
      - FIND("_Median annual rent=", SUBSTITUTE(B714, CHAR(10), "")) - LEN("_Median annual rent=") + 1
  ),
  "")</f>
        <v>197.5K</v>
      </c>
    </row>
    <row r="715" ht="15.75" customHeight="1">
      <c r="A715" s="1" t="s">
        <v>1441</v>
      </c>
      <c r="B715" s="1" t="s">
        <v>1442</v>
      </c>
      <c r="C715" s="1" t="s">
        <v>12</v>
      </c>
      <c r="D715" s="1" t="s">
        <v>1435</v>
      </c>
      <c r="E715" s="4">
        <v>1009878.0</v>
      </c>
      <c r="F715" s="2">
        <v>2.0</v>
      </c>
      <c r="G715" s="2" t="s">
        <v>1</v>
      </c>
      <c r="H715" s="2" t="s">
        <v>18</v>
      </c>
      <c r="I715" s="2" t="s">
        <v>15</v>
      </c>
      <c r="J715" s="2" t="s">
        <v>15</v>
      </c>
    </row>
    <row r="716" ht="15.75" customHeight="1">
      <c r="A716" s="1" t="s">
        <v>1443</v>
      </c>
      <c r="B716" s="1" t="s">
        <v>1374</v>
      </c>
      <c r="C716" s="1" t="s">
        <v>12</v>
      </c>
      <c r="D716" s="1" t="s">
        <v>1435</v>
      </c>
      <c r="E716" s="4">
        <v>1009878.0</v>
      </c>
      <c r="F716" s="2">
        <v>2.0</v>
      </c>
      <c r="G716" s="2" t="s">
        <v>1</v>
      </c>
      <c r="H716" s="2" t="s">
        <v>53</v>
      </c>
      <c r="I716" s="2" t="s">
        <v>15</v>
      </c>
      <c r="J716" s="2" t="s">
        <v>15</v>
      </c>
    </row>
    <row r="717" ht="15.75" customHeight="1">
      <c r="A717" s="1" t="s">
        <v>1444</v>
      </c>
      <c r="B717" s="1" t="s">
        <v>1445</v>
      </c>
      <c r="C717" s="1" t="s">
        <v>12</v>
      </c>
      <c r="D717" s="1" t="s">
        <v>1435</v>
      </c>
      <c r="E717" s="4">
        <v>1009878.0</v>
      </c>
      <c r="F717" s="2">
        <v>3.0</v>
      </c>
      <c r="G717" s="2" t="s">
        <v>1</v>
      </c>
      <c r="H717" s="2" t="s">
        <v>14</v>
      </c>
      <c r="I717" s="5" t="str">
        <f>IFERROR(
  MID(
    SUBSTITUTE(B717, CHAR(10), ""),
    FIND("_Gross ROI=", SUBSTITUTE(B717, CHAR(10), "")) + LEN("_Gross ROI="),
    FIND("%", SUBSTITUTE(B717, CHAR(10), ""), FIND("_Gross ROI=", SUBSTITUTE(B717, CHAR(10), "")))
      - FIND("_Gross ROI=", SUBSTITUTE(B717, CHAR(10), "")) - LEN("_Gross ROI=") + 1
  ),
  ""
)</f>
        <v>4.63%</v>
      </c>
      <c r="J717" s="5" t="str">
        <f>IFERROR(
  MID(
    SUBSTITUTE(B717, CHAR(10), ""),
    FIND("_Median annual rent=", SUBSTITUTE(B717, CHAR(10), "")) + LEN("_Median annual rent="),
    FIND("K", SUBSTITUTE(B717, CHAR(10), ""), FIND("_Median annual rent=", SUBSTITUTE(B717, CHAR(10), "")))
      - FIND("_Median annual rent=", SUBSTITUTE(B717, CHAR(10), "")) - LEN("_Median annual rent=") + 1
  ),
  "")</f>
        <v>342.5K</v>
      </c>
    </row>
    <row r="718" ht="15.75" customHeight="1">
      <c r="A718" s="1" t="s">
        <v>1446</v>
      </c>
      <c r="B718" s="1" t="s">
        <v>1447</v>
      </c>
      <c r="C718" s="1" t="s">
        <v>12</v>
      </c>
      <c r="D718" s="1" t="s">
        <v>1435</v>
      </c>
      <c r="E718" s="4">
        <v>1009878.0</v>
      </c>
      <c r="F718" s="2">
        <v>3.0</v>
      </c>
      <c r="G718" s="2" t="s">
        <v>1</v>
      </c>
      <c r="H718" s="2" t="s">
        <v>18</v>
      </c>
      <c r="I718" s="2" t="s">
        <v>15</v>
      </c>
      <c r="J718" s="2" t="s">
        <v>15</v>
      </c>
    </row>
    <row r="719" ht="15.75" customHeight="1">
      <c r="A719" s="1" t="s">
        <v>1448</v>
      </c>
      <c r="B719" s="1" t="s">
        <v>1380</v>
      </c>
      <c r="C719" s="1" t="s">
        <v>12</v>
      </c>
      <c r="D719" s="1" t="s">
        <v>1435</v>
      </c>
      <c r="E719" s="4">
        <v>1009878.0</v>
      </c>
      <c r="F719" s="2">
        <v>3.0</v>
      </c>
      <c r="G719" s="2" t="s">
        <v>1</v>
      </c>
      <c r="H719" s="2" t="s">
        <v>53</v>
      </c>
      <c r="I719" s="2" t="s">
        <v>15</v>
      </c>
      <c r="J719" s="2" t="s">
        <v>15</v>
      </c>
    </row>
    <row r="720" ht="15.75" customHeight="1">
      <c r="A720" s="1" t="s">
        <v>1449</v>
      </c>
      <c r="B720" s="1" t="s">
        <v>1450</v>
      </c>
      <c r="C720" s="1" t="s">
        <v>12</v>
      </c>
      <c r="D720" s="1" t="s">
        <v>1435</v>
      </c>
      <c r="E720" s="4">
        <v>1009878.0</v>
      </c>
      <c r="F720" s="2">
        <v>4.0</v>
      </c>
      <c r="G720" s="2" t="s">
        <v>1</v>
      </c>
      <c r="H720" s="2" t="s">
        <v>14</v>
      </c>
      <c r="I720" s="2" t="s">
        <v>15</v>
      </c>
      <c r="J720" s="2" t="s">
        <v>15</v>
      </c>
    </row>
    <row r="721" ht="15.75" customHeight="1">
      <c r="A721" s="1" t="s">
        <v>1451</v>
      </c>
      <c r="B721" s="1" t="s">
        <v>1452</v>
      </c>
      <c r="C721" s="1" t="s">
        <v>12</v>
      </c>
      <c r="D721" s="1" t="s">
        <v>1435</v>
      </c>
      <c r="E721" s="4">
        <v>1009878.0</v>
      </c>
      <c r="F721" s="2">
        <v>4.0</v>
      </c>
      <c r="G721" s="2" t="s">
        <v>1</v>
      </c>
      <c r="H721" s="2" t="s">
        <v>18</v>
      </c>
      <c r="I721" s="2" t="s">
        <v>15</v>
      </c>
      <c r="J721" s="2" t="s">
        <v>15</v>
      </c>
    </row>
    <row r="722" ht="15.75" customHeight="1">
      <c r="A722" s="1" t="s">
        <v>1453</v>
      </c>
      <c r="B722" s="1" t="s">
        <v>1420</v>
      </c>
      <c r="C722" s="1" t="s">
        <v>12</v>
      </c>
      <c r="D722" s="1" t="s">
        <v>1435</v>
      </c>
      <c r="E722" s="4">
        <v>1009878.0</v>
      </c>
      <c r="F722" s="2">
        <v>4.0</v>
      </c>
      <c r="G722" s="2" t="s">
        <v>1</v>
      </c>
      <c r="H722" s="2" t="s">
        <v>53</v>
      </c>
      <c r="I722" s="2" t="s">
        <v>15</v>
      </c>
      <c r="J722" s="2" t="s">
        <v>15</v>
      </c>
    </row>
    <row r="723" ht="15.75" customHeight="1">
      <c r="A723" s="1" t="s">
        <v>1454</v>
      </c>
      <c r="B723" s="1" t="s">
        <v>1455</v>
      </c>
      <c r="C723" s="1" t="s">
        <v>12</v>
      </c>
      <c r="D723" s="1" t="s">
        <v>1435</v>
      </c>
      <c r="E723" s="4">
        <v>1009878.0</v>
      </c>
      <c r="F723" s="2">
        <v>5.0</v>
      </c>
      <c r="G723" s="2" t="s">
        <v>1</v>
      </c>
      <c r="H723" s="2" t="s">
        <v>14</v>
      </c>
      <c r="I723" s="2" t="s">
        <v>15</v>
      </c>
      <c r="J723" s="2" t="s">
        <v>15</v>
      </c>
    </row>
    <row r="724" ht="15.75" customHeight="1">
      <c r="A724" s="1" t="s">
        <v>1456</v>
      </c>
      <c r="B724" s="1" t="s">
        <v>1457</v>
      </c>
      <c r="C724" s="1" t="s">
        <v>12</v>
      </c>
      <c r="D724" s="1" t="s">
        <v>1435</v>
      </c>
      <c r="E724" s="4">
        <v>1009878.0</v>
      </c>
      <c r="F724" s="2">
        <v>5.0</v>
      </c>
      <c r="G724" s="2" t="s">
        <v>1</v>
      </c>
      <c r="H724" s="2" t="s">
        <v>18</v>
      </c>
      <c r="I724" s="2" t="s">
        <v>15</v>
      </c>
      <c r="J724" s="2" t="s">
        <v>15</v>
      </c>
    </row>
    <row r="725" ht="15.75" customHeight="1">
      <c r="A725" s="1" t="s">
        <v>1458</v>
      </c>
      <c r="B725" s="1" t="s">
        <v>1388</v>
      </c>
      <c r="C725" s="1" t="s">
        <v>12</v>
      </c>
      <c r="D725" s="1" t="s">
        <v>1435</v>
      </c>
      <c r="E725" s="4">
        <v>1009878.0</v>
      </c>
      <c r="F725" s="2" t="s">
        <v>15</v>
      </c>
      <c r="G725" s="2" t="s">
        <v>1</v>
      </c>
      <c r="H725" s="2" t="s">
        <v>53</v>
      </c>
      <c r="I725" s="2" t="s">
        <v>15</v>
      </c>
      <c r="J725" s="2" t="s">
        <v>15</v>
      </c>
    </row>
    <row r="726" ht="15.75" customHeight="1">
      <c r="A726" s="1" t="s">
        <v>1459</v>
      </c>
      <c r="B726" s="1" t="s">
        <v>1390</v>
      </c>
      <c r="C726" s="1" t="s">
        <v>12</v>
      </c>
      <c r="D726" s="1" t="s">
        <v>1435</v>
      </c>
      <c r="E726" s="4">
        <v>1009878.0</v>
      </c>
      <c r="F726" s="2" t="s">
        <v>15</v>
      </c>
      <c r="G726" s="2" t="s">
        <v>1</v>
      </c>
      <c r="H726" s="2" t="s">
        <v>53</v>
      </c>
      <c r="I726" s="2" t="s">
        <v>15</v>
      </c>
      <c r="J726" s="2" t="s">
        <v>15</v>
      </c>
    </row>
    <row r="727" ht="15.75" customHeight="1">
      <c r="A727" s="1" t="s">
        <v>1460</v>
      </c>
      <c r="B727" s="1" t="s">
        <v>1392</v>
      </c>
      <c r="C727" s="1" t="s">
        <v>12</v>
      </c>
      <c r="D727" s="1" t="s">
        <v>1435</v>
      </c>
      <c r="E727" s="4">
        <v>1009878.0</v>
      </c>
      <c r="F727" s="2" t="s">
        <v>15</v>
      </c>
      <c r="G727" s="2" t="s">
        <v>1</v>
      </c>
      <c r="H727" s="2" t="s">
        <v>53</v>
      </c>
      <c r="I727" s="2" t="s">
        <v>15</v>
      </c>
      <c r="J727" s="2" t="s">
        <v>15</v>
      </c>
    </row>
    <row r="728" ht="15.75" customHeight="1">
      <c r="A728" s="1" t="s">
        <v>1461</v>
      </c>
      <c r="B728" s="1" t="s">
        <v>1394</v>
      </c>
      <c r="C728" s="1" t="s">
        <v>12</v>
      </c>
      <c r="D728" s="1" t="s">
        <v>1435</v>
      </c>
      <c r="E728" s="4">
        <v>1009878.0</v>
      </c>
      <c r="F728" s="2" t="s">
        <v>30</v>
      </c>
      <c r="G728" s="2" t="s">
        <v>1</v>
      </c>
      <c r="H728" s="2" t="s">
        <v>53</v>
      </c>
      <c r="I728" s="2" t="s">
        <v>15</v>
      </c>
      <c r="J728" s="2" t="s">
        <v>15</v>
      </c>
    </row>
    <row r="729" ht="15.75" customHeight="1">
      <c r="A729" s="1" t="s">
        <v>1462</v>
      </c>
      <c r="B729" s="1" t="s">
        <v>1463</v>
      </c>
      <c r="C729" s="1" t="s">
        <v>12</v>
      </c>
      <c r="D729" s="1" t="s">
        <v>1435</v>
      </c>
      <c r="E729" s="4">
        <v>1009878.0</v>
      </c>
      <c r="F729" s="2" t="s">
        <v>30</v>
      </c>
      <c r="G729" s="2" t="s">
        <v>1</v>
      </c>
      <c r="H729" s="2" t="s">
        <v>14</v>
      </c>
      <c r="I729" s="2" t="s">
        <v>15</v>
      </c>
      <c r="J729" s="2" t="s">
        <v>15</v>
      </c>
    </row>
    <row r="730" ht="15.75" customHeight="1">
      <c r="A730" s="1" t="s">
        <v>1464</v>
      </c>
      <c r="B730" s="1" t="s">
        <v>1465</v>
      </c>
      <c r="C730" s="1" t="s">
        <v>12</v>
      </c>
      <c r="D730" s="1" t="s">
        <v>1435</v>
      </c>
      <c r="E730" s="4">
        <v>1009878.0</v>
      </c>
      <c r="F730" s="2" t="s">
        <v>15</v>
      </c>
      <c r="G730" s="2" t="s">
        <v>33</v>
      </c>
      <c r="H730" s="2" t="s">
        <v>15</v>
      </c>
      <c r="I730" s="2" t="s">
        <v>15</v>
      </c>
      <c r="J730" s="2" t="s">
        <v>15</v>
      </c>
    </row>
    <row r="731" ht="15.75" customHeight="1">
      <c r="A731" s="1" t="s">
        <v>1466</v>
      </c>
      <c r="B731" s="3" t="s">
        <v>1467</v>
      </c>
      <c r="C731" s="1" t="s">
        <v>12</v>
      </c>
      <c r="D731" s="1" t="s">
        <v>1468</v>
      </c>
      <c r="E731" s="4">
        <v>1009942.0</v>
      </c>
      <c r="F731" s="2">
        <v>1.0</v>
      </c>
      <c r="G731" s="2" t="s">
        <v>1</v>
      </c>
      <c r="H731" s="2" t="s">
        <v>14</v>
      </c>
      <c r="I731" s="2" t="s">
        <v>15</v>
      </c>
      <c r="J731" s="2" t="s">
        <v>15</v>
      </c>
    </row>
    <row r="732" ht="15.75" customHeight="1">
      <c r="A732" s="1" t="s">
        <v>1469</v>
      </c>
      <c r="B732" s="1" t="s">
        <v>1470</v>
      </c>
      <c r="C732" s="1" t="s">
        <v>12</v>
      </c>
      <c r="D732" s="1" t="s">
        <v>1468</v>
      </c>
      <c r="E732" s="4">
        <v>1009942.0</v>
      </c>
      <c r="F732" s="2">
        <v>1.0</v>
      </c>
      <c r="G732" s="2" t="s">
        <v>1</v>
      </c>
      <c r="H732" s="2" t="s">
        <v>18</v>
      </c>
      <c r="I732" s="2" t="s">
        <v>15</v>
      </c>
      <c r="J732" s="2" t="s">
        <v>15</v>
      </c>
    </row>
    <row r="733" ht="15.75" customHeight="1">
      <c r="A733" s="1" t="s">
        <v>1471</v>
      </c>
      <c r="B733" s="1" t="s">
        <v>1472</v>
      </c>
      <c r="C733" s="1" t="s">
        <v>12</v>
      </c>
      <c r="D733" s="1" t="s">
        <v>1468</v>
      </c>
      <c r="E733" s="4">
        <v>1009942.0</v>
      </c>
      <c r="F733" s="2">
        <v>1.0</v>
      </c>
      <c r="G733" s="2" t="s">
        <v>1</v>
      </c>
      <c r="H733" s="2" t="s">
        <v>21</v>
      </c>
      <c r="I733" s="2" t="s">
        <v>15</v>
      </c>
      <c r="J733" s="2" t="s">
        <v>15</v>
      </c>
    </row>
    <row r="734" ht="15.75" customHeight="1">
      <c r="A734" s="1" t="s">
        <v>1473</v>
      </c>
      <c r="B734" s="1" t="s">
        <v>1474</v>
      </c>
      <c r="C734" s="1" t="s">
        <v>12</v>
      </c>
      <c r="D734" s="1" t="s">
        <v>1468</v>
      </c>
      <c r="E734" s="4">
        <v>1009942.0</v>
      </c>
      <c r="F734" s="2">
        <v>2.0</v>
      </c>
      <c r="G734" s="2" t="s">
        <v>1</v>
      </c>
      <c r="H734" s="2" t="s">
        <v>14</v>
      </c>
      <c r="I734" s="2" t="s">
        <v>15</v>
      </c>
      <c r="J734" s="2" t="s">
        <v>15</v>
      </c>
    </row>
    <row r="735" ht="15.75" customHeight="1">
      <c r="A735" s="1" t="s">
        <v>1475</v>
      </c>
      <c r="B735" s="1" t="s">
        <v>1476</v>
      </c>
      <c r="C735" s="1" t="s">
        <v>12</v>
      </c>
      <c r="D735" s="1" t="s">
        <v>1468</v>
      </c>
      <c r="E735" s="4">
        <v>1009942.0</v>
      </c>
      <c r="F735" s="2">
        <v>2.0</v>
      </c>
      <c r="G735" s="2" t="s">
        <v>1</v>
      </c>
      <c r="H735" s="2" t="s">
        <v>18</v>
      </c>
      <c r="I735" s="2" t="s">
        <v>15</v>
      </c>
      <c r="J735" s="2" t="s">
        <v>15</v>
      </c>
    </row>
    <row r="736" ht="15.75" customHeight="1">
      <c r="A736" s="1" t="s">
        <v>1477</v>
      </c>
      <c r="B736" s="1" t="s">
        <v>1478</v>
      </c>
      <c r="C736" s="1" t="s">
        <v>12</v>
      </c>
      <c r="D736" s="1" t="s">
        <v>1468</v>
      </c>
      <c r="E736" s="4">
        <v>1009942.0</v>
      </c>
      <c r="F736" s="2">
        <v>2.0</v>
      </c>
      <c r="G736" s="2" t="s">
        <v>1</v>
      </c>
      <c r="H736" s="2" t="s">
        <v>21</v>
      </c>
      <c r="I736" s="2" t="s">
        <v>15</v>
      </c>
      <c r="J736" s="2" t="s">
        <v>15</v>
      </c>
    </row>
    <row r="737" ht="15.75" customHeight="1">
      <c r="A737" s="1" t="s">
        <v>1479</v>
      </c>
      <c r="B737" s="1" t="s">
        <v>1480</v>
      </c>
      <c r="C737" s="1" t="s">
        <v>12</v>
      </c>
      <c r="D737" s="1" t="s">
        <v>1468</v>
      </c>
      <c r="E737" s="4">
        <v>1009942.0</v>
      </c>
      <c r="F737" s="2">
        <v>3.0</v>
      </c>
      <c r="G737" s="2" t="s">
        <v>1</v>
      </c>
      <c r="H737" s="2" t="s">
        <v>14</v>
      </c>
      <c r="I737" s="2" t="s">
        <v>15</v>
      </c>
      <c r="J737" s="2" t="s">
        <v>15</v>
      </c>
    </row>
    <row r="738" ht="15.75" customHeight="1">
      <c r="A738" s="1" t="s">
        <v>1481</v>
      </c>
      <c r="B738" s="1" t="s">
        <v>1482</v>
      </c>
      <c r="C738" s="1" t="s">
        <v>12</v>
      </c>
      <c r="D738" s="1" t="s">
        <v>1468</v>
      </c>
      <c r="E738" s="4">
        <v>1009942.0</v>
      </c>
      <c r="F738" s="2">
        <v>3.0</v>
      </c>
      <c r="G738" s="2" t="s">
        <v>1</v>
      </c>
      <c r="H738" s="2" t="s">
        <v>18</v>
      </c>
      <c r="I738" s="2" t="s">
        <v>15</v>
      </c>
      <c r="J738" s="2" t="s">
        <v>15</v>
      </c>
    </row>
    <row r="739" ht="15.75" customHeight="1">
      <c r="A739" s="1" t="s">
        <v>1483</v>
      </c>
      <c r="B739" s="1" t="s">
        <v>1484</v>
      </c>
      <c r="C739" s="1" t="s">
        <v>12</v>
      </c>
      <c r="D739" s="1" t="s">
        <v>1468</v>
      </c>
      <c r="E739" s="4">
        <v>1009942.0</v>
      </c>
      <c r="F739" s="2">
        <v>3.0</v>
      </c>
      <c r="G739" s="2" t="s">
        <v>1</v>
      </c>
      <c r="H739" s="2" t="s">
        <v>21</v>
      </c>
      <c r="I739" s="2" t="s">
        <v>15</v>
      </c>
      <c r="J739" s="2" t="s">
        <v>15</v>
      </c>
    </row>
    <row r="740" ht="15.75" customHeight="1">
      <c r="A740" s="1" t="s">
        <v>1485</v>
      </c>
      <c r="B740" s="1" t="s">
        <v>1486</v>
      </c>
      <c r="C740" s="1" t="s">
        <v>12</v>
      </c>
      <c r="D740" s="1" t="s">
        <v>1468</v>
      </c>
      <c r="E740" s="4">
        <v>1009942.0</v>
      </c>
      <c r="F740" s="2">
        <v>4.0</v>
      </c>
      <c r="G740" s="2" t="s">
        <v>1</v>
      </c>
      <c r="H740" s="2" t="s">
        <v>14</v>
      </c>
      <c r="I740" s="2" t="s">
        <v>15</v>
      </c>
      <c r="J740" s="2" t="s">
        <v>15</v>
      </c>
    </row>
    <row r="741" ht="15.75" customHeight="1">
      <c r="A741" s="1" t="s">
        <v>1487</v>
      </c>
      <c r="B741" s="1" t="s">
        <v>1488</v>
      </c>
      <c r="C741" s="1" t="s">
        <v>12</v>
      </c>
      <c r="D741" s="1" t="s">
        <v>1468</v>
      </c>
      <c r="E741" s="4">
        <v>1009942.0</v>
      </c>
      <c r="F741" s="2">
        <v>4.0</v>
      </c>
      <c r="G741" s="2" t="s">
        <v>1</v>
      </c>
      <c r="H741" s="2" t="s">
        <v>18</v>
      </c>
      <c r="I741" s="2" t="s">
        <v>15</v>
      </c>
      <c r="J741" s="2" t="s">
        <v>15</v>
      </c>
    </row>
    <row r="742" ht="15.75" customHeight="1">
      <c r="A742" s="1" t="s">
        <v>1489</v>
      </c>
      <c r="B742" s="1" t="s">
        <v>1490</v>
      </c>
      <c r="C742" s="1" t="s">
        <v>12</v>
      </c>
      <c r="D742" s="1" t="s">
        <v>1468</v>
      </c>
      <c r="E742" s="4">
        <v>1009942.0</v>
      </c>
      <c r="F742" s="2">
        <v>4.0</v>
      </c>
      <c r="G742" s="2" t="s">
        <v>1</v>
      </c>
      <c r="H742" s="2" t="s">
        <v>21</v>
      </c>
      <c r="I742" s="2" t="s">
        <v>15</v>
      </c>
      <c r="J742" s="2" t="s">
        <v>15</v>
      </c>
    </row>
    <row r="743" ht="15.75" customHeight="1">
      <c r="A743" s="1" t="s">
        <v>1491</v>
      </c>
      <c r="B743" s="1" t="s">
        <v>1492</v>
      </c>
      <c r="C743" s="1" t="s">
        <v>12</v>
      </c>
      <c r="D743" s="1" t="s">
        <v>1468</v>
      </c>
      <c r="E743" s="4">
        <v>1009942.0</v>
      </c>
      <c r="F743" s="2">
        <v>5.0</v>
      </c>
      <c r="G743" s="2" t="s">
        <v>1</v>
      </c>
      <c r="H743" s="2" t="s">
        <v>14</v>
      </c>
      <c r="I743" s="2" t="s">
        <v>15</v>
      </c>
      <c r="J743" s="2" t="s">
        <v>15</v>
      </c>
    </row>
    <row r="744" ht="15.75" customHeight="1">
      <c r="A744" s="1" t="s">
        <v>1493</v>
      </c>
      <c r="B744" s="1" t="s">
        <v>1494</v>
      </c>
      <c r="C744" s="1" t="s">
        <v>12</v>
      </c>
      <c r="D744" s="1" t="s">
        <v>1468</v>
      </c>
      <c r="E744" s="4">
        <v>1009942.0</v>
      </c>
      <c r="F744" s="2">
        <v>5.0</v>
      </c>
      <c r="G744" s="2" t="s">
        <v>1</v>
      </c>
      <c r="H744" s="2" t="s">
        <v>18</v>
      </c>
      <c r="I744" s="2" t="s">
        <v>15</v>
      </c>
      <c r="J744" s="2" t="s">
        <v>15</v>
      </c>
    </row>
    <row r="745" ht="15.75" customHeight="1">
      <c r="A745" s="1" t="s">
        <v>1495</v>
      </c>
      <c r="B745" s="1" t="s">
        <v>1496</v>
      </c>
      <c r="C745" s="1" t="s">
        <v>12</v>
      </c>
      <c r="D745" s="1" t="s">
        <v>1468</v>
      </c>
      <c r="E745" s="4">
        <v>1009942.0</v>
      </c>
      <c r="F745" s="2" t="s">
        <v>30</v>
      </c>
      <c r="G745" s="2" t="s">
        <v>1</v>
      </c>
      <c r="H745" s="2" t="s">
        <v>14</v>
      </c>
      <c r="I745" s="2" t="s">
        <v>15</v>
      </c>
      <c r="J745" s="2" t="s">
        <v>15</v>
      </c>
    </row>
    <row r="746" ht="15.75" customHeight="1">
      <c r="A746" s="1" t="s">
        <v>1497</v>
      </c>
      <c r="B746" s="1" t="s">
        <v>1498</v>
      </c>
      <c r="C746" s="1" t="s">
        <v>12</v>
      </c>
      <c r="D746" s="1" t="s">
        <v>1468</v>
      </c>
      <c r="E746" s="4">
        <v>1009942.0</v>
      </c>
      <c r="F746" s="2" t="s">
        <v>15</v>
      </c>
      <c r="G746" s="2" t="s">
        <v>33</v>
      </c>
      <c r="H746" s="2" t="s">
        <v>15</v>
      </c>
      <c r="I746" s="2" t="s">
        <v>15</v>
      </c>
      <c r="J746" s="2" t="s">
        <v>15</v>
      </c>
    </row>
    <row r="747" ht="15.75" customHeight="1">
      <c r="A747" s="1" t="s">
        <v>1499</v>
      </c>
      <c r="B747" s="1" t="s">
        <v>1500</v>
      </c>
      <c r="C747" s="1" t="s">
        <v>12</v>
      </c>
      <c r="D747" s="1" t="s">
        <v>1468</v>
      </c>
      <c r="E747" s="4">
        <v>1009942.0</v>
      </c>
      <c r="F747" s="2">
        <v>1.0</v>
      </c>
      <c r="G747" s="2" t="s">
        <v>1</v>
      </c>
      <c r="H747" s="2" t="s">
        <v>37</v>
      </c>
      <c r="I747" s="2" t="s">
        <v>15</v>
      </c>
      <c r="J747" s="2" t="s">
        <v>15</v>
      </c>
    </row>
    <row r="748" ht="15.75" customHeight="1">
      <c r="A748" s="1" t="s">
        <v>1501</v>
      </c>
      <c r="B748" s="1" t="s">
        <v>1502</v>
      </c>
      <c r="C748" s="1" t="s">
        <v>12</v>
      </c>
      <c r="D748" s="1" t="s">
        <v>1468</v>
      </c>
      <c r="E748" s="4">
        <v>1009942.0</v>
      </c>
      <c r="F748" s="2">
        <v>2.0</v>
      </c>
      <c r="G748" s="2" t="s">
        <v>1</v>
      </c>
      <c r="H748" s="2" t="s">
        <v>37</v>
      </c>
      <c r="I748" s="2" t="s">
        <v>15</v>
      </c>
      <c r="J748" s="2" t="s">
        <v>15</v>
      </c>
    </row>
    <row r="749" ht="15.75" customHeight="1">
      <c r="A749" s="1" t="s">
        <v>1503</v>
      </c>
      <c r="B749" s="1" t="s">
        <v>1504</v>
      </c>
      <c r="C749" s="1" t="s">
        <v>12</v>
      </c>
      <c r="D749" s="1" t="s">
        <v>1468</v>
      </c>
      <c r="E749" s="4">
        <v>1009942.0</v>
      </c>
      <c r="F749" s="2">
        <v>3.0</v>
      </c>
      <c r="G749" s="2" t="s">
        <v>1</v>
      </c>
      <c r="H749" s="2" t="s">
        <v>37</v>
      </c>
      <c r="I749" s="2" t="s">
        <v>15</v>
      </c>
      <c r="J749" s="2" t="s">
        <v>15</v>
      </c>
    </row>
    <row r="750" ht="15.75" customHeight="1">
      <c r="A750" s="1" t="s">
        <v>1505</v>
      </c>
      <c r="B750" s="1" t="s">
        <v>1506</v>
      </c>
      <c r="C750" s="1" t="s">
        <v>12</v>
      </c>
      <c r="D750" s="1" t="s">
        <v>1468</v>
      </c>
      <c r="E750" s="4">
        <v>1009942.0</v>
      </c>
      <c r="F750" s="2">
        <v>4.0</v>
      </c>
      <c r="G750" s="2" t="s">
        <v>1</v>
      </c>
      <c r="H750" s="2" t="s">
        <v>37</v>
      </c>
      <c r="I750" s="2" t="s">
        <v>15</v>
      </c>
      <c r="J750" s="2" t="s">
        <v>15</v>
      </c>
    </row>
    <row r="751" ht="15.75" customHeight="1">
      <c r="A751" s="1" t="s">
        <v>1507</v>
      </c>
      <c r="B751" s="1" t="s">
        <v>1508</v>
      </c>
      <c r="C751" s="1" t="s">
        <v>12</v>
      </c>
      <c r="D751" s="1" t="s">
        <v>1468</v>
      </c>
      <c r="E751" s="4">
        <v>1009942.0</v>
      </c>
      <c r="F751" s="2" t="s">
        <v>30</v>
      </c>
      <c r="G751" s="2" t="s">
        <v>1</v>
      </c>
      <c r="H751" s="2" t="s">
        <v>37</v>
      </c>
      <c r="I751" s="2" t="s">
        <v>15</v>
      </c>
      <c r="J751" s="2" t="s">
        <v>15</v>
      </c>
    </row>
    <row r="752" ht="15.75" customHeight="1">
      <c r="A752" s="1" t="s">
        <v>1509</v>
      </c>
      <c r="B752" s="1" t="s">
        <v>1510</v>
      </c>
      <c r="C752" s="1" t="s">
        <v>12</v>
      </c>
      <c r="D752" s="1" t="s">
        <v>1511</v>
      </c>
      <c r="E752" s="4">
        <v>1010006.0</v>
      </c>
      <c r="F752" s="2" t="s">
        <v>36</v>
      </c>
      <c r="G752" s="2" t="s">
        <v>1</v>
      </c>
      <c r="H752" s="2" t="s">
        <v>14</v>
      </c>
      <c r="I752" s="5" t="str">
        <f>IFERROR(
  MID(
    SUBSTITUTE(B752, CHAR(10), ""),
    FIND("_Gross ROI=", SUBSTITUTE(B752, CHAR(10), "")) + LEN("_Gross ROI="),
    FIND("%", SUBSTITUTE(B752, CHAR(10), ""), FIND("_Gross ROI=", SUBSTITUTE(B752, CHAR(10), "")))
      - FIND("_Gross ROI=", SUBSTITUTE(B752, CHAR(10), "")) - LEN("_Gross ROI=") + 1
  ),
  ""
)</f>
        <v>6.27%</v>
      </c>
      <c r="J752" s="5" t="str">
        <f>IFERROR(
  MID(
    SUBSTITUTE(B752, CHAR(10), ""),
    FIND("_Median annual rent=", SUBSTITUTE(B752, CHAR(10), "")) + LEN("_Median annual rent="),
    FIND("K", SUBSTITUTE(B752, CHAR(10), ""), FIND("_Median annual rent=", SUBSTITUTE(B752, CHAR(10), "")))
      - FIND("_Median annual rent=", SUBSTITUTE(B752, CHAR(10), "")) - LEN("_Median annual rent=") + 1
  ),
  "")</f>
        <v>73K</v>
      </c>
    </row>
    <row r="753" ht="15.75" customHeight="1">
      <c r="A753" s="1" t="s">
        <v>1512</v>
      </c>
      <c r="B753" s="1" t="s">
        <v>1513</v>
      </c>
      <c r="C753" s="1" t="s">
        <v>12</v>
      </c>
      <c r="D753" s="1" t="s">
        <v>1511</v>
      </c>
      <c r="E753" s="4">
        <v>1010006.0</v>
      </c>
      <c r="F753" s="2" t="s">
        <v>36</v>
      </c>
      <c r="G753" s="2" t="s">
        <v>1</v>
      </c>
      <c r="H753" s="2" t="s">
        <v>18</v>
      </c>
      <c r="I753" s="2" t="s">
        <v>15</v>
      </c>
      <c r="J753" s="2" t="s">
        <v>15</v>
      </c>
    </row>
    <row r="754" ht="15.75" customHeight="1">
      <c r="A754" s="1" t="s">
        <v>1514</v>
      </c>
      <c r="B754" s="1" t="s">
        <v>1515</v>
      </c>
      <c r="C754" s="1" t="s">
        <v>12</v>
      </c>
      <c r="D754" s="1" t="s">
        <v>1511</v>
      </c>
      <c r="E754" s="4">
        <v>1010006.0</v>
      </c>
      <c r="F754" s="2" t="s">
        <v>36</v>
      </c>
      <c r="G754" s="2" t="s">
        <v>1</v>
      </c>
      <c r="H754" s="2" t="s">
        <v>53</v>
      </c>
      <c r="I754" s="2" t="s">
        <v>15</v>
      </c>
      <c r="J754" s="2" t="s">
        <v>15</v>
      </c>
    </row>
    <row r="755" ht="15.75" customHeight="1">
      <c r="A755" s="1" t="s">
        <v>1516</v>
      </c>
      <c r="B755" s="3" t="s">
        <v>1517</v>
      </c>
      <c r="C755" s="1" t="s">
        <v>12</v>
      </c>
      <c r="D755" s="1" t="s">
        <v>1511</v>
      </c>
      <c r="E755" s="4">
        <v>1010006.0</v>
      </c>
      <c r="F755" s="2">
        <v>1.0</v>
      </c>
      <c r="G755" s="2" t="s">
        <v>1</v>
      </c>
      <c r="H755" s="2" t="s">
        <v>14</v>
      </c>
      <c r="I755" s="5" t="str">
        <f>IFERROR(
  MID(
    SUBSTITUTE(B755, CHAR(10), ""),
    FIND("_Gross ROI=", SUBSTITUTE(B755, CHAR(10), "")) + LEN("_Gross ROI="),
    FIND("%", SUBSTITUTE(B755, CHAR(10), ""), FIND("_Gross ROI=", SUBSTITUTE(B755, CHAR(10), "")))
      - FIND("_Gross ROI=", SUBSTITUTE(B755, CHAR(10), "")) - LEN("_Gross ROI=") + 1
  ),
  ""
)</f>
        <v>6.09%</v>
      </c>
      <c r="J755" s="5" t="str">
        <f>IFERROR(
  MID(
    SUBSTITUTE(B755, CHAR(10), ""),
    FIND("_Median annual rent=", SUBSTITUTE(B755, CHAR(10), "")) + LEN("_Median annual rent="),
    FIND("K", SUBSTITUTE(B755, CHAR(10), ""), FIND("_Median annual rent=", SUBSTITUTE(B755, CHAR(10), "")))
      - FIND("_Median annual rent=", SUBSTITUTE(B755, CHAR(10), "")) - LEN("_Median annual rent=") + 1
  ),
  "")</f>
        <v>112.5K</v>
      </c>
    </row>
    <row r="756" ht="15.75" customHeight="1">
      <c r="A756" s="1" t="s">
        <v>1518</v>
      </c>
      <c r="B756" s="1" t="s">
        <v>1519</v>
      </c>
      <c r="C756" s="1" t="s">
        <v>12</v>
      </c>
      <c r="D756" s="1" t="s">
        <v>1511</v>
      </c>
      <c r="E756" s="4">
        <v>1010006.0</v>
      </c>
      <c r="F756" s="2">
        <v>1.0</v>
      </c>
      <c r="G756" s="2" t="s">
        <v>1</v>
      </c>
      <c r="H756" s="2" t="s">
        <v>18</v>
      </c>
      <c r="I756" s="2" t="s">
        <v>15</v>
      </c>
      <c r="J756" s="2" t="s">
        <v>15</v>
      </c>
    </row>
    <row r="757" ht="15.75" customHeight="1">
      <c r="A757" s="1" t="s">
        <v>1520</v>
      </c>
      <c r="B757" s="1" t="s">
        <v>1521</v>
      </c>
      <c r="C757" s="1" t="s">
        <v>12</v>
      </c>
      <c r="D757" s="1" t="s">
        <v>1511</v>
      </c>
      <c r="E757" s="4">
        <v>1010006.0</v>
      </c>
      <c r="F757" s="2">
        <v>1.0</v>
      </c>
      <c r="G757" s="2" t="s">
        <v>1</v>
      </c>
      <c r="H757" s="2" t="s">
        <v>53</v>
      </c>
      <c r="I757" s="2" t="s">
        <v>15</v>
      </c>
      <c r="J757" s="2" t="s">
        <v>15</v>
      </c>
    </row>
    <row r="758" ht="15.75" customHeight="1">
      <c r="A758" s="1" t="s">
        <v>1522</v>
      </c>
      <c r="B758" s="1" t="s">
        <v>1523</v>
      </c>
      <c r="C758" s="1" t="s">
        <v>12</v>
      </c>
      <c r="D758" s="1" t="s">
        <v>1511</v>
      </c>
      <c r="E758" s="4">
        <v>1010006.0</v>
      </c>
      <c r="F758" s="2">
        <v>2.0</v>
      </c>
      <c r="G758" s="2" t="s">
        <v>1</v>
      </c>
      <c r="H758" s="2" t="s">
        <v>14</v>
      </c>
      <c r="I758" s="5" t="str">
        <f>IFERROR(
  MID(
    SUBSTITUTE(B758, CHAR(10), ""),
    FIND("_Gross ROI=", SUBSTITUTE(B758, CHAR(10), "")) + LEN("_Gross ROI="),
    FIND("%", SUBSTITUTE(B758, CHAR(10), ""), FIND("_Gross ROI=", SUBSTITUTE(B758, CHAR(10), "")))
      - FIND("_Gross ROI=", SUBSTITUTE(B758, CHAR(10), "")) - LEN("_Gross ROI=") + 1
  ),
  ""
)</f>
        <v>7.02%</v>
      </c>
      <c r="J758" s="5" t="str">
        <f>IFERROR(
  MID(
    SUBSTITUTE(B758, CHAR(10), ""),
    FIND("_Median annual rent=", SUBSTITUTE(B758, CHAR(10), "")) + LEN("_Median annual rent="),
    FIND("K", SUBSTITUTE(B758, CHAR(10), ""), FIND("_Median annual rent=", SUBSTITUTE(B758, CHAR(10), "")))
      - FIND("_Median annual rent=", SUBSTITUTE(B758, CHAR(10), "")) - LEN("_Median annual rent=") + 1
  ),
  "")</f>
        <v>165K</v>
      </c>
    </row>
    <row r="759" ht="15.75" customHeight="1">
      <c r="A759" s="1" t="s">
        <v>1524</v>
      </c>
      <c r="B759" s="1" t="s">
        <v>1525</v>
      </c>
      <c r="C759" s="1" t="s">
        <v>12</v>
      </c>
      <c r="D759" s="1" t="s">
        <v>1511</v>
      </c>
      <c r="E759" s="4">
        <v>1010006.0</v>
      </c>
      <c r="F759" s="2">
        <v>2.0</v>
      </c>
      <c r="G759" s="2" t="s">
        <v>1</v>
      </c>
      <c r="H759" s="2" t="s">
        <v>18</v>
      </c>
      <c r="I759" s="2" t="s">
        <v>15</v>
      </c>
      <c r="J759" s="2" t="s">
        <v>15</v>
      </c>
    </row>
    <row r="760" ht="15.75" customHeight="1">
      <c r="A760" s="1" t="s">
        <v>1526</v>
      </c>
      <c r="B760" s="1" t="s">
        <v>1527</v>
      </c>
      <c r="C760" s="1" t="s">
        <v>12</v>
      </c>
      <c r="D760" s="1" t="s">
        <v>1511</v>
      </c>
      <c r="E760" s="4">
        <v>1010006.0</v>
      </c>
      <c r="F760" s="2">
        <v>2.0</v>
      </c>
      <c r="G760" s="2" t="s">
        <v>1</v>
      </c>
      <c r="H760" s="2" t="s">
        <v>53</v>
      </c>
      <c r="I760" s="2" t="s">
        <v>15</v>
      </c>
      <c r="J760" s="2" t="s">
        <v>15</v>
      </c>
    </row>
    <row r="761" ht="15.75" customHeight="1">
      <c r="A761" s="1" t="s">
        <v>1528</v>
      </c>
      <c r="B761" s="1" t="s">
        <v>1529</v>
      </c>
      <c r="C761" s="1" t="s">
        <v>12</v>
      </c>
      <c r="D761" s="1" t="s">
        <v>1511</v>
      </c>
      <c r="E761" s="4">
        <v>1010006.0</v>
      </c>
      <c r="F761" s="2">
        <v>3.0</v>
      </c>
      <c r="G761" s="2" t="s">
        <v>1</v>
      </c>
      <c r="H761" s="2" t="s">
        <v>14</v>
      </c>
      <c r="I761" s="2" t="s">
        <v>15</v>
      </c>
      <c r="J761" s="2" t="s">
        <v>15</v>
      </c>
    </row>
    <row r="762" ht="15.75" customHeight="1">
      <c r="A762" s="1" t="s">
        <v>1530</v>
      </c>
      <c r="B762" s="1" t="s">
        <v>1531</v>
      </c>
      <c r="C762" s="1" t="s">
        <v>12</v>
      </c>
      <c r="D762" s="1" t="s">
        <v>1511</v>
      </c>
      <c r="E762" s="4">
        <v>1010006.0</v>
      </c>
      <c r="F762" s="2">
        <v>3.0</v>
      </c>
      <c r="G762" s="2" t="s">
        <v>1</v>
      </c>
      <c r="H762" s="2" t="s">
        <v>18</v>
      </c>
      <c r="I762" s="2" t="s">
        <v>15</v>
      </c>
      <c r="J762" s="2" t="s">
        <v>15</v>
      </c>
    </row>
    <row r="763" ht="15.75" customHeight="1">
      <c r="A763" s="1" t="s">
        <v>1532</v>
      </c>
      <c r="B763" s="1" t="s">
        <v>1533</v>
      </c>
      <c r="C763" s="1" t="s">
        <v>12</v>
      </c>
      <c r="D763" s="1" t="s">
        <v>1511</v>
      </c>
      <c r="E763" s="4">
        <v>1010006.0</v>
      </c>
      <c r="F763" s="2">
        <v>3.0</v>
      </c>
      <c r="G763" s="2" t="s">
        <v>1</v>
      </c>
      <c r="H763" s="2" t="s">
        <v>53</v>
      </c>
      <c r="I763" s="2" t="s">
        <v>15</v>
      </c>
      <c r="J763" s="2" t="s">
        <v>15</v>
      </c>
    </row>
    <row r="764" ht="15.75" customHeight="1">
      <c r="A764" s="1" t="s">
        <v>1534</v>
      </c>
      <c r="B764" s="1" t="s">
        <v>1535</v>
      </c>
      <c r="C764" s="1" t="s">
        <v>12</v>
      </c>
      <c r="D764" s="1" t="s">
        <v>1511</v>
      </c>
      <c r="E764" s="4">
        <v>1010006.0</v>
      </c>
      <c r="F764" s="2" t="s">
        <v>15</v>
      </c>
      <c r="G764" s="2" t="s">
        <v>1</v>
      </c>
      <c r="H764" s="2" t="s">
        <v>53</v>
      </c>
      <c r="I764" s="2" t="s">
        <v>15</v>
      </c>
      <c r="J764" s="2" t="s">
        <v>15</v>
      </c>
    </row>
    <row r="765" ht="15.75" customHeight="1">
      <c r="A765" s="1" t="s">
        <v>1536</v>
      </c>
      <c r="B765" s="1" t="s">
        <v>1537</v>
      </c>
      <c r="C765" s="1" t="s">
        <v>12</v>
      </c>
      <c r="D765" s="1" t="s">
        <v>1511</v>
      </c>
      <c r="E765" s="4">
        <v>1010006.0</v>
      </c>
      <c r="F765" s="2" t="s">
        <v>30</v>
      </c>
      <c r="G765" s="2" t="s">
        <v>1</v>
      </c>
      <c r="H765" s="2" t="s">
        <v>53</v>
      </c>
      <c r="I765" s="2" t="s">
        <v>15</v>
      </c>
      <c r="J765" s="2" t="s">
        <v>15</v>
      </c>
    </row>
    <row r="766" ht="15.75" customHeight="1">
      <c r="A766" s="1" t="s">
        <v>1538</v>
      </c>
      <c r="B766" s="1" t="s">
        <v>1539</v>
      </c>
      <c r="C766" s="1" t="s">
        <v>12</v>
      </c>
      <c r="D766" s="1" t="s">
        <v>1511</v>
      </c>
      <c r="E766" s="4">
        <v>1010006.0</v>
      </c>
      <c r="F766" s="2" t="s">
        <v>30</v>
      </c>
      <c r="G766" s="2" t="s">
        <v>1</v>
      </c>
      <c r="H766" s="2" t="s">
        <v>14</v>
      </c>
      <c r="I766" s="2" t="s">
        <v>15</v>
      </c>
      <c r="J766" s="2" t="s">
        <v>15</v>
      </c>
    </row>
    <row r="767" ht="15.75" customHeight="1">
      <c r="A767" s="1" t="s">
        <v>1540</v>
      </c>
      <c r="B767" s="1" t="s">
        <v>1541</v>
      </c>
      <c r="C767" s="1" t="s">
        <v>12</v>
      </c>
      <c r="D767" s="1" t="s">
        <v>1511</v>
      </c>
      <c r="E767" s="4">
        <v>1010006.0</v>
      </c>
      <c r="F767" s="2" t="s">
        <v>15</v>
      </c>
      <c r="G767" s="2" t="s">
        <v>33</v>
      </c>
      <c r="H767" s="2" t="s">
        <v>15</v>
      </c>
      <c r="I767" s="2" t="s">
        <v>15</v>
      </c>
      <c r="J767" s="2" t="s">
        <v>15</v>
      </c>
    </row>
    <row r="768" ht="15.75" customHeight="1">
      <c r="A768" s="1" t="s">
        <v>1542</v>
      </c>
      <c r="B768" s="6" t="s">
        <v>1543</v>
      </c>
      <c r="C768" s="1" t="s">
        <v>12</v>
      </c>
      <c r="D768" s="1" t="s">
        <v>1544</v>
      </c>
      <c r="E768" s="4">
        <v>1010070.0</v>
      </c>
      <c r="F768" s="2" t="s">
        <v>36</v>
      </c>
      <c r="G768" s="2" t="s">
        <v>1</v>
      </c>
      <c r="H768" s="2" t="s">
        <v>14</v>
      </c>
      <c r="I768" s="2" t="s">
        <v>15</v>
      </c>
      <c r="J768" s="2" t="s">
        <v>15</v>
      </c>
    </row>
    <row r="769" ht="15.75" customHeight="1">
      <c r="A769" s="1" t="s">
        <v>1545</v>
      </c>
      <c r="B769" s="1" t="s">
        <v>1546</v>
      </c>
      <c r="C769" s="1" t="s">
        <v>12</v>
      </c>
      <c r="D769" s="1" t="s">
        <v>1544</v>
      </c>
      <c r="E769" s="4">
        <v>1010070.0</v>
      </c>
      <c r="F769" s="2" t="s">
        <v>36</v>
      </c>
      <c r="G769" s="2" t="s">
        <v>1</v>
      </c>
      <c r="H769" s="2" t="s">
        <v>18</v>
      </c>
      <c r="I769" s="2" t="s">
        <v>15</v>
      </c>
      <c r="J769" s="2" t="s">
        <v>15</v>
      </c>
    </row>
    <row r="770" ht="15.75" customHeight="1">
      <c r="A770" s="1" t="s">
        <v>1547</v>
      </c>
      <c r="B770" s="1" t="s">
        <v>1548</v>
      </c>
      <c r="C770" s="1" t="s">
        <v>12</v>
      </c>
      <c r="D770" s="1" t="s">
        <v>1544</v>
      </c>
      <c r="E770" s="4">
        <v>1010070.0</v>
      </c>
      <c r="F770" s="2">
        <v>1.0</v>
      </c>
      <c r="G770" s="2" t="s">
        <v>1</v>
      </c>
      <c r="H770" s="2" t="s">
        <v>14</v>
      </c>
      <c r="I770" s="2" t="s">
        <v>15</v>
      </c>
      <c r="J770" s="2" t="s">
        <v>15</v>
      </c>
    </row>
    <row r="771" ht="15.75" customHeight="1">
      <c r="A771" s="1" t="s">
        <v>1549</v>
      </c>
      <c r="B771" s="1" t="s">
        <v>1550</v>
      </c>
      <c r="C771" s="1" t="s">
        <v>12</v>
      </c>
      <c r="D771" s="1" t="s">
        <v>1544</v>
      </c>
      <c r="E771" s="4">
        <v>1010070.0</v>
      </c>
      <c r="F771" s="2">
        <v>1.0</v>
      </c>
      <c r="G771" s="2" t="s">
        <v>1</v>
      </c>
      <c r="H771" s="2" t="s">
        <v>18</v>
      </c>
      <c r="I771" s="2" t="s">
        <v>15</v>
      </c>
      <c r="J771" s="2" t="s">
        <v>15</v>
      </c>
    </row>
    <row r="772" ht="15.75" customHeight="1">
      <c r="A772" s="1" t="s">
        <v>1551</v>
      </c>
      <c r="B772" s="6" t="s">
        <v>1552</v>
      </c>
      <c r="C772" s="1" t="s">
        <v>12</v>
      </c>
      <c r="D772" s="1" t="s">
        <v>1544</v>
      </c>
      <c r="E772" s="4">
        <v>1010070.0</v>
      </c>
      <c r="F772" s="2">
        <v>2.0</v>
      </c>
      <c r="G772" s="2" t="s">
        <v>1</v>
      </c>
      <c r="H772" s="2" t="s">
        <v>14</v>
      </c>
      <c r="I772" s="2" t="s">
        <v>15</v>
      </c>
      <c r="J772" s="2" t="s">
        <v>15</v>
      </c>
    </row>
    <row r="773" ht="15.75" customHeight="1">
      <c r="A773" s="1" t="s">
        <v>1553</v>
      </c>
      <c r="B773" s="1" t="s">
        <v>1554</v>
      </c>
      <c r="C773" s="1" t="s">
        <v>12</v>
      </c>
      <c r="D773" s="1" t="s">
        <v>1544</v>
      </c>
      <c r="E773" s="4">
        <v>1010070.0</v>
      </c>
      <c r="F773" s="2">
        <v>2.0</v>
      </c>
      <c r="G773" s="2" t="s">
        <v>1</v>
      </c>
      <c r="H773" s="2" t="s">
        <v>18</v>
      </c>
      <c r="I773" s="2" t="s">
        <v>15</v>
      </c>
      <c r="J773" s="2" t="s">
        <v>15</v>
      </c>
    </row>
    <row r="774" ht="15.75" customHeight="1">
      <c r="A774" s="1" t="s">
        <v>1555</v>
      </c>
      <c r="B774" s="1" t="s">
        <v>1556</v>
      </c>
      <c r="C774" s="1" t="s">
        <v>12</v>
      </c>
      <c r="D774" s="1" t="s">
        <v>1544</v>
      </c>
      <c r="E774" s="4">
        <v>1010070.0</v>
      </c>
      <c r="F774" s="2">
        <v>3.0</v>
      </c>
      <c r="G774" s="2" t="s">
        <v>1</v>
      </c>
      <c r="H774" s="2" t="s">
        <v>14</v>
      </c>
      <c r="I774" s="2" t="s">
        <v>15</v>
      </c>
      <c r="J774" s="2" t="s">
        <v>15</v>
      </c>
    </row>
    <row r="775" ht="15.75" customHeight="1">
      <c r="A775" s="1" t="s">
        <v>1557</v>
      </c>
      <c r="B775" s="1" t="s">
        <v>1558</v>
      </c>
      <c r="C775" s="1" t="s">
        <v>12</v>
      </c>
      <c r="D775" s="1" t="s">
        <v>1544</v>
      </c>
      <c r="E775" s="4">
        <v>1010070.0</v>
      </c>
      <c r="F775" s="2">
        <v>3.0</v>
      </c>
      <c r="G775" s="2" t="s">
        <v>1</v>
      </c>
      <c r="H775" s="2" t="s">
        <v>18</v>
      </c>
      <c r="I775" s="2" t="s">
        <v>15</v>
      </c>
      <c r="J775" s="2" t="s">
        <v>15</v>
      </c>
    </row>
    <row r="776" ht="15.75" customHeight="1">
      <c r="A776" s="1" t="s">
        <v>1559</v>
      </c>
      <c r="B776" s="1" t="s">
        <v>1560</v>
      </c>
      <c r="C776" s="1" t="s">
        <v>12</v>
      </c>
      <c r="D776" s="1" t="s">
        <v>1544</v>
      </c>
      <c r="E776" s="4">
        <v>1010070.0</v>
      </c>
      <c r="F776" s="2" t="s">
        <v>30</v>
      </c>
      <c r="G776" s="2" t="s">
        <v>1</v>
      </c>
      <c r="H776" s="2" t="s">
        <v>14</v>
      </c>
      <c r="I776" s="2" t="s">
        <v>15</v>
      </c>
      <c r="J776" s="2" t="s">
        <v>15</v>
      </c>
    </row>
    <row r="777" ht="15.75" customHeight="1">
      <c r="A777" s="1" t="s">
        <v>1561</v>
      </c>
      <c r="B777" s="1" t="s">
        <v>1562</v>
      </c>
      <c r="C777" s="1" t="s">
        <v>12</v>
      </c>
      <c r="D777" s="1" t="s">
        <v>1544</v>
      </c>
      <c r="E777" s="4">
        <v>1010070.0</v>
      </c>
      <c r="F777" s="2" t="s">
        <v>15</v>
      </c>
      <c r="G777" s="2" t="s">
        <v>33</v>
      </c>
      <c r="H777" s="2" t="s">
        <v>15</v>
      </c>
      <c r="I777" s="2" t="s">
        <v>15</v>
      </c>
      <c r="J777" s="2" t="s">
        <v>15</v>
      </c>
    </row>
    <row r="778" ht="15.75" customHeight="1">
      <c r="A778" s="1" t="s">
        <v>1563</v>
      </c>
      <c r="B778" s="1" t="s">
        <v>1564</v>
      </c>
      <c r="C778" s="1" t="s">
        <v>12</v>
      </c>
      <c r="D778" s="1" t="s">
        <v>1565</v>
      </c>
      <c r="E778" s="4">
        <v>1010134.0</v>
      </c>
      <c r="F778" s="2" t="s">
        <v>36</v>
      </c>
      <c r="G778" s="2" t="s">
        <v>1</v>
      </c>
      <c r="H778" s="2" t="s">
        <v>14</v>
      </c>
      <c r="I778" s="2" t="s">
        <v>15</v>
      </c>
      <c r="J778" s="2" t="s">
        <v>15</v>
      </c>
    </row>
    <row r="779" ht="15.75" customHeight="1">
      <c r="A779" s="1" t="s">
        <v>1566</v>
      </c>
      <c r="B779" s="1" t="s">
        <v>1567</v>
      </c>
      <c r="C779" s="1" t="s">
        <v>12</v>
      </c>
      <c r="D779" s="1" t="s">
        <v>1565</v>
      </c>
      <c r="E779" s="4">
        <v>1010134.0</v>
      </c>
      <c r="F779" s="2" t="s">
        <v>36</v>
      </c>
      <c r="G779" s="2" t="s">
        <v>1</v>
      </c>
      <c r="H779" s="2" t="s">
        <v>18</v>
      </c>
      <c r="I779" s="2" t="s">
        <v>15</v>
      </c>
      <c r="J779" s="2" t="s">
        <v>15</v>
      </c>
    </row>
    <row r="780" ht="15.75" customHeight="1">
      <c r="A780" s="1" t="s">
        <v>1568</v>
      </c>
      <c r="B780" s="1" t="s">
        <v>1569</v>
      </c>
      <c r="C780" s="1" t="s">
        <v>12</v>
      </c>
      <c r="D780" s="1" t="s">
        <v>1565</v>
      </c>
      <c r="E780" s="4">
        <v>1010134.0</v>
      </c>
      <c r="F780" s="2">
        <v>1.0</v>
      </c>
      <c r="G780" s="2" t="s">
        <v>1</v>
      </c>
      <c r="H780" s="2" t="s">
        <v>14</v>
      </c>
      <c r="I780" s="2" t="s">
        <v>15</v>
      </c>
      <c r="J780" s="2" t="s">
        <v>15</v>
      </c>
    </row>
    <row r="781" ht="15.75" customHeight="1">
      <c r="A781" s="1" t="s">
        <v>1570</v>
      </c>
      <c r="B781" s="1" t="s">
        <v>1571</v>
      </c>
      <c r="C781" s="1" t="s">
        <v>12</v>
      </c>
      <c r="D781" s="1" t="s">
        <v>1565</v>
      </c>
      <c r="E781" s="4">
        <v>1010134.0</v>
      </c>
      <c r="F781" s="2">
        <v>1.0</v>
      </c>
      <c r="G781" s="2" t="s">
        <v>1</v>
      </c>
      <c r="H781" s="2" t="s">
        <v>18</v>
      </c>
      <c r="I781" s="2" t="s">
        <v>15</v>
      </c>
      <c r="J781" s="2" t="s">
        <v>15</v>
      </c>
    </row>
    <row r="782" ht="15.75" customHeight="1">
      <c r="A782" s="1" t="s">
        <v>1572</v>
      </c>
      <c r="B782" s="1" t="s">
        <v>1573</v>
      </c>
      <c r="C782" s="1" t="s">
        <v>12</v>
      </c>
      <c r="D782" s="1" t="s">
        <v>1565</v>
      </c>
      <c r="E782" s="4">
        <v>1010134.0</v>
      </c>
      <c r="F782" s="2">
        <v>2.0</v>
      </c>
      <c r="G782" s="2" t="s">
        <v>1</v>
      </c>
      <c r="H782" s="2" t="s">
        <v>14</v>
      </c>
      <c r="I782" s="2" t="s">
        <v>15</v>
      </c>
      <c r="J782" s="2" t="s">
        <v>15</v>
      </c>
    </row>
    <row r="783" ht="15.75" customHeight="1">
      <c r="A783" s="1" t="s">
        <v>1574</v>
      </c>
      <c r="B783" s="1" t="s">
        <v>1575</v>
      </c>
      <c r="C783" s="1" t="s">
        <v>12</v>
      </c>
      <c r="D783" s="1" t="s">
        <v>1565</v>
      </c>
      <c r="E783" s="4">
        <v>1010134.0</v>
      </c>
      <c r="F783" s="2">
        <v>2.0</v>
      </c>
      <c r="G783" s="2" t="s">
        <v>1</v>
      </c>
      <c r="H783" s="2" t="s">
        <v>18</v>
      </c>
      <c r="I783" s="2" t="s">
        <v>15</v>
      </c>
      <c r="J783" s="2" t="s">
        <v>15</v>
      </c>
    </row>
    <row r="784" ht="15.75" customHeight="1">
      <c r="A784" s="1" t="s">
        <v>1576</v>
      </c>
      <c r="B784" s="1" t="s">
        <v>1577</v>
      </c>
      <c r="C784" s="1" t="s">
        <v>12</v>
      </c>
      <c r="D784" s="1" t="s">
        <v>1565</v>
      </c>
      <c r="E784" s="4">
        <v>1010134.0</v>
      </c>
      <c r="F784" s="2" t="s">
        <v>30</v>
      </c>
      <c r="G784" s="2" t="s">
        <v>1</v>
      </c>
      <c r="H784" s="2" t="s">
        <v>14</v>
      </c>
      <c r="I784" s="2" t="s">
        <v>15</v>
      </c>
      <c r="J784" s="2" t="s">
        <v>15</v>
      </c>
    </row>
    <row r="785" ht="15.75" customHeight="1">
      <c r="A785" s="1" t="s">
        <v>1578</v>
      </c>
      <c r="B785" s="1" t="s">
        <v>1579</v>
      </c>
      <c r="C785" s="1" t="s">
        <v>12</v>
      </c>
      <c r="D785" s="1" t="s">
        <v>1565</v>
      </c>
      <c r="E785" s="4">
        <v>1010134.0</v>
      </c>
      <c r="F785" s="2" t="s">
        <v>15</v>
      </c>
      <c r="G785" s="2" t="s">
        <v>33</v>
      </c>
      <c r="H785" s="2" t="s">
        <v>15</v>
      </c>
      <c r="I785" s="2" t="s">
        <v>15</v>
      </c>
      <c r="J785" s="2" t="s">
        <v>15</v>
      </c>
    </row>
    <row r="786" ht="15.75" customHeight="1">
      <c r="A786" s="1" t="s">
        <v>1580</v>
      </c>
      <c r="B786" s="1" t="s">
        <v>1581</v>
      </c>
      <c r="C786" s="1" t="s">
        <v>12</v>
      </c>
      <c r="D786" s="1" t="s">
        <v>1582</v>
      </c>
      <c r="E786" s="4">
        <v>1010198.0</v>
      </c>
      <c r="F786" s="2" t="s">
        <v>36</v>
      </c>
      <c r="G786" s="2" t="s">
        <v>1</v>
      </c>
      <c r="H786" s="2" t="s">
        <v>14</v>
      </c>
      <c r="I786" s="2" t="s">
        <v>15</v>
      </c>
      <c r="J786" s="2" t="s">
        <v>15</v>
      </c>
    </row>
    <row r="787" ht="15.75" customHeight="1">
      <c r="A787" s="1" t="s">
        <v>1583</v>
      </c>
      <c r="B787" s="1" t="s">
        <v>1584</v>
      </c>
      <c r="C787" s="1" t="s">
        <v>12</v>
      </c>
      <c r="D787" s="1" t="s">
        <v>1582</v>
      </c>
      <c r="E787" s="4">
        <v>1010198.0</v>
      </c>
      <c r="F787" s="2" t="s">
        <v>36</v>
      </c>
      <c r="G787" s="2" t="s">
        <v>1</v>
      </c>
      <c r="H787" s="2" t="s">
        <v>18</v>
      </c>
      <c r="I787" s="2" t="s">
        <v>15</v>
      </c>
      <c r="J787" s="2" t="s">
        <v>15</v>
      </c>
    </row>
    <row r="788" ht="15.75" customHeight="1">
      <c r="A788" s="1" t="s">
        <v>1585</v>
      </c>
      <c r="B788" s="1" t="s">
        <v>1586</v>
      </c>
      <c r="C788" s="1" t="s">
        <v>12</v>
      </c>
      <c r="D788" s="1" t="s">
        <v>1582</v>
      </c>
      <c r="E788" s="4">
        <v>1010198.0</v>
      </c>
      <c r="F788" s="2">
        <v>1.0</v>
      </c>
      <c r="G788" s="2" t="s">
        <v>1</v>
      </c>
      <c r="H788" s="2" t="s">
        <v>14</v>
      </c>
      <c r="I788" s="2" t="s">
        <v>15</v>
      </c>
      <c r="J788" s="2" t="s">
        <v>15</v>
      </c>
    </row>
    <row r="789" ht="15.75" customHeight="1">
      <c r="A789" s="1" t="s">
        <v>1587</v>
      </c>
      <c r="B789" s="1" t="s">
        <v>1588</v>
      </c>
      <c r="C789" s="1" t="s">
        <v>12</v>
      </c>
      <c r="D789" s="1" t="s">
        <v>1582</v>
      </c>
      <c r="E789" s="4">
        <v>1010198.0</v>
      </c>
      <c r="F789" s="2">
        <v>1.0</v>
      </c>
      <c r="G789" s="2" t="s">
        <v>1</v>
      </c>
      <c r="H789" s="2" t="s">
        <v>18</v>
      </c>
      <c r="I789" s="2" t="s">
        <v>15</v>
      </c>
      <c r="J789" s="2" t="s">
        <v>15</v>
      </c>
    </row>
    <row r="790" ht="15.75" customHeight="1">
      <c r="A790" s="1" t="s">
        <v>1589</v>
      </c>
      <c r="B790" s="1" t="s">
        <v>1590</v>
      </c>
      <c r="C790" s="1" t="s">
        <v>12</v>
      </c>
      <c r="D790" s="1" t="s">
        <v>1582</v>
      </c>
      <c r="E790" s="4">
        <v>1010198.0</v>
      </c>
      <c r="F790" s="2">
        <v>2.0</v>
      </c>
      <c r="G790" s="2" t="s">
        <v>1</v>
      </c>
      <c r="H790" s="2" t="s">
        <v>14</v>
      </c>
      <c r="I790" s="2" t="s">
        <v>15</v>
      </c>
      <c r="J790" s="2" t="s">
        <v>15</v>
      </c>
    </row>
    <row r="791" ht="15.75" customHeight="1">
      <c r="A791" s="1" t="s">
        <v>1591</v>
      </c>
      <c r="B791" s="1" t="s">
        <v>1592</v>
      </c>
      <c r="C791" s="1" t="s">
        <v>12</v>
      </c>
      <c r="D791" s="1" t="s">
        <v>1582</v>
      </c>
      <c r="E791" s="4">
        <v>1010198.0</v>
      </c>
      <c r="F791" s="2">
        <v>2.0</v>
      </c>
      <c r="G791" s="2" t="s">
        <v>1</v>
      </c>
      <c r="H791" s="2" t="s">
        <v>18</v>
      </c>
      <c r="I791" s="2" t="s">
        <v>15</v>
      </c>
      <c r="J791" s="2" t="s">
        <v>15</v>
      </c>
    </row>
    <row r="792" ht="15.75" customHeight="1">
      <c r="A792" s="1" t="s">
        <v>1593</v>
      </c>
      <c r="B792" s="1" t="s">
        <v>1594</v>
      </c>
      <c r="C792" s="1" t="s">
        <v>12</v>
      </c>
      <c r="D792" s="1" t="s">
        <v>1582</v>
      </c>
      <c r="E792" s="4">
        <v>1010198.0</v>
      </c>
      <c r="F792" s="2">
        <v>3.0</v>
      </c>
      <c r="G792" s="2" t="s">
        <v>1</v>
      </c>
      <c r="H792" s="2" t="s">
        <v>14</v>
      </c>
      <c r="I792" s="2" t="s">
        <v>15</v>
      </c>
      <c r="J792" s="2" t="s">
        <v>15</v>
      </c>
    </row>
    <row r="793" ht="15.75" customHeight="1">
      <c r="A793" s="1" t="s">
        <v>1595</v>
      </c>
      <c r="B793" s="1" t="s">
        <v>1596</v>
      </c>
      <c r="C793" s="1" t="s">
        <v>12</v>
      </c>
      <c r="D793" s="1" t="s">
        <v>1582</v>
      </c>
      <c r="E793" s="4">
        <v>1010198.0</v>
      </c>
      <c r="F793" s="2">
        <v>3.0</v>
      </c>
      <c r="G793" s="2" t="s">
        <v>1</v>
      </c>
      <c r="H793" s="2" t="s">
        <v>18</v>
      </c>
      <c r="I793" s="2" t="s">
        <v>15</v>
      </c>
      <c r="J793" s="2" t="s">
        <v>15</v>
      </c>
    </row>
    <row r="794" ht="15.75" customHeight="1">
      <c r="A794" s="1" t="s">
        <v>1597</v>
      </c>
      <c r="B794" s="1" t="s">
        <v>1598</v>
      </c>
      <c r="C794" s="1" t="s">
        <v>12</v>
      </c>
      <c r="D794" s="1" t="s">
        <v>1582</v>
      </c>
      <c r="E794" s="4">
        <v>1010198.0</v>
      </c>
      <c r="F794" s="2" t="s">
        <v>30</v>
      </c>
      <c r="G794" s="2" t="s">
        <v>1</v>
      </c>
      <c r="H794" s="2" t="s">
        <v>14</v>
      </c>
      <c r="I794" s="2" t="s">
        <v>15</v>
      </c>
      <c r="J794" s="2" t="s">
        <v>15</v>
      </c>
    </row>
    <row r="795" ht="15.75" customHeight="1">
      <c r="A795" s="1" t="s">
        <v>1599</v>
      </c>
      <c r="B795" s="1" t="s">
        <v>1600</v>
      </c>
      <c r="C795" s="1" t="s">
        <v>12</v>
      </c>
      <c r="D795" s="1" t="s">
        <v>1582</v>
      </c>
      <c r="E795" s="4">
        <v>1010198.0</v>
      </c>
      <c r="F795" s="2" t="s">
        <v>15</v>
      </c>
      <c r="G795" s="2" t="s">
        <v>33</v>
      </c>
      <c r="H795" s="2" t="s">
        <v>15</v>
      </c>
      <c r="I795" s="2" t="s">
        <v>15</v>
      </c>
      <c r="J795" s="2" t="s">
        <v>15</v>
      </c>
    </row>
    <row r="796" ht="15.75" customHeight="1">
      <c r="A796" s="1" t="s">
        <v>1601</v>
      </c>
      <c r="B796" s="3" t="s">
        <v>1602</v>
      </c>
      <c r="C796" s="1" t="s">
        <v>12</v>
      </c>
      <c r="D796" s="1" t="s">
        <v>1603</v>
      </c>
      <c r="E796" s="4">
        <v>1010262.0</v>
      </c>
      <c r="F796" s="2" t="s">
        <v>36</v>
      </c>
      <c r="G796" s="2" t="s">
        <v>1</v>
      </c>
      <c r="H796" s="2" t="s">
        <v>14</v>
      </c>
      <c r="I796" s="5" t="str">
        <f>IFERROR(
  MID(
    SUBSTITUTE(B796, CHAR(10), ""),
    FIND("_Gross ROI=", SUBSTITUTE(B796, CHAR(10), "")) + LEN("_Gross ROI="),
    FIND("%", SUBSTITUTE(B796, CHAR(10), ""), FIND("_Gross ROI=", SUBSTITUTE(B796, CHAR(10), "")))
      - FIND("_Gross ROI=", SUBSTITUTE(B796, CHAR(10), "")) - LEN("_Gross ROI=") + 1
  ),
  ""
)</f>
        <v>8.35%</v>
      </c>
      <c r="J796" s="5" t="str">
        <f>IFERROR(
  MID(
    SUBSTITUTE(B796, CHAR(10), ""),
    FIND("_Median annual rent=", SUBSTITUTE(B796, CHAR(10), "")) + LEN("_Median annual rent="),
    FIND("K", SUBSTITUTE(B796, CHAR(10), ""), FIND("_Median annual rent=", SUBSTITUTE(B796, CHAR(10), "")))
      - FIND("_Median annual rent=", SUBSTITUTE(B796, CHAR(10), "")) - LEN("_Median annual rent=") + 1
  ),
  "")</f>
        <v>80K</v>
      </c>
    </row>
    <row r="797" ht="15.75" customHeight="1">
      <c r="A797" s="1" t="s">
        <v>1604</v>
      </c>
      <c r="B797" s="1" t="s">
        <v>1605</v>
      </c>
      <c r="C797" s="1" t="s">
        <v>12</v>
      </c>
      <c r="D797" s="1" t="s">
        <v>1603</v>
      </c>
      <c r="E797" s="4">
        <v>1010262.0</v>
      </c>
      <c r="F797" s="2" t="s">
        <v>36</v>
      </c>
      <c r="G797" s="2" t="s">
        <v>1</v>
      </c>
      <c r="H797" s="2" t="s">
        <v>18</v>
      </c>
      <c r="I797" s="2" t="s">
        <v>15</v>
      </c>
      <c r="J797" s="2" t="s">
        <v>15</v>
      </c>
    </row>
    <row r="798" ht="15.75" customHeight="1">
      <c r="A798" s="1" t="s">
        <v>1606</v>
      </c>
      <c r="B798" s="1" t="s">
        <v>1607</v>
      </c>
      <c r="C798" s="1" t="s">
        <v>12</v>
      </c>
      <c r="D798" s="1" t="s">
        <v>1603</v>
      </c>
      <c r="E798" s="4">
        <v>1010262.0</v>
      </c>
      <c r="F798" s="2" t="s">
        <v>36</v>
      </c>
      <c r="G798" s="2" t="s">
        <v>1</v>
      </c>
      <c r="H798" s="2" t="s">
        <v>53</v>
      </c>
      <c r="I798" s="2" t="s">
        <v>15</v>
      </c>
      <c r="J798" s="2" t="s">
        <v>15</v>
      </c>
    </row>
    <row r="799" ht="15.75" customHeight="1">
      <c r="A799" s="1" t="s">
        <v>1608</v>
      </c>
      <c r="B799" s="3" t="s">
        <v>1609</v>
      </c>
      <c r="C799" s="1" t="s">
        <v>12</v>
      </c>
      <c r="D799" s="1" t="s">
        <v>1603</v>
      </c>
      <c r="E799" s="4">
        <v>1010262.0</v>
      </c>
      <c r="F799" s="2">
        <v>1.0</v>
      </c>
      <c r="G799" s="2" t="s">
        <v>1</v>
      </c>
      <c r="H799" s="2" t="s">
        <v>14</v>
      </c>
      <c r="I799" s="5" t="str">
        <f>IFERROR(
  MID(
    SUBSTITUTE(B799, CHAR(10), ""),
    FIND("_Gross ROI=", SUBSTITUTE(B799, CHAR(10), "")) + LEN("_Gross ROI="),
    FIND("%", SUBSTITUTE(B799, CHAR(10), ""), FIND("_Gross ROI=", SUBSTITUTE(B799, CHAR(10), "")))
      - FIND("_Gross ROI=", SUBSTITUTE(B799, CHAR(10), "")) - LEN("_Gross ROI=") + 1
  ),
  ""
)</f>
        <v>7%</v>
      </c>
      <c r="J799" s="5" t="str">
        <f>IFERROR(
  MID(
    SUBSTITUTE(B799, CHAR(10), ""),
    FIND("_Median annual rent=", SUBSTITUTE(B799, CHAR(10), "")) + LEN("_Median annual rent="),
    FIND("K", SUBSTITUTE(B799, CHAR(10), ""), FIND("_Median annual rent=", SUBSTITUTE(B799, CHAR(10), "")))
      - FIND("_Median annual rent=", SUBSTITUTE(B799, CHAR(10), "")) - LEN("_Median annual rent=") + 1
  ),
  "")</f>
        <v>102.5K</v>
      </c>
    </row>
    <row r="800" ht="15.75" customHeight="1">
      <c r="A800" s="1" t="s">
        <v>1610</v>
      </c>
      <c r="B800" s="1" t="s">
        <v>1611</v>
      </c>
      <c r="C800" s="1" t="s">
        <v>12</v>
      </c>
      <c r="D800" s="1" t="s">
        <v>1603</v>
      </c>
      <c r="E800" s="4">
        <v>1010262.0</v>
      </c>
      <c r="F800" s="2">
        <v>1.0</v>
      </c>
      <c r="G800" s="2" t="s">
        <v>1</v>
      </c>
      <c r="H800" s="2" t="s">
        <v>18</v>
      </c>
      <c r="I800" s="2" t="s">
        <v>15</v>
      </c>
      <c r="J800" s="2" t="s">
        <v>15</v>
      </c>
    </row>
    <row r="801" ht="15.75" customHeight="1">
      <c r="A801" s="1" t="s">
        <v>1612</v>
      </c>
      <c r="B801" s="1" t="s">
        <v>1613</v>
      </c>
      <c r="C801" s="1" t="s">
        <v>12</v>
      </c>
      <c r="D801" s="1" t="s">
        <v>1603</v>
      </c>
      <c r="E801" s="4">
        <v>1010262.0</v>
      </c>
      <c r="F801" s="2">
        <v>1.0</v>
      </c>
      <c r="G801" s="2" t="s">
        <v>1</v>
      </c>
      <c r="H801" s="2" t="s">
        <v>53</v>
      </c>
      <c r="I801" s="2" t="s">
        <v>15</v>
      </c>
      <c r="J801" s="2" t="s">
        <v>15</v>
      </c>
    </row>
    <row r="802" ht="15.75" customHeight="1">
      <c r="A802" s="1" t="s">
        <v>1614</v>
      </c>
      <c r="B802" s="1" t="s">
        <v>1615</v>
      </c>
      <c r="C802" s="1" t="s">
        <v>12</v>
      </c>
      <c r="D802" s="1" t="s">
        <v>1603</v>
      </c>
      <c r="E802" s="4">
        <v>1010262.0</v>
      </c>
      <c r="F802" s="2">
        <v>2.0</v>
      </c>
      <c r="G802" s="2" t="s">
        <v>1</v>
      </c>
      <c r="H802" s="2" t="s">
        <v>14</v>
      </c>
      <c r="I802" s="5" t="str">
        <f>IFERROR(
  MID(
    SUBSTITUTE(B802, CHAR(10), ""),
    FIND("_Gross ROI=", SUBSTITUTE(B802, CHAR(10), "")) + LEN("_Gross ROI="),
    FIND("%", SUBSTITUTE(B802, CHAR(10), ""), FIND("_Gross ROI=", SUBSTITUTE(B802, CHAR(10), "")))
      - FIND("_Gross ROI=", SUBSTITUTE(B802, CHAR(10), "")) - LEN("_Gross ROI=") + 1
  ),
  ""
)</f>
        <v>6.81%</v>
      </c>
      <c r="J802" s="5" t="str">
        <f>IFERROR(
  MID(
    SUBSTITUTE(B802, CHAR(10), ""),
    FIND("_Median annual rent=", SUBSTITUTE(B802, CHAR(10), "")) + LEN("_Median annual rent="),
    FIND("K", SUBSTITUTE(B802, CHAR(10), ""), FIND("_Median annual rent=", SUBSTITUTE(B802, CHAR(10), "")))
      - FIND("_Median annual rent=", SUBSTITUTE(B802, CHAR(10), "")) - LEN("_Median annual rent=") + 1
  ),
  "")</f>
        <v>150K</v>
      </c>
    </row>
    <row r="803" ht="15.75" customHeight="1">
      <c r="A803" s="1" t="s">
        <v>1616</v>
      </c>
      <c r="B803" s="1" t="s">
        <v>1617</v>
      </c>
      <c r="C803" s="1" t="s">
        <v>12</v>
      </c>
      <c r="D803" s="1" t="s">
        <v>1603</v>
      </c>
      <c r="E803" s="4">
        <v>1010262.0</v>
      </c>
      <c r="F803" s="2">
        <v>2.0</v>
      </c>
      <c r="G803" s="2" t="s">
        <v>1</v>
      </c>
      <c r="H803" s="2" t="s">
        <v>18</v>
      </c>
      <c r="I803" s="2" t="s">
        <v>15</v>
      </c>
      <c r="J803" s="2" t="s">
        <v>15</v>
      </c>
    </row>
    <row r="804" ht="15.75" customHeight="1">
      <c r="A804" s="1" t="s">
        <v>1618</v>
      </c>
      <c r="B804" s="1" t="s">
        <v>1619</v>
      </c>
      <c r="C804" s="1" t="s">
        <v>12</v>
      </c>
      <c r="D804" s="1" t="s">
        <v>1603</v>
      </c>
      <c r="E804" s="4">
        <v>1010262.0</v>
      </c>
      <c r="F804" s="2">
        <v>2.0</v>
      </c>
      <c r="G804" s="2" t="s">
        <v>1</v>
      </c>
      <c r="H804" s="2" t="s">
        <v>53</v>
      </c>
      <c r="I804" s="2" t="s">
        <v>15</v>
      </c>
      <c r="J804" s="2" t="s">
        <v>15</v>
      </c>
    </row>
    <row r="805" ht="15.75" customHeight="1">
      <c r="A805" s="1" t="s">
        <v>1620</v>
      </c>
      <c r="B805" s="1" t="s">
        <v>1621</v>
      </c>
      <c r="C805" s="1" t="s">
        <v>12</v>
      </c>
      <c r="D805" s="1" t="s">
        <v>1603</v>
      </c>
      <c r="E805" s="4">
        <v>1010262.0</v>
      </c>
      <c r="F805" s="2">
        <v>3.0</v>
      </c>
      <c r="G805" s="2" t="s">
        <v>1</v>
      </c>
      <c r="H805" s="2" t="s">
        <v>14</v>
      </c>
      <c r="I805" s="5" t="str">
        <f>IFERROR(
  MID(
    SUBSTITUTE(B805, CHAR(10), ""),
    FIND("_Gross ROI=", SUBSTITUTE(B805, CHAR(10), "")) + LEN("_Gross ROI="),
    FIND("%", SUBSTITUTE(B805, CHAR(10), ""), FIND("_Gross ROI=", SUBSTITUTE(B805, CHAR(10), "")))
      - FIND("_Gross ROI=", SUBSTITUTE(B805, CHAR(10), "")) - LEN("_Gross ROI=") + 1
  ),
  ""
)</f>
        <v>6.93%</v>
      </c>
      <c r="J805" s="5" t="str">
        <f>IFERROR(
  MID(
    SUBSTITUTE(B805, CHAR(10), ""),
    FIND("_Median annual rent=", SUBSTITUTE(B805, CHAR(10), "")) + LEN("_Median annual rent="),
    FIND("K", SUBSTITUTE(B805, CHAR(10), ""), FIND("_Median annual rent=", SUBSTITUTE(B805, CHAR(10), "")))
      - FIND("_Median annual rent=", SUBSTITUTE(B805, CHAR(10), "")) - LEN("_Median annual rent=") + 1
  ),
  "")</f>
        <v>210.3K</v>
      </c>
    </row>
    <row r="806" ht="15.75" customHeight="1">
      <c r="A806" s="1" t="s">
        <v>1622</v>
      </c>
      <c r="B806" s="1" t="s">
        <v>1623</v>
      </c>
      <c r="C806" s="1" t="s">
        <v>12</v>
      </c>
      <c r="D806" s="1" t="s">
        <v>1603</v>
      </c>
      <c r="E806" s="4">
        <v>1010262.0</v>
      </c>
      <c r="F806" s="2">
        <v>3.0</v>
      </c>
      <c r="G806" s="2" t="s">
        <v>1</v>
      </c>
      <c r="H806" s="2" t="s">
        <v>18</v>
      </c>
      <c r="I806" s="2" t="s">
        <v>15</v>
      </c>
      <c r="J806" s="2" t="s">
        <v>15</v>
      </c>
    </row>
    <row r="807" ht="15.75" customHeight="1">
      <c r="A807" s="1" t="s">
        <v>1624</v>
      </c>
      <c r="B807" s="1" t="s">
        <v>1625</v>
      </c>
      <c r="C807" s="1" t="s">
        <v>12</v>
      </c>
      <c r="D807" s="1" t="s">
        <v>1603</v>
      </c>
      <c r="E807" s="4">
        <v>1010262.0</v>
      </c>
      <c r="F807" s="2">
        <v>3.0</v>
      </c>
      <c r="G807" s="2" t="s">
        <v>1</v>
      </c>
      <c r="H807" s="2" t="s">
        <v>53</v>
      </c>
      <c r="I807" s="2" t="s">
        <v>15</v>
      </c>
      <c r="J807" s="2" t="s">
        <v>15</v>
      </c>
    </row>
    <row r="808" ht="15.75" customHeight="1">
      <c r="A808" s="1" t="s">
        <v>1626</v>
      </c>
      <c r="B808" s="1" t="s">
        <v>1627</v>
      </c>
      <c r="C808" s="1" t="s">
        <v>12</v>
      </c>
      <c r="D808" s="1" t="s">
        <v>1603</v>
      </c>
      <c r="E808" s="4">
        <v>1010262.0</v>
      </c>
      <c r="F808" s="2" t="s">
        <v>15</v>
      </c>
      <c r="G808" s="2" t="s">
        <v>1</v>
      </c>
      <c r="H808" s="2" t="s">
        <v>53</v>
      </c>
      <c r="I808" s="2" t="s">
        <v>15</v>
      </c>
      <c r="J808" s="2" t="s">
        <v>15</v>
      </c>
    </row>
    <row r="809" ht="15.75" customHeight="1">
      <c r="A809" s="1" t="s">
        <v>1628</v>
      </c>
      <c r="B809" s="1" t="s">
        <v>1629</v>
      </c>
      <c r="C809" s="1" t="s">
        <v>12</v>
      </c>
      <c r="D809" s="1" t="s">
        <v>1603</v>
      </c>
      <c r="E809" s="4">
        <v>1010262.0</v>
      </c>
      <c r="F809" s="2" t="s">
        <v>30</v>
      </c>
      <c r="G809" s="2" t="s">
        <v>1</v>
      </c>
      <c r="H809" s="2" t="s">
        <v>53</v>
      </c>
      <c r="I809" s="2" t="s">
        <v>15</v>
      </c>
      <c r="J809" s="2" t="s">
        <v>15</v>
      </c>
    </row>
    <row r="810" ht="15.75" customHeight="1">
      <c r="A810" s="1" t="s">
        <v>1630</v>
      </c>
      <c r="B810" s="1" t="s">
        <v>1631</v>
      </c>
      <c r="C810" s="1" t="s">
        <v>12</v>
      </c>
      <c r="D810" s="1" t="s">
        <v>1603</v>
      </c>
      <c r="E810" s="4">
        <v>1010262.0</v>
      </c>
      <c r="F810" s="2" t="s">
        <v>30</v>
      </c>
      <c r="G810" s="2" t="s">
        <v>1</v>
      </c>
      <c r="H810" s="2" t="s">
        <v>14</v>
      </c>
      <c r="I810" s="2" t="s">
        <v>15</v>
      </c>
      <c r="J810" s="2" t="s">
        <v>15</v>
      </c>
    </row>
    <row r="811" ht="15.75" customHeight="1">
      <c r="A811" s="1" t="s">
        <v>1632</v>
      </c>
      <c r="B811" s="1" t="s">
        <v>1633</v>
      </c>
      <c r="C811" s="1" t="s">
        <v>12</v>
      </c>
      <c r="D811" s="1" t="s">
        <v>1603</v>
      </c>
      <c r="E811" s="4">
        <v>1010262.0</v>
      </c>
      <c r="F811" s="2" t="s">
        <v>15</v>
      </c>
      <c r="G811" s="2" t="s">
        <v>33</v>
      </c>
      <c r="H811" s="2" t="s">
        <v>15</v>
      </c>
      <c r="I811" s="2" t="s">
        <v>15</v>
      </c>
      <c r="J811" s="2" t="s">
        <v>15</v>
      </c>
    </row>
    <row r="812" ht="15.75" customHeight="1">
      <c r="A812" s="1" t="s">
        <v>1634</v>
      </c>
      <c r="B812" s="3" t="s">
        <v>1635</v>
      </c>
      <c r="C812" s="1" t="s">
        <v>12</v>
      </c>
      <c r="D812" s="1" t="s">
        <v>1636</v>
      </c>
      <c r="E812" s="4">
        <v>1010326.0</v>
      </c>
      <c r="F812" s="2" t="s">
        <v>36</v>
      </c>
      <c r="G812" s="2" t="s">
        <v>1</v>
      </c>
      <c r="H812" s="2" t="s">
        <v>14</v>
      </c>
      <c r="I812" s="5" t="str">
        <f>IFERROR(
  MID(
    SUBSTITUTE(B812, CHAR(10), ""),
    FIND("_Gross ROI=", SUBSTITUTE(B812, CHAR(10), "")) + LEN("_Gross ROI="),
    FIND("%", SUBSTITUTE(B812, CHAR(10), ""), FIND("_Gross ROI=", SUBSTITUTE(B812, CHAR(10), "")))
      - FIND("_Gross ROI=", SUBSTITUTE(B812, CHAR(10), "")) - LEN("_Gross ROI=") + 1
  ),
  ""
)</f>
        <v>6.72%</v>
      </c>
      <c r="J812" s="5" t="str">
        <f>IFERROR(
  MID(
    SUBSTITUTE(B812, CHAR(10), ""),
    FIND("_Median annual rent=", SUBSTITUTE(B812, CHAR(10), "")) + LEN("_Median annual rent="),
    FIND("K", SUBSTITUTE(B812, CHAR(10), ""), FIND("_Median annual rent=", SUBSTITUTE(B812, CHAR(10), "")))
      - FIND("_Median annual rent=", SUBSTITUTE(B812, CHAR(10), "")) - LEN("_Median annual rent=") + 1
  ),
  "")</f>
        <v>92K</v>
      </c>
    </row>
    <row r="813" ht="15.75" customHeight="1">
      <c r="A813" s="1" t="s">
        <v>1637</v>
      </c>
      <c r="B813" s="1" t="s">
        <v>1638</v>
      </c>
      <c r="C813" s="1" t="s">
        <v>12</v>
      </c>
      <c r="D813" s="1" t="s">
        <v>1636</v>
      </c>
      <c r="E813" s="4">
        <v>1010326.0</v>
      </c>
      <c r="F813" s="2" t="s">
        <v>36</v>
      </c>
      <c r="G813" s="2" t="s">
        <v>1</v>
      </c>
      <c r="H813" s="2" t="s">
        <v>18</v>
      </c>
      <c r="I813" s="2" t="s">
        <v>15</v>
      </c>
      <c r="J813" s="2" t="s">
        <v>15</v>
      </c>
    </row>
    <row r="814" ht="15.75" customHeight="1">
      <c r="A814" s="1" t="s">
        <v>1639</v>
      </c>
      <c r="B814" s="1" t="s">
        <v>1640</v>
      </c>
      <c r="C814" s="1" t="s">
        <v>12</v>
      </c>
      <c r="D814" s="1" t="s">
        <v>1636</v>
      </c>
      <c r="E814" s="4">
        <v>1010326.0</v>
      </c>
      <c r="F814" s="2" t="s">
        <v>36</v>
      </c>
      <c r="G814" s="2" t="s">
        <v>1</v>
      </c>
      <c r="H814" s="2" t="s">
        <v>53</v>
      </c>
      <c r="I814" s="2" t="s">
        <v>15</v>
      </c>
      <c r="J814" s="2" t="s">
        <v>15</v>
      </c>
    </row>
    <row r="815" ht="15.75" customHeight="1">
      <c r="A815" s="1" t="s">
        <v>1641</v>
      </c>
      <c r="B815" s="3" t="s">
        <v>1642</v>
      </c>
      <c r="C815" s="1" t="s">
        <v>12</v>
      </c>
      <c r="D815" s="1" t="s">
        <v>1636</v>
      </c>
      <c r="E815" s="4">
        <v>1010326.0</v>
      </c>
      <c r="F815" s="2">
        <v>1.0</v>
      </c>
      <c r="G815" s="2" t="s">
        <v>1</v>
      </c>
      <c r="H815" s="2" t="s">
        <v>14</v>
      </c>
      <c r="I815" s="5" t="str">
        <f>IFERROR(
  MID(
    SUBSTITUTE(B815, CHAR(10), ""),
    FIND("_Gross ROI=", SUBSTITUTE(B815, CHAR(10), "")) + LEN("_Gross ROI="),
    FIND("%", SUBSTITUTE(B815, CHAR(10), ""), FIND("_Gross ROI=", SUBSTITUTE(B815, CHAR(10), "")))
      - FIND("_Gross ROI=", SUBSTITUTE(B815, CHAR(10), "")) - LEN("_Gross ROI=") + 1
  ),
  ""
)</f>
        <v>6.12%</v>
      </c>
      <c r="J815" s="5" t="str">
        <f>IFERROR(
  MID(
    SUBSTITUTE(B815, CHAR(10), ""),
    FIND("_Median annual rent=", SUBSTITUTE(B815, CHAR(10), "")) + LEN("_Median annual rent="),
    FIND("K", SUBSTITUTE(B815, CHAR(10), ""), FIND("_Median annual rent=", SUBSTITUTE(B815, CHAR(10), "")))
      - FIND("_Median annual rent=", SUBSTITUTE(B815, CHAR(10), "")) - LEN("_Median annual rent=") + 1
  ),
  "")</f>
        <v>150K</v>
      </c>
    </row>
    <row r="816" ht="15.75" customHeight="1">
      <c r="A816" s="1" t="s">
        <v>1643</v>
      </c>
      <c r="B816" s="1" t="s">
        <v>1644</v>
      </c>
      <c r="C816" s="1" t="s">
        <v>12</v>
      </c>
      <c r="D816" s="1" t="s">
        <v>1636</v>
      </c>
      <c r="E816" s="4">
        <v>1010326.0</v>
      </c>
      <c r="F816" s="2">
        <v>1.0</v>
      </c>
      <c r="G816" s="2" t="s">
        <v>1</v>
      </c>
      <c r="H816" s="2" t="s">
        <v>18</v>
      </c>
      <c r="I816" s="2" t="s">
        <v>15</v>
      </c>
      <c r="J816" s="2" t="s">
        <v>15</v>
      </c>
    </row>
    <row r="817" ht="15.75" customHeight="1">
      <c r="A817" s="1" t="s">
        <v>1645</v>
      </c>
      <c r="B817" s="1" t="s">
        <v>1646</v>
      </c>
      <c r="C817" s="1" t="s">
        <v>12</v>
      </c>
      <c r="D817" s="1" t="s">
        <v>1636</v>
      </c>
      <c r="E817" s="4">
        <v>1010326.0</v>
      </c>
      <c r="F817" s="2">
        <v>1.0</v>
      </c>
      <c r="G817" s="2" t="s">
        <v>1</v>
      </c>
      <c r="H817" s="2" t="s">
        <v>53</v>
      </c>
      <c r="I817" s="2" t="s">
        <v>15</v>
      </c>
      <c r="J817" s="2" t="s">
        <v>15</v>
      </c>
    </row>
    <row r="818" ht="15.75" customHeight="1">
      <c r="A818" s="1" t="s">
        <v>1647</v>
      </c>
      <c r="B818" s="3" t="s">
        <v>1648</v>
      </c>
      <c r="C818" s="1" t="s">
        <v>12</v>
      </c>
      <c r="D818" s="1" t="s">
        <v>1636</v>
      </c>
      <c r="E818" s="4">
        <v>1010326.0</v>
      </c>
      <c r="F818" s="2">
        <v>2.0</v>
      </c>
      <c r="G818" s="2" t="s">
        <v>1</v>
      </c>
      <c r="H818" s="2" t="s">
        <v>14</v>
      </c>
      <c r="I818" s="5" t="str">
        <f>IFERROR(
  MID(
    SUBSTITUTE(B818, CHAR(10), ""),
    FIND("_Gross ROI=", SUBSTITUTE(B818, CHAR(10), "")) + LEN("_Gross ROI="),
    FIND("%", SUBSTITUTE(B818, CHAR(10), ""), FIND("_Gross ROI=", SUBSTITUTE(B818, CHAR(10), "")))
      - FIND("_Gross ROI=", SUBSTITUTE(B818, CHAR(10), "")) - LEN("_Gross ROI=") + 1
  ),
  ""
)</f>
        <v>6.93%</v>
      </c>
      <c r="J818" s="5" t="str">
        <f>IFERROR(
  MID(
    SUBSTITUTE(B818, CHAR(10), ""),
    FIND("_Median annual rent=", SUBSTITUTE(B818, CHAR(10), "")) + LEN("_Median annual rent="),
    FIND("K", SUBSTITUTE(B818, CHAR(10), ""), FIND("_Median annual rent=", SUBSTITUTE(B818, CHAR(10), "")))
      - FIND("_Median annual rent=", SUBSTITUTE(B818, CHAR(10), "")) - LEN("_Median annual rent=") + 1
  ),
  "")</f>
        <v>232.5K</v>
      </c>
    </row>
    <row r="819" ht="15.75" customHeight="1">
      <c r="A819" s="1" t="s">
        <v>1649</v>
      </c>
      <c r="B819" s="1" t="s">
        <v>1650</v>
      </c>
      <c r="C819" s="1" t="s">
        <v>12</v>
      </c>
      <c r="D819" s="1" t="s">
        <v>1636</v>
      </c>
      <c r="E819" s="4">
        <v>1010326.0</v>
      </c>
      <c r="F819" s="2">
        <v>2.0</v>
      </c>
      <c r="G819" s="2" t="s">
        <v>1</v>
      </c>
      <c r="H819" s="2" t="s">
        <v>18</v>
      </c>
      <c r="I819" s="2" t="s">
        <v>15</v>
      </c>
      <c r="J819" s="2" t="s">
        <v>15</v>
      </c>
    </row>
    <row r="820" ht="15.75" customHeight="1">
      <c r="A820" s="1" t="s">
        <v>1651</v>
      </c>
      <c r="B820" s="1" t="s">
        <v>1652</v>
      </c>
      <c r="C820" s="1" t="s">
        <v>12</v>
      </c>
      <c r="D820" s="1" t="s">
        <v>1636</v>
      </c>
      <c r="E820" s="4">
        <v>1010326.0</v>
      </c>
      <c r="F820" s="2">
        <v>2.0</v>
      </c>
      <c r="G820" s="2" t="s">
        <v>1</v>
      </c>
      <c r="H820" s="2" t="s">
        <v>53</v>
      </c>
      <c r="I820" s="2" t="s">
        <v>15</v>
      </c>
      <c r="J820" s="2" t="s">
        <v>15</v>
      </c>
    </row>
    <row r="821" ht="15.75" customHeight="1">
      <c r="A821" s="1" t="s">
        <v>1653</v>
      </c>
      <c r="B821" s="1" t="s">
        <v>1654</v>
      </c>
      <c r="C821" s="1" t="s">
        <v>12</v>
      </c>
      <c r="D821" s="1" t="s">
        <v>1636</v>
      </c>
      <c r="E821" s="4">
        <v>1010326.0</v>
      </c>
      <c r="F821" s="2">
        <v>3.0</v>
      </c>
      <c r="G821" s="2" t="s">
        <v>1</v>
      </c>
      <c r="H821" s="2" t="s">
        <v>14</v>
      </c>
      <c r="I821" s="2" t="s">
        <v>15</v>
      </c>
      <c r="J821" s="2" t="s">
        <v>15</v>
      </c>
    </row>
    <row r="822" ht="15.75" customHeight="1">
      <c r="A822" s="1" t="s">
        <v>1655</v>
      </c>
      <c r="B822" s="1" t="s">
        <v>1656</v>
      </c>
      <c r="C822" s="1" t="s">
        <v>12</v>
      </c>
      <c r="D822" s="1" t="s">
        <v>1636</v>
      </c>
      <c r="E822" s="4">
        <v>1010326.0</v>
      </c>
      <c r="F822" s="2">
        <v>3.0</v>
      </c>
      <c r="G822" s="2" t="s">
        <v>1</v>
      </c>
      <c r="H822" s="2" t="s">
        <v>18</v>
      </c>
      <c r="I822" s="2" t="s">
        <v>15</v>
      </c>
      <c r="J822" s="2" t="s">
        <v>15</v>
      </c>
    </row>
    <row r="823" ht="15.75" customHeight="1">
      <c r="A823" s="1" t="s">
        <v>1657</v>
      </c>
      <c r="B823" s="1" t="s">
        <v>1658</v>
      </c>
      <c r="C823" s="1" t="s">
        <v>12</v>
      </c>
      <c r="D823" s="1" t="s">
        <v>1636</v>
      </c>
      <c r="E823" s="4">
        <v>1010326.0</v>
      </c>
      <c r="F823" s="2">
        <v>3.0</v>
      </c>
      <c r="G823" s="2" t="s">
        <v>1</v>
      </c>
      <c r="H823" s="2" t="s">
        <v>53</v>
      </c>
      <c r="I823" s="2" t="s">
        <v>15</v>
      </c>
      <c r="J823" s="2" t="s">
        <v>15</v>
      </c>
    </row>
    <row r="824" ht="15.75" customHeight="1">
      <c r="A824" s="1" t="s">
        <v>1659</v>
      </c>
      <c r="B824" s="1" t="s">
        <v>1660</v>
      </c>
      <c r="C824" s="1" t="s">
        <v>12</v>
      </c>
      <c r="D824" s="1" t="s">
        <v>1636</v>
      </c>
      <c r="E824" s="4">
        <v>1010326.0</v>
      </c>
      <c r="F824" s="2">
        <v>4.0</v>
      </c>
      <c r="G824" s="2" t="s">
        <v>1</v>
      </c>
      <c r="H824" s="2" t="s">
        <v>14</v>
      </c>
      <c r="I824" s="2" t="s">
        <v>15</v>
      </c>
      <c r="J824" s="2" t="s">
        <v>15</v>
      </c>
    </row>
    <row r="825" ht="15.75" customHeight="1">
      <c r="A825" s="1" t="s">
        <v>1661</v>
      </c>
      <c r="B825" s="1" t="s">
        <v>1662</v>
      </c>
      <c r="C825" s="1" t="s">
        <v>12</v>
      </c>
      <c r="D825" s="1" t="s">
        <v>1636</v>
      </c>
      <c r="E825" s="4">
        <v>1010326.0</v>
      </c>
      <c r="F825" s="2">
        <v>4.0</v>
      </c>
      <c r="G825" s="2" t="s">
        <v>1</v>
      </c>
      <c r="H825" s="2" t="s">
        <v>18</v>
      </c>
      <c r="I825" s="2" t="s">
        <v>15</v>
      </c>
      <c r="J825" s="2" t="s">
        <v>15</v>
      </c>
    </row>
    <row r="826" ht="15.75" customHeight="1">
      <c r="A826" s="1" t="s">
        <v>1663</v>
      </c>
      <c r="B826" s="1" t="s">
        <v>1664</v>
      </c>
      <c r="C826" s="1" t="s">
        <v>12</v>
      </c>
      <c r="D826" s="1" t="s">
        <v>1636</v>
      </c>
      <c r="E826" s="4">
        <v>1010326.0</v>
      </c>
      <c r="F826" s="2" t="s">
        <v>381</v>
      </c>
      <c r="G826" s="2" t="s">
        <v>1</v>
      </c>
      <c r="H826" s="2" t="s">
        <v>14</v>
      </c>
      <c r="I826" s="2" t="s">
        <v>15</v>
      </c>
      <c r="J826" s="2" t="s">
        <v>15</v>
      </c>
    </row>
    <row r="827" ht="15.75" customHeight="1">
      <c r="A827" s="1" t="s">
        <v>1665</v>
      </c>
      <c r="B827" s="1" t="s">
        <v>1666</v>
      </c>
      <c r="C827" s="1" t="s">
        <v>12</v>
      </c>
      <c r="D827" s="1" t="s">
        <v>1636</v>
      </c>
      <c r="E827" s="4">
        <v>1010326.0</v>
      </c>
      <c r="F827" s="2" t="s">
        <v>381</v>
      </c>
      <c r="G827" s="2" t="s">
        <v>1</v>
      </c>
      <c r="H827" s="2" t="s">
        <v>18</v>
      </c>
      <c r="I827" s="2" t="s">
        <v>15</v>
      </c>
      <c r="J827" s="2" t="s">
        <v>15</v>
      </c>
    </row>
    <row r="828" ht="15.75" customHeight="1">
      <c r="A828" s="1" t="s">
        <v>1667</v>
      </c>
      <c r="B828" s="1" t="s">
        <v>1668</v>
      </c>
      <c r="C828" s="1" t="s">
        <v>12</v>
      </c>
      <c r="D828" s="1" t="s">
        <v>1636</v>
      </c>
      <c r="E828" s="4">
        <v>1010326.0</v>
      </c>
      <c r="F828" s="2" t="s">
        <v>381</v>
      </c>
      <c r="G828" s="2" t="s">
        <v>1</v>
      </c>
      <c r="H828" s="2" t="s">
        <v>53</v>
      </c>
      <c r="I828" s="2" t="s">
        <v>15</v>
      </c>
      <c r="J828" s="2" t="s">
        <v>15</v>
      </c>
    </row>
    <row r="829" ht="15.75" customHeight="1">
      <c r="A829" s="1" t="s">
        <v>1669</v>
      </c>
      <c r="B829" s="1" t="s">
        <v>1670</v>
      </c>
      <c r="C829" s="1" t="s">
        <v>12</v>
      </c>
      <c r="D829" s="1" t="s">
        <v>1636</v>
      </c>
      <c r="E829" s="4">
        <v>1010326.0</v>
      </c>
      <c r="F829" s="2" t="s">
        <v>30</v>
      </c>
      <c r="G829" s="2" t="s">
        <v>1</v>
      </c>
      <c r="H829" s="2" t="s">
        <v>53</v>
      </c>
      <c r="I829" s="2" t="s">
        <v>15</v>
      </c>
      <c r="J829" s="2" t="s">
        <v>15</v>
      </c>
    </row>
    <row r="830" ht="15.75" customHeight="1">
      <c r="A830" s="1" t="s">
        <v>1671</v>
      </c>
      <c r="B830" s="1" t="s">
        <v>1672</v>
      </c>
      <c r="C830" s="1" t="s">
        <v>12</v>
      </c>
      <c r="D830" s="1" t="s">
        <v>1636</v>
      </c>
      <c r="E830" s="4">
        <v>1010326.0</v>
      </c>
      <c r="F830" s="2" t="s">
        <v>30</v>
      </c>
      <c r="G830" s="2" t="s">
        <v>1</v>
      </c>
      <c r="H830" s="2" t="s">
        <v>14</v>
      </c>
      <c r="I830" s="2" t="s">
        <v>15</v>
      </c>
      <c r="J830" s="2" t="s">
        <v>15</v>
      </c>
    </row>
    <row r="831" ht="15.75" customHeight="1">
      <c r="A831" s="1" t="s">
        <v>1673</v>
      </c>
      <c r="B831" s="1" t="s">
        <v>1674</v>
      </c>
      <c r="C831" s="1" t="s">
        <v>12</v>
      </c>
      <c r="D831" s="1" t="s">
        <v>1636</v>
      </c>
      <c r="E831" s="4">
        <v>1010326.0</v>
      </c>
      <c r="F831" s="2" t="s">
        <v>15</v>
      </c>
      <c r="G831" s="2" t="s">
        <v>33</v>
      </c>
      <c r="H831" s="2" t="s">
        <v>15</v>
      </c>
      <c r="I831" s="2" t="s">
        <v>15</v>
      </c>
      <c r="J831" s="2" t="s">
        <v>15</v>
      </c>
    </row>
    <row r="832" ht="15.75" customHeight="1">
      <c r="A832" s="1" t="s">
        <v>1675</v>
      </c>
      <c r="B832" s="3" t="s">
        <v>1676</v>
      </c>
      <c r="C832" s="1" t="s">
        <v>12</v>
      </c>
      <c r="D832" s="1" t="s">
        <v>1677</v>
      </c>
      <c r="E832" s="4">
        <v>1010390.0</v>
      </c>
      <c r="F832" s="2" t="s">
        <v>36</v>
      </c>
      <c r="G832" s="2" t="s">
        <v>1</v>
      </c>
      <c r="H832" s="2" t="s">
        <v>14</v>
      </c>
      <c r="I832" s="2" t="s">
        <v>15</v>
      </c>
      <c r="J832" s="2" t="s">
        <v>15</v>
      </c>
    </row>
    <row r="833" ht="15.75" customHeight="1">
      <c r="A833" s="1" t="s">
        <v>1678</v>
      </c>
      <c r="B833" s="1" t="s">
        <v>1679</v>
      </c>
      <c r="C833" s="1" t="s">
        <v>12</v>
      </c>
      <c r="D833" s="1" t="s">
        <v>1677</v>
      </c>
      <c r="E833" s="4">
        <v>1010390.0</v>
      </c>
      <c r="F833" s="2" t="s">
        <v>36</v>
      </c>
      <c r="G833" s="2" t="s">
        <v>1</v>
      </c>
      <c r="H833" s="2" t="s">
        <v>18</v>
      </c>
      <c r="I833" s="2" t="s">
        <v>15</v>
      </c>
      <c r="J833" s="2" t="s">
        <v>15</v>
      </c>
    </row>
    <row r="834" ht="15.75" customHeight="1">
      <c r="A834" s="1" t="s">
        <v>1680</v>
      </c>
      <c r="B834" s="1" t="s">
        <v>1681</v>
      </c>
      <c r="C834" s="1" t="s">
        <v>12</v>
      </c>
      <c r="D834" s="1" t="s">
        <v>1677</v>
      </c>
      <c r="E834" s="4">
        <v>1010390.0</v>
      </c>
      <c r="F834" s="2" t="s">
        <v>36</v>
      </c>
      <c r="G834" s="2" t="s">
        <v>1</v>
      </c>
      <c r="H834" s="2" t="s">
        <v>21</v>
      </c>
      <c r="I834" s="2" t="s">
        <v>15</v>
      </c>
      <c r="J834" s="2" t="s">
        <v>15</v>
      </c>
    </row>
    <row r="835" ht="15.75" customHeight="1">
      <c r="A835" s="1" t="s">
        <v>1682</v>
      </c>
      <c r="B835" s="3" t="s">
        <v>1683</v>
      </c>
      <c r="C835" s="1" t="s">
        <v>12</v>
      </c>
      <c r="D835" s="1" t="s">
        <v>1677</v>
      </c>
      <c r="E835" s="4">
        <v>1010390.0</v>
      </c>
      <c r="F835" s="2">
        <v>1.0</v>
      </c>
      <c r="G835" s="2" t="s">
        <v>1</v>
      </c>
      <c r="H835" s="2" t="s">
        <v>14</v>
      </c>
      <c r="I835" s="2" t="s">
        <v>15</v>
      </c>
      <c r="J835" s="2" t="s">
        <v>15</v>
      </c>
    </row>
    <row r="836" ht="15.75" customHeight="1">
      <c r="A836" s="1" t="s">
        <v>1684</v>
      </c>
      <c r="B836" s="1" t="s">
        <v>1685</v>
      </c>
      <c r="C836" s="1" t="s">
        <v>12</v>
      </c>
      <c r="D836" s="1" t="s">
        <v>1677</v>
      </c>
      <c r="E836" s="4">
        <v>1010390.0</v>
      </c>
      <c r="F836" s="2">
        <v>1.0</v>
      </c>
      <c r="G836" s="2" t="s">
        <v>1</v>
      </c>
      <c r="H836" s="2" t="s">
        <v>18</v>
      </c>
      <c r="I836" s="2" t="s">
        <v>15</v>
      </c>
      <c r="J836" s="2" t="s">
        <v>15</v>
      </c>
    </row>
    <row r="837" ht="15.75" customHeight="1">
      <c r="A837" s="1" t="s">
        <v>1686</v>
      </c>
      <c r="B837" s="1" t="s">
        <v>1687</v>
      </c>
      <c r="C837" s="1" t="s">
        <v>12</v>
      </c>
      <c r="D837" s="1" t="s">
        <v>1677</v>
      </c>
      <c r="E837" s="4">
        <v>1010390.0</v>
      </c>
      <c r="F837" s="2">
        <v>1.0</v>
      </c>
      <c r="G837" s="2" t="s">
        <v>1</v>
      </c>
      <c r="H837" s="2" t="s">
        <v>21</v>
      </c>
      <c r="I837" s="2" t="s">
        <v>15</v>
      </c>
      <c r="J837" s="2" t="s">
        <v>15</v>
      </c>
    </row>
    <row r="838" ht="15.75" customHeight="1">
      <c r="A838" s="1" t="s">
        <v>1688</v>
      </c>
      <c r="B838" s="1" t="s">
        <v>1689</v>
      </c>
      <c r="C838" s="1" t="s">
        <v>12</v>
      </c>
      <c r="D838" s="1" t="s">
        <v>1677</v>
      </c>
      <c r="E838" s="4">
        <v>1010390.0</v>
      </c>
      <c r="F838" s="2">
        <v>2.0</v>
      </c>
      <c r="G838" s="2" t="s">
        <v>1</v>
      </c>
      <c r="H838" s="2" t="s">
        <v>14</v>
      </c>
      <c r="I838" s="2" t="s">
        <v>15</v>
      </c>
      <c r="J838" s="2" t="s">
        <v>15</v>
      </c>
    </row>
    <row r="839" ht="15.75" customHeight="1">
      <c r="A839" s="1" t="s">
        <v>1690</v>
      </c>
      <c r="B839" s="1" t="s">
        <v>1691</v>
      </c>
      <c r="C839" s="1" t="s">
        <v>12</v>
      </c>
      <c r="D839" s="1" t="s">
        <v>1677</v>
      </c>
      <c r="E839" s="4">
        <v>1010390.0</v>
      </c>
      <c r="F839" s="2">
        <v>2.0</v>
      </c>
      <c r="G839" s="2" t="s">
        <v>1</v>
      </c>
      <c r="H839" s="2" t="s">
        <v>18</v>
      </c>
      <c r="I839" s="2" t="s">
        <v>15</v>
      </c>
      <c r="J839" s="2" t="s">
        <v>15</v>
      </c>
    </row>
    <row r="840" ht="15.75" customHeight="1">
      <c r="A840" s="1" t="s">
        <v>1692</v>
      </c>
      <c r="B840" s="1" t="s">
        <v>1693</v>
      </c>
      <c r="C840" s="1" t="s">
        <v>12</v>
      </c>
      <c r="D840" s="1" t="s">
        <v>1677</v>
      </c>
      <c r="E840" s="4">
        <v>1010390.0</v>
      </c>
      <c r="F840" s="2">
        <v>2.0</v>
      </c>
      <c r="G840" s="2" t="s">
        <v>1</v>
      </c>
      <c r="H840" s="2" t="s">
        <v>21</v>
      </c>
      <c r="I840" s="2" t="s">
        <v>15</v>
      </c>
      <c r="J840" s="2" t="s">
        <v>15</v>
      </c>
    </row>
    <row r="841" ht="15.75" customHeight="1">
      <c r="A841" s="1" t="s">
        <v>1694</v>
      </c>
      <c r="B841" s="1" t="s">
        <v>1695</v>
      </c>
      <c r="C841" s="1" t="s">
        <v>12</v>
      </c>
      <c r="D841" s="1" t="s">
        <v>1677</v>
      </c>
      <c r="E841" s="4">
        <v>1010390.0</v>
      </c>
      <c r="F841" s="2">
        <v>3.0</v>
      </c>
      <c r="G841" s="2" t="s">
        <v>1</v>
      </c>
      <c r="H841" s="2" t="s">
        <v>14</v>
      </c>
      <c r="I841" s="2" t="s">
        <v>15</v>
      </c>
      <c r="J841" s="2" t="s">
        <v>15</v>
      </c>
    </row>
    <row r="842" ht="15.75" customHeight="1">
      <c r="A842" s="1" t="s">
        <v>1696</v>
      </c>
      <c r="B842" s="1" t="s">
        <v>1697</v>
      </c>
      <c r="C842" s="1" t="s">
        <v>12</v>
      </c>
      <c r="D842" s="1" t="s">
        <v>1677</v>
      </c>
      <c r="E842" s="4">
        <v>1010390.0</v>
      </c>
      <c r="F842" s="2">
        <v>3.0</v>
      </c>
      <c r="G842" s="2" t="s">
        <v>1</v>
      </c>
      <c r="H842" s="2" t="s">
        <v>18</v>
      </c>
      <c r="I842" s="2" t="s">
        <v>15</v>
      </c>
      <c r="J842" s="2" t="s">
        <v>15</v>
      </c>
    </row>
    <row r="843" ht="15.75" customHeight="1">
      <c r="A843" s="1" t="s">
        <v>1698</v>
      </c>
      <c r="B843" s="1" t="s">
        <v>1699</v>
      </c>
      <c r="C843" s="1" t="s">
        <v>12</v>
      </c>
      <c r="D843" s="1" t="s">
        <v>1677</v>
      </c>
      <c r="E843" s="4">
        <v>1010390.0</v>
      </c>
      <c r="F843" s="2">
        <v>3.0</v>
      </c>
      <c r="G843" s="2" t="s">
        <v>1</v>
      </c>
      <c r="H843" s="2" t="s">
        <v>21</v>
      </c>
      <c r="I843" s="2" t="s">
        <v>15</v>
      </c>
      <c r="J843" s="2" t="s">
        <v>15</v>
      </c>
    </row>
    <row r="844" ht="15.75" customHeight="1">
      <c r="A844" s="1" t="s">
        <v>1700</v>
      </c>
      <c r="B844" s="1" t="s">
        <v>1701</v>
      </c>
      <c r="C844" s="1" t="s">
        <v>12</v>
      </c>
      <c r="D844" s="1" t="s">
        <v>1677</v>
      </c>
      <c r="E844" s="4">
        <v>1010390.0</v>
      </c>
      <c r="F844" s="2" t="s">
        <v>30</v>
      </c>
      <c r="G844" s="2" t="s">
        <v>1</v>
      </c>
      <c r="H844" s="2" t="s">
        <v>14</v>
      </c>
      <c r="I844" s="2" t="s">
        <v>15</v>
      </c>
      <c r="J844" s="2" t="s">
        <v>15</v>
      </c>
    </row>
    <row r="845" ht="15.75" customHeight="1">
      <c r="A845" s="1" t="s">
        <v>1702</v>
      </c>
      <c r="B845" s="1" t="s">
        <v>1703</v>
      </c>
      <c r="C845" s="1" t="s">
        <v>12</v>
      </c>
      <c r="D845" s="1" t="s">
        <v>1677</v>
      </c>
      <c r="E845" s="4">
        <v>1010390.0</v>
      </c>
      <c r="F845" s="2" t="s">
        <v>15</v>
      </c>
      <c r="G845" s="2" t="s">
        <v>33</v>
      </c>
      <c r="H845" s="2" t="s">
        <v>15</v>
      </c>
      <c r="I845" s="2" t="s">
        <v>15</v>
      </c>
      <c r="J845" s="2" t="s">
        <v>15</v>
      </c>
    </row>
    <row r="846" ht="15.75" customHeight="1">
      <c r="A846" s="1" t="s">
        <v>1704</v>
      </c>
      <c r="B846" s="1" t="s">
        <v>1705</v>
      </c>
      <c r="C846" s="1" t="s">
        <v>12</v>
      </c>
      <c r="D846" s="1" t="s">
        <v>1677</v>
      </c>
      <c r="E846" s="4">
        <v>1010390.0</v>
      </c>
      <c r="F846" s="2" t="s">
        <v>36</v>
      </c>
      <c r="G846" s="2" t="s">
        <v>1</v>
      </c>
      <c r="H846" s="2" t="s">
        <v>37</v>
      </c>
      <c r="I846" s="2" t="s">
        <v>15</v>
      </c>
      <c r="J846" s="2" t="s">
        <v>15</v>
      </c>
    </row>
    <row r="847" ht="15.75" customHeight="1">
      <c r="A847" s="1" t="s">
        <v>1706</v>
      </c>
      <c r="B847" s="1" t="s">
        <v>1707</v>
      </c>
      <c r="C847" s="1" t="s">
        <v>12</v>
      </c>
      <c r="D847" s="1" t="s">
        <v>1677</v>
      </c>
      <c r="E847" s="4">
        <v>1010390.0</v>
      </c>
      <c r="F847" s="2">
        <v>1.0</v>
      </c>
      <c r="G847" s="2" t="s">
        <v>1</v>
      </c>
      <c r="H847" s="2" t="s">
        <v>37</v>
      </c>
      <c r="I847" s="2" t="s">
        <v>15</v>
      </c>
      <c r="J847" s="2" t="s">
        <v>15</v>
      </c>
    </row>
    <row r="848" ht="15.75" customHeight="1">
      <c r="A848" s="1" t="s">
        <v>1708</v>
      </c>
      <c r="B848" s="1" t="s">
        <v>1709</v>
      </c>
      <c r="C848" s="1" t="s">
        <v>12</v>
      </c>
      <c r="D848" s="1" t="s">
        <v>1677</v>
      </c>
      <c r="E848" s="4">
        <v>1010390.0</v>
      </c>
      <c r="F848" s="2">
        <v>2.0</v>
      </c>
      <c r="G848" s="2" t="s">
        <v>1</v>
      </c>
      <c r="H848" s="2" t="s">
        <v>37</v>
      </c>
      <c r="I848" s="2" t="s">
        <v>15</v>
      </c>
      <c r="J848" s="2" t="s">
        <v>15</v>
      </c>
    </row>
    <row r="849" ht="15.75" customHeight="1">
      <c r="A849" s="1" t="s">
        <v>1710</v>
      </c>
      <c r="B849" s="1" t="s">
        <v>1711</v>
      </c>
      <c r="C849" s="1" t="s">
        <v>12</v>
      </c>
      <c r="D849" s="1" t="s">
        <v>1677</v>
      </c>
      <c r="E849" s="4">
        <v>1010390.0</v>
      </c>
      <c r="F849" s="2">
        <v>3.0</v>
      </c>
      <c r="G849" s="2" t="s">
        <v>1</v>
      </c>
      <c r="H849" s="2" t="s">
        <v>37</v>
      </c>
      <c r="I849" s="2" t="s">
        <v>15</v>
      </c>
      <c r="J849" s="2" t="s">
        <v>15</v>
      </c>
    </row>
    <row r="850" ht="15.75" customHeight="1">
      <c r="A850" s="1" t="s">
        <v>1712</v>
      </c>
      <c r="B850" s="1" t="s">
        <v>1713</v>
      </c>
      <c r="C850" s="1" t="s">
        <v>12</v>
      </c>
      <c r="D850" s="1" t="s">
        <v>1677</v>
      </c>
      <c r="E850" s="4">
        <v>1010390.0</v>
      </c>
      <c r="F850" s="2" t="s">
        <v>30</v>
      </c>
      <c r="G850" s="2" t="s">
        <v>1</v>
      </c>
      <c r="H850" s="2" t="s">
        <v>37</v>
      </c>
      <c r="I850" s="2" t="s">
        <v>15</v>
      </c>
      <c r="J850" s="2" t="s">
        <v>15</v>
      </c>
    </row>
    <row r="851" ht="15.75" customHeight="1">
      <c r="A851" s="1" t="s">
        <v>1714</v>
      </c>
      <c r="B851" s="1" t="s">
        <v>1715</v>
      </c>
      <c r="C851" s="1" t="s">
        <v>12</v>
      </c>
      <c r="D851" s="1" t="s">
        <v>1716</v>
      </c>
      <c r="E851" s="4">
        <v>1010454.0</v>
      </c>
      <c r="F851" s="2">
        <v>1.0</v>
      </c>
      <c r="G851" s="2" t="s">
        <v>1</v>
      </c>
      <c r="H851" s="2" t="s">
        <v>14</v>
      </c>
      <c r="I851" s="2" t="s">
        <v>15</v>
      </c>
      <c r="J851" s="2" t="s">
        <v>15</v>
      </c>
    </row>
    <row r="852" ht="15.75" customHeight="1">
      <c r="A852" s="1" t="s">
        <v>1717</v>
      </c>
      <c r="B852" s="1" t="s">
        <v>1718</v>
      </c>
      <c r="C852" s="1" t="s">
        <v>12</v>
      </c>
      <c r="D852" s="1" t="s">
        <v>1716</v>
      </c>
      <c r="E852" s="4">
        <v>1010454.0</v>
      </c>
      <c r="F852" s="2">
        <v>1.0</v>
      </c>
      <c r="G852" s="2" t="s">
        <v>1</v>
      </c>
      <c r="H852" s="2" t="s">
        <v>18</v>
      </c>
      <c r="I852" s="2" t="s">
        <v>15</v>
      </c>
      <c r="J852" s="2" t="s">
        <v>15</v>
      </c>
    </row>
    <row r="853" ht="15.75" customHeight="1">
      <c r="A853" s="1" t="s">
        <v>1719</v>
      </c>
      <c r="B853" s="1" t="s">
        <v>1720</v>
      </c>
      <c r="C853" s="1" t="s">
        <v>12</v>
      </c>
      <c r="D853" s="1" t="s">
        <v>1716</v>
      </c>
      <c r="E853" s="4">
        <v>1010454.0</v>
      </c>
      <c r="F853" s="2">
        <v>1.0</v>
      </c>
      <c r="G853" s="2" t="s">
        <v>1</v>
      </c>
      <c r="H853" s="2" t="s">
        <v>21</v>
      </c>
      <c r="I853" s="2" t="s">
        <v>15</v>
      </c>
      <c r="J853" s="2" t="s">
        <v>15</v>
      </c>
    </row>
    <row r="854" ht="15.75" customHeight="1">
      <c r="A854" s="1" t="s">
        <v>1721</v>
      </c>
      <c r="B854" s="1" t="s">
        <v>1722</v>
      </c>
      <c r="C854" s="1" t="s">
        <v>12</v>
      </c>
      <c r="D854" s="1" t="s">
        <v>1716</v>
      </c>
      <c r="E854" s="4">
        <v>1010454.0</v>
      </c>
      <c r="F854" s="2">
        <v>2.0</v>
      </c>
      <c r="G854" s="2" t="s">
        <v>1</v>
      </c>
      <c r="H854" s="2" t="s">
        <v>14</v>
      </c>
      <c r="I854" s="2" t="s">
        <v>15</v>
      </c>
      <c r="J854" s="2" t="s">
        <v>15</v>
      </c>
    </row>
    <row r="855" ht="15.75" customHeight="1">
      <c r="A855" s="1" t="s">
        <v>1723</v>
      </c>
      <c r="B855" s="1" t="s">
        <v>1724</v>
      </c>
      <c r="C855" s="1" t="s">
        <v>12</v>
      </c>
      <c r="D855" s="1" t="s">
        <v>1716</v>
      </c>
      <c r="E855" s="4">
        <v>1010454.0</v>
      </c>
      <c r="F855" s="2">
        <v>2.0</v>
      </c>
      <c r="G855" s="2" t="s">
        <v>1</v>
      </c>
      <c r="H855" s="2" t="s">
        <v>18</v>
      </c>
      <c r="I855" s="2" t="s">
        <v>15</v>
      </c>
      <c r="J855" s="2" t="s">
        <v>15</v>
      </c>
    </row>
    <row r="856" ht="15.75" customHeight="1">
      <c r="A856" s="1" t="s">
        <v>1725</v>
      </c>
      <c r="B856" s="1" t="s">
        <v>1726</v>
      </c>
      <c r="C856" s="1" t="s">
        <v>12</v>
      </c>
      <c r="D856" s="1" t="s">
        <v>1716</v>
      </c>
      <c r="E856" s="4">
        <v>1010454.0</v>
      </c>
      <c r="F856" s="2">
        <v>2.0</v>
      </c>
      <c r="G856" s="2" t="s">
        <v>1</v>
      </c>
      <c r="H856" s="2" t="s">
        <v>21</v>
      </c>
      <c r="I856" s="2" t="s">
        <v>15</v>
      </c>
      <c r="J856" s="2" t="s">
        <v>15</v>
      </c>
    </row>
    <row r="857" ht="15.75" customHeight="1">
      <c r="A857" s="1" t="s">
        <v>1727</v>
      </c>
      <c r="B857" s="1" t="s">
        <v>1728</v>
      </c>
      <c r="C857" s="1" t="s">
        <v>12</v>
      </c>
      <c r="D857" s="1" t="s">
        <v>1716</v>
      </c>
      <c r="E857" s="4">
        <v>1010454.0</v>
      </c>
      <c r="F857" s="2" t="s">
        <v>30</v>
      </c>
      <c r="G857" s="2" t="s">
        <v>1</v>
      </c>
      <c r="H857" s="2" t="s">
        <v>14</v>
      </c>
      <c r="I857" s="2" t="s">
        <v>15</v>
      </c>
      <c r="J857" s="2" t="s">
        <v>15</v>
      </c>
    </row>
    <row r="858" ht="15.75" customHeight="1">
      <c r="A858" s="1" t="s">
        <v>1729</v>
      </c>
      <c r="B858" s="1" t="s">
        <v>1730</v>
      </c>
      <c r="C858" s="1" t="s">
        <v>12</v>
      </c>
      <c r="D858" s="1" t="s">
        <v>1716</v>
      </c>
      <c r="E858" s="4">
        <v>1010454.0</v>
      </c>
      <c r="F858" s="2" t="s">
        <v>15</v>
      </c>
      <c r="G858" s="2" t="s">
        <v>33</v>
      </c>
      <c r="H858" s="2" t="s">
        <v>15</v>
      </c>
      <c r="I858" s="2" t="s">
        <v>15</v>
      </c>
      <c r="J858" s="2" t="s">
        <v>15</v>
      </c>
    </row>
    <row r="859" ht="15.75" customHeight="1">
      <c r="A859" s="1" t="s">
        <v>1731</v>
      </c>
      <c r="B859" s="1" t="s">
        <v>1732</v>
      </c>
      <c r="C859" s="1" t="s">
        <v>12</v>
      </c>
      <c r="D859" s="1" t="s">
        <v>1716</v>
      </c>
      <c r="E859" s="4">
        <v>1010454.0</v>
      </c>
      <c r="F859" s="2">
        <v>1.0</v>
      </c>
      <c r="G859" s="2" t="s">
        <v>1</v>
      </c>
      <c r="H859" s="2" t="s">
        <v>37</v>
      </c>
      <c r="I859" s="2" t="s">
        <v>15</v>
      </c>
      <c r="J859" s="2" t="s">
        <v>15</v>
      </c>
    </row>
    <row r="860" ht="15.75" customHeight="1">
      <c r="A860" s="1" t="s">
        <v>1733</v>
      </c>
      <c r="B860" s="1" t="s">
        <v>1734</v>
      </c>
      <c r="C860" s="1" t="s">
        <v>12</v>
      </c>
      <c r="D860" s="1" t="s">
        <v>1716</v>
      </c>
      <c r="E860" s="4">
        <v>1010454.0</v>
      </c>
      <c r="F860" s="2">
        <v>2.0</v>
      </c>
      <c r="G860" s="2" t="s">
        <v>1</v>
      </c>
      <c r="H860" s="2" t="s">
        <v>37</v>
      </c>
      <c r="I860" s="2" t="s">
        <v>15</v>
      </c>
      <c r="J860" s="2" t="s">
        <v>15</v>
      </c>
    </row>
    <row r="861" ht="15.75" customHeight="1">
      <c r="A861" s="1" t="s">
        <v>1735</v>
      </c>
      <c r="B861" s="1" t="s">
        <v>1736</v>
      </c>
      <c r="C861" s="1" t="s">
        <v>12</v>
      </c>
      <c r="D861" s="1" t="s">
        <v>1716</v>
      </c>
      <c r="E861" s="4">
        <v>1010454.0</v>
      </c>
      <c r="F861" s="2" t="s">
        <v>30</v>
      </c>
      <c r="G861" s="2" t="s">
        <v>1</v>
      </c>
      <c r="H861" s="2" t="s">
        <v>37</v>
      </c>
      <c r="I861" s="2" t="s">
        <v>15</v>
      </c>
      <c r="J861" s="2" t="s">
        <v>15</v>
      </c>
    </row>
    <row r="862" ht="15.75" customHeight="1">
      <c r="A862" s="1" t="s">
        <v>1737</v>
      </c>
      <c r="B862" s="6" t="s">
        <v>1738</v>
      </c>
      <c r="C862" s="1" t="s">
        <v>12</v>
      </c>
      <c r="D862" s="1" t="s">
        <v>1739</v>
      </c>
      <c r="E862" s="4">
        <v>1010518.0</v>
      </c>
      <c r="F862" s="2" t="s">
        <v>36</v>
      </c>
      <c r="G862" s="2" t="s">
        <v>1</v>
      </c>
      <c r="H862" s="2" t="s">
        <v>14</v>
      </c>
      <c r="I862" s="5" t="str">
        <f>IFERROR(
  MID(
    SUBSTITUTE(B862, CHAR(10), ""),
    FIND("_Gross ROI=", SUBSTITUTE(B862, CHAR(10), "")) + LEN("_Gross ROI="),
    FIND("%", SUBSTITUTE(B862, CHAR(10), ""), FIND("_Gross ROI=", SUBSTITUTE(B862, CHAR(10), "")))
      - FIND("_Gross ROI=", SUBSTITUTE(B862, CHAR(10), "")) - LEN("_Gross ROI=") + 1
  ),
  ""
)</f>
        <v>7.16%</v>
      </c>
      <c r="J862" s="5" t="str">
        <f>IFERROR(
  MID(
    SUBSTITUTE(B862, CHAR(10), ""),
    FIND("_Median annual rent=", SUBSTITUTE(B862, CHAR(10), "")) + LEN("_Median annual rent="),
    FIND("K", SUBSTITUTE(B862, CHAR(10), ""), FIND("_Median annual rent=", SUBSTITUTE(B862, CHAR(10), "")))
      - FIND("_Median annual rent=", SUBSTITUTE(B862, CHAR(10), "")) - LEN("_Median annual rent=") + 1
  ),
  "")</f>
        <v>83.5K</v>
      </c>
    </row>
    <row r="863" ht="15.75" customHeight="1">
      <c r="A863" s="1" t="s">
        <v>1740</v>
      </c>
      <c r="B863" s="1" t="s">
        <v>1741</v>
      </c>
      <c r="C863" s="1" t="s">
        <v>12</v>
      </c>
      <c r="D863" s="1" t="s">
        <v>1739</v>
      </c>
      <c r="E863" s="4">
        <v>1010518.0</v>
      </c>
      <c r="F863" s="2" t="s">
        <v>36</v>
      </c>
      <c r="G863" s="2" t="s">
        <v>1</v>
      </c>
      <c r="H863" s="2" t="s">
        <v>18</v>
      </c>
      <c r="I863" s="2" t="s">
        <v>15</v>
      </c>
      <c r="J863" s="2" t="s">
        <v>15</v>
      </c>
    </row>
    <row r="864" ht="15.75" customHeight="1">
      <c r="A864" s="1" t="s">
        <v>1742</v>
      </c>
      <c r="B864" s="1" t="s">
        <v>1743</v>
      </c>
      <c r="C864" s="1" t="s">
        <v>12</v>
      </c>
      <c r="D864" s="1" t="s">
        <v>1739</v>
      </c>
      <c r="E864" s="4">
        <v>1010518.0</v>
      </c>
      <c r="F864" s="2" t="s">
        <v>36</v>
      </c>
      <c r="G864" s="2" t="s">
        <v>1</v>
      </c>
      <c r="H864" s="2" t="s">
        <v>53</v>
      </c>
      <c r="I864" s="2" t="s">
        <v>15</v>
      </c>
      <c r="J864" s="2" t="s">
        <v>15</v>
      </c>
    </row>
    <row r="865" ht="15.75" customHeight="1">
      <c r="A865" s="1" t="s">
        <v>1744</v>
      </c>
      <c r="B865" s="6" t="s">
        <v>1745</v>
      </c>
      <c r="C865" s="1" t="s">
        <v>12</v>
      </c>
      <c r="D865" s="1" t="s">
        <v>1739</v>
      </c>
      <c r="E865" s="4">
        <v>1010518.0</v>
      </c>
      <c r="F865" s="2" t="s">
        <v>36</v>
      </c>
      <c r="G865" s="2" t="s">
        <v>1</v>
      </c>
      <c r="H865" s="2" t="s">
        <v>21</v>
      </c>
      <c r="I865" s="2" t="s">
        <v>15</v>
      </c>
      <c r="J865" s="2" t="s">
        <v>15</v>
      </c>
    </row>
    <row r="866" ht="15.75" customHeight="1">
      <c r="A866" s="1" t="s">
        <v>1746</v>
      </c>
      <c r="B866" s="1" t="s">
        <v>1747</v>
      </c>
      <c r="C866" s="1" t="s">
        <v>12</v>
      </c>
      <c r="D866" s="1" t="s">
        <v>1739</v>
      </c>
      <c r="E866" s="4">
        <v>1010518.0</v>
      </c>
      <c r="F866" s="2">
        <v>1.0</v>
      </c>
      <c r="G866" s="2" t="s">
        <v>1</v>
      </c>
      <c r="H866" s="2" t="s">
        <v>14</v>
      </c>
      <c r="I866" s="5" t="str">
        <f>IFERROR(
  MID(
    SUBSTITUTE(B866, CHAR(10), ""),
    FIND("_Gross ROI=", SUBSTITUTE(B866, CHAR(10), "")) + LEN("_Gross ROI="),
    FIND("%", SUBSTITUTE(B866, CHAR(10), ""), FIND("_Gross ROI=", SUBSTITUTE(B866, CHAR(10), "")))
      - FIND("_Gross ROI=", SUBSTITUTE(B866, CHAR(10), "")) - LEN("_Gross ROI=") + 1
  ),
  ""
)</f>
        <v>5.61%</v>
      </c>
      <c r="J866" s="5" t="str">
        <f>IFERROR(
  MID(
    SUBSTITUTE(B866, CHAR(10), ""),
    FIND("_Median annual rent=", SUBSTITUTE(B866, CHAR(10), "")) + LEN("_Median annual rent="),
    FIND("K", SUBSTITUTE(B866, CHAR(10), ""), FIND("_Median annual rent=", SUBSTITUTE(B866, CHAR(10), "")))
      - FIND("_Median annual rent=", SUBSTITUTE(B866, CHAR(10), "")) - LEN("_Median annual rent=") + 1
  ),
  "")</f>
        <v>115K</v>
      </c>
    </row>
    <row r="867" ht="15.75" customHeight="1">
      <c r="A867" s="1" t="s">
        <v>1748</v>
      </c>
      <c r="B867" s="1" t="s">
        <v>1749</v>
      </c>
      <c r="C867" s="1" t="s">
        <v>12</v>
      </c>
      <c r="D867" s="1" t="s">
        <v>1739</v>
      </c>
      <c r="E867" s="4">
        <v>1010518.0</v>
      </c>
      <c r="F867" s="2">
        <v>1.0</v>
      </c>
      <c r="G867" s="2" t="s">
        <v>1</v>
      </c>
      <c r="H867" s="2" t="s">
        <v>18</v>
      </c>
      <c r="I867" s="2" t="s">
        <v>15</v>
      </c>
      <c r="J867" s="2" t="s">
        <v>15</v>
      </c>
    </row>
    <row r="868" ht="15.75" customHeight="1">
      <c r="A868" s="1" t="s">
        <v>1750</v>
      </c>
      <c r="B868" s="1" t="s">
        <v>1751</v>
      </c>
      <c r="C868" s="1" t="s">
        <v>12</v>
      </c>
      <c r="D868" s="1" t="s">
        <v>1739</v>
      </c>
      <c r="E868" s="4">
        <v>1010518.0</v>
      </c>
      <c r="F868" s="2">
        <v>1.0</v>
      </c>
      <c r="G868" s="2" t="s">
        <v>1</v>
      </c>
      <c r="H868" s="2" t="s">
        <v>53</v>
      </c>
      <c r="I868" s="2" t="s">
        <v>15</v>
      </c>
      <c r="J868" s="2" t="s">
        <v>15</v>
      </c>
    </row>
    <row r="869" ht="15.75" customHeight="1">
      <c r="A869" s="1" t="s">
        <v>1752</v>
      </c>
      <c r="B869" s="1" t="s">
        <v>1753</v>
      </c>
      <c r="C869" s="1" t="s">
        <v>12</v>
      </c>
      <c r="D869" s="1" t="s">
        <v>1739</v>
      </c>
      <c r="E869" s="4">
        <v>1010518.0</v>
      </c>
      <c r="F869" s="2">
        <v>1.0</v>
      </c>
      <c r="G869" s="2" t="s">
        <v>1</v>
      </c>
      <c r="H869" s="2" t="s">
        <v>21</v>
      </c>
      <c r="I869" s="2" t="s">
        <v>15</v>
      </c>
      <c r="J869" s="2" t="s">
        <v>15</v>
      </c>
    </row>
    <row r="870" ht="15.75" customHeight="1">
      <c r="A870" s="1" t="s">
        <v>1754</v>
      </c>
      <c r="B870" s="1" t="s">
        <v>1755</v>
      </c>
      <c r="C870" s="1" t="s">
        <v>12</v>
      </c>
      <c r="D870" s="1" t="s">
        <v>1739</v>
      </c>
      <c r="E870" s="4">
        <v>1010518.0</v>
      </c>
      <c r="F870" s="2">
        <v>2.0</v>
      </c>
      <c r="G870" s="2" t="s">
        <v>1</v>
      </c>
      <c r="H870" s="2" t="s">
        <v>14</v>
      </c>
      <c r="I870" s="5" t="str">
        <f>IFERROR(
  MID(
    SUBSTITUTE(B870, CHAR(10), ""),
    FIND("_Gross ROI=", SUBSTITUTE(B870, CHAR(10), "")) + LEN("_Gross ROI="),
    FIND("%", SUBSTITUTE(B870, CHAR(10), ""), FIND("_Gross ROI=", SUBSTITUTE(B870, CHAR(10), "")))
      - FIND("_Gross ROI=", SUBSTITUTE(B870, CHAR(10), "")) - LEN("_Gross ROI=") + 1
  ),
  ""
)</f>
        <v>7.27%</v>
      </c>
      <c r="J870" s="5" t="str">
        <f>IFERROR(
  MID(
    SUBSTITUTE(B870, CHAR(10), ""),
    FIND("_Median annual rent=", SUBSTITUTE(B870, CHAR(10), "")) + LEN("_Median annual rent="),
    FIND("K", SUBSTITUTE(B870, CHAR(10), ""), FIND("_Median annual rent=", SUBSTITUTE(B870, CHAR(10), "")))
      - FIND("_Median annual rent=", SUBSTITUTE(B870, CHAR(10), "")) - LEN("_Median annual rent=") + 1
  ),
  "")</f>
        <v>165K</v>
      </c>
    </row>
    <row r="871" ht="15.75" customHeight="1">
      <c r="A871" s="1" t="s">
        <v>1756</v>
      </c>
      <c r="B871" s="1" t="s">
        <v>1757</v>
      </c>
      <c r="C871" s="1" t="s">
        <v>12</v>
      </c>
      <c r="D871" s="1" t="s">
        <v>1739</v>
      </c>
      <c r="E871" s="4">
        <v>1010518.0</v>
      </c>
      <c r="F871" s="2">
        <v>2.0</v>
      </c>
      <c r="G871" s="2" t="s">
        <v>1</v>
      </c>
      <c r="H871" s="2" t="s">
        <v>18</v>
      </c>
      <c r="I871" s="2" t="s">
        <v>15</v>
      </c>
      <c r="J871" s="2" t="s">
        <v>15</v>
      </c>
    </row>
    <row r="872" ht="15.75" customHeight="1">
      <c r="A872" s="1" t="s">
        <v>1758</v>
      </c>
      <c r="B872" s="1" t="s">
        <v>1759</v>
      </c>
      <c r="C872" s="1" t="s">
        <v>12</v>
      </c>
      <c r="D872" s="1" t="s">
        <v>1739</v>
      </c>
      <c r="E872" s="4">
        <v>1010518.0</v>
      </c>
      <c r="F872" s="2">
        <v>2.0</v>
      </c>
      <c r="G872" s="2" t="s">
        <v>1</v>
      </c>
      <c r="H872" s="2" t="s">
        <v>53</v>
      </c>
      <c r="I872" s="2" t="s">
        <v>15</v>
      </c>
      <c r="J872" s="2" t="s">
        <v>15</v>
      </c>
    </row>
    <row r="873" ht="15.75" customHeight="1">
      <c r="A873" s="1" t="s">
        <v>1760</v>
      </c>
      <c r="B873" s="1" t="s">
        <v>1761</v>
      </c>
      <c r="C873" s="1" t="s">
        <v>12</v>
      </c>
      <c r="D873" s="1" t="s">
        <v>1739</v>
      </c>
      <c r="E873" s="4">
        <v>1010518.0</v>
      </c>
      <c r="F873" s="2">
        <v>2.0</v>
      </c>
      <c r="G873" s="2" t="s">
        <v>1</v>
      </c>
      <c r="H873" s="2" t="s">
        <v>21</v>
      </c>
      <c r="I873" s="2" t="s">
        <v>15</v>
      </c>
      <c r="J873" s="2" t="s">
        <v>15</v>
      </c>
    </row>
    <row r="874" ht="15.75" customHeight="1">
      <c r="A874" s="1" t="s">
        <v>1762</v>
      </c>
      <c r="B874" s="1" t="s">
        <v>1763</v>
      </c>
      <c r="C874" s="1" t="s">
        <v>12</v>
      </c>
      <c r="D874" s="1" t="s">
        <v>1739</v>
      </c>
      <c r="E874" s="4">
        <v>1010518.0</v>
      </c>
      <c r="F874" s="2">
        <v>3.0</v>
      </c>
      <c r="G874" s="2" t="s">
        <v>1</v>
      </c>
      <c r="H874" s="2" t="s">
        <v>14</v>
      </c>
      <c r="I874" s="2" t="s">
        <v>15</v>
      </c>
      <c r="J874" s="2" t="s">
        <v>15</v>
      </c>
    </row>
    <row r="875" ht="15.75" customHeight="1">
      <c r="A875" s="1" t="s">
        <v>1764</v>
      </c>
      <c r="B875" s="1" t="s">
        <v>1765</v>
      </c>
      <c r="C875" s="1" t="s">
        <v>12</v>
      </c>
      <c r="D875" s="1" t="s">
        <v>1739</v>
      </c>
      <c r="E875" s="4">
        <v>1010518.0</v>
      </c>
      <c r="F875" s="2">
        <v>3.0</v>
      </c>
      <c r="G875" s="2" t="s">
        <v>1</v>
      </c>
      <c r="H875" s="2" t="s">
        <v>18</v>
      </c>
      <c r="I875" s="2" t="s">
        <v>15</v>
      </c>
      <c r="J875" s="2" t="s">
        <v>15</v>
      </c>
    </row>
    <row r="876" ht="15.75" customHeight="1">
      <c r="A876" s="1" t="s">
        <v>1766</v>
      </c>
      <c r="B876" s="1" t="s">
        <v>1767</v>
      </c>
      <c r="C876" s="1" t="s">
        <v>12</v>
      </c>
      <c r="D876" s="1" t="s">
        <v>1739</v>
      </c>
      <c r="E876" s="4">
        <v>1010518.0</v>
      </c>
      <c r="F876" s="2">
        <v>3.0</v>
      </c>
      <c r="G876" s="2" t="s">
        <v>1</v>
      </c>
      <c r="H876" s="2" t="s">
        <v>53</v>
      </c>
      <c r="I876" s="2" t="s">
        <v>15</v>
      </c>
      <c r="J876" s="2" t="s">
        <v>15</v>
      </c>
    </row>
    <row r="877" ht="15.75" customHeight="1">
      <c r="A877" s="1" t="s">
        <v>1768</v>
      </c>
      <c r="B877" s="1" t="s">
        <v>1769</v>
      </c>
      <c r="C877" s="1" t="s">
        <v>12</v>
      </c>
      <c r="D877" s="1" t="s">
        <v>1739</v>
      </c>
      <c r="E877" s="4">
        <v>1010518.0</v>
      </c>
      <c r="F877" s="2">
        <v>3.0</v>
      </c>
      <c r="G877" s="2" t="s">
        <v>1</v>
      </c>
      <c r="H877" s="2" t="s">
        <v>21</v>
      </c>
      <c r="I877" s="2" t="s">
        <v>15</v>
      </c>
      <c r="J877" s="2" t="s">
        <v>15</v>
      </c>
    </row>
    <row r="878" ht="15.75" customHeight="1">
      <c r="A878" s="1" t="s">
        <v>1770</v>
      </c>
      <c r="B878" s="1" t="s">
        <v>1771</v>
      </c>
      <c r="C878" s="1" t="s">
        <v>12</v>
      </c>
      <c r="D878" s="1" t="s">
        <v>1739</v>
      </c>
      <c r="E878" s="4">
        <v>1010518.0</v>
      </c>
      <c r="F878" s="2" t="s">
        <v>15</v>
      </c>
      <c r="G878" s="2" t="s">
        <v>1</v>
      </c>
      <c r="H878" s="2" t="s">
        <v>53</v>
      </c>
      <c r="I878" s="2" t="s">
        <v>15</v>
      </c>
      <c r="J878" s="2" t="s">
        <v>15</v>
      </c>
    </row>
    <row r="879" ht="15.75" customHeight="1">
      <c r="A879" s="1" t="s">
        <v>1772</v>
      </c>
      <c r="B879" s="1" t="s">
        <v>1773</v>
      </c>
      <c r="C879" s="1" t="s">
        <v>12</v>
      </c>
      <c r="D879" s="1" t="s">
        <v>1739</v>
      </c>
      <c r="E879" s="4">
        <v>1010518.0</v>
      </c>
      <c r="F879" s="2" t="s">
        <v>30</v>
      </c>
      <c r="G879" s="2" t="s">
        <v>1</v>
      </c>
      <c r="H879" s="2" t="s">
        <v>53</v>
      </c>
      <c r="I879" s="2" t="s">
        <v>15</v>
      </c>
      <c r="J879" s="2" t="s">
        <v>15</v>
      </c>
    </row>
    <row r="880" ht="15.75" customHeight="1">
      <c r="A880" s="1" t="s">
        <v>1774</v>
      </c>
      <c r="B880" s="1" t="s">
        <v>1775</v>
      </c>
      <c r="C880" s="1" t="s">
        <v>12</v>
      </c>
      <c r="D880" s="1" t="s">
        <v>1739</v>
      </c>
      <c r="E880" s="4">
        <v>1010518.0</v>
      </c>
      <c r="F880" s="2" t="s">
        <v>30</v>
      </c>
      <c r="G880" s="2" t="s">
        <v>1</v>
      </c>
      <c r="H880" s="2" t="s">
        <v>14</v>
      </c>
      <c r="I880" s="2" t="s">
        <v>15</v>
      </c>
      <c r="J880" s="2" t="s">
        <v>15</v>
      </c>
    </row>
    <row r="881" ht="15.75" customHeight="1">
      <c r="A881" s="1" t="s">
        <v>1776</v>
      </c>
      <c r="B881" s="1" t="s">
        <v>1777</v>
      </c>
      <c r="C881" s="1" t="s">
        <v>12</v>
      </c>
      <c r="D881" s="1" t="s">
        <v>1739</v>
      </c>
      <c r="E881" s="4">
        <v>1010518.0</v>
      </c>
      <c r="F881" s="2" t="s">
        <v>15</v>
      </c>
      <c r="G881" s="2" t="s">
        <v>33</v>
      </c>
      <c r="H881" s="2" t="s">
        <v>15</v>
      </c>
      <c r="I881" s="2" t="s">
        <v>15</v>
      </c>
      <c r="J881" s="2" t="s">
        <v>15</v>
      </c>
    </row>
    <row r="882" ht="15.75" customHeight="1">
      <c r="A882" s="1" t="s">
        <v>1778</v>
      </c>
      <c r="B882" s="1" t="s">
        <v>1779</v>
      </c>
      <c r="C882" s="1" t="s">
        <v>12</v>
      </c>
      <c r="D882" s="1" t="s">
        <v>1739</v>
      </c>
      <c r="E882" s="4">
        <v>1010518.0</v>
      </c>
      <c r="F882" s="2" t="s">
        <v>36</v>
      </c>
      <c r="G882" s="2" t="s">
        <v>1</v>
      </c>
      <c r="H882" s="2" t="s">
        <v>37</v>
      </c>
      <c r="I882" s="2" t="s">
        <v>15</v>
      </c>
      <c r="J882" s="2" t="s">
        <v>15</v>
      </c>
    </row>
    <row r="883" ht="15.75" customHeight="1">
      <c r="A883" s="1" t="s">
        <v>1780</v>
      </c>
      <c r="B883" s="1" t="s">
        <v>1781</v>
      </c>
      <c r="C883" s="1" t="s">
        <v>12</v>
      </c>
      <c r="D883" s="1" t="s">
        <v>1739</v>
      </c>
      <c r="E883" s="4">
        <v>1010518.0</v>
      </c>
      <c r="F883" s="2">
        <v>1.0</v>
      </c>
      <c r="G883" s="2" t="s">
        <v>1</v>
      </c>
      <c r="H883" s="2" t="s">
        <v>37</v>
      </c>
      <c r="I883" s="2" t="s">
        <v>15</v>
      </c>
      <c r="J883" s="2" t="s">
        <v>15</v>
      </c>
    </row>
    <row r="884" ht="15.75" customHeight="1">
      <c r="A884" s="1" t="s">
        <v>1782</v>
      </c>
      <c r="B884" s="1" t="s">
        <v>1783</v>
      </c>
      <c r="C884" s="1" t="s">
        <v>12</v>
      </c>
      <c r="D884" s="1" t="s">
        <v>1739</v>
      </c>
      <c r="E884" s="4">
        <v>1010518.0</v>
      </c>
      <c r="F884" s="2">
        <v>2.0</v>
      </c>
      <c r="G884" s="2" t="s">
        <v>1</v>
      </c>
      <c r="H884" s="2" t="s">
        <v>37</v>
      </c>
      <c r="I884" s="2" t="s">
        <v>15</v>
      </c>
      <c r="J884" s="2" t="s">
        <v>15</v>
      </c>
    </row>
    <row r="885" ht="15.75" customHeight="1">
      <c r="A885" s="1" t="s">
        <v>1784</v>
      </c>
      <c r="B885" s="1" t="s">
        <v>1785</v>
      </c>
      <c r="C885" s="1" t="s">
        <v>12</v>
      </c>
      <c r="D885" s="1" t="s">
        <v>1739</v>
      </c>
      <c r="E885" s="4">
        <v>1010518.0</v>
      </c>
      <c r="F885" s="2">
        <v>3.0</v>
      </c>
      <c r="G885" s="2" t="s">
        <v>1</v>
      </c>
      <c r="H885" s="2" t="s">
        <v>37</v>
      </c>
      <c r="I885" s="2" t="s">
        <v>15</v>
      </c>
      <c r="J885" s="2" t="s">
        <v>15</v>
      </c>
    </row>
    <row r="886" ht="15.75" customHeight="1">
      <c r="A886" s="1" t="s">
        <v>1786</v>
      </c>
      <c r="B886" s="1" t="s">
        <v>1787</v>
      </c>
      <c r="C886" s="1" t="s">
        <v>12</v>
      </c>
      <c r="D886" s="1" t="s">
        <v>1739</v>
      </c>
      <c r="E886" s="4">
        <v>1010518.0</v>
      </c>
      <c r="F886" s="2" t="s">
        <v>30</v>
      </c>
      <c r="G886" s="2" t="s">
        <v>1</v>
      </c>
      <c r="H886" s="2" t="s">
        <v>37</v>
      </c>
      <c r="I886" s="2" t="s">
        <v>15</v>
      </c>
      <c r="J886" s="2" t="s">
        <v>15</v>
      </c>
    </row>
    <row r="887" ht="15.75" customHeight="1">
      <c r="A887" s="1" t="s">
        <v>1788</v>
      </c>
      <c r="B887" s="1" t="s">
        <v>1789</v>
      </c>
      <c r="C887" s="1" t="s">
        <v>12</v>
      </c>
      <c r="D887" s="1" t="s">
        <v>1790</v>
      </c>
      <c r="E887" s="4">
        <v>1010582.0</v>
      </c>
      <c r="F887" s="2" t="s">
        <v>399</v>
      </c>
      <c r="G887" s="2" t="s">
        <v>1</v>
      </c>
      <c r="H887" s="2" t="s">
        <v>14</v>
      </c>
      <c r="I887" s="2" t="s">
        <v>15</v>
      </c>
      <c r="J887" s="2" t="s">
        <v>15</v>
      </c>
    </row>
    <row r="888" ht="15.75" customHeight="1">
      <c r="A888" s="1" t="s">
        <v>1791</v>
      </c>
      <c r="B888" s="1" t="s">
        <v>1792</v>
      </c>
      <c r="C888" s="1" t="s">
        <v>12</v>
      </c>
      <c r="D888" s="1" t="s">
        <v>1790</v>
      </c>
      <c r="E888" s="4">
        <v>1010582.0</v>
      </c>
      <c r="F888" s="2" t="s">
        <v>399</v>
      </c>
      <c r="G888" s="2" t="s">
        <v>1</v>
      </c>
      <c r="H888" s="2" t="s">
        <v>18</v>
      </c>
      <c r="I888" s="2" t="s">
        <v>15</v>
      </c>
      <c r="J888" s="2" t="s">
        <v>15</v>
      </c>
    </row>
    <row r="889" ht="15.75" customHeight="1">
      <c r="A889" s="1" t="s">
        <v>1793</v>
      </c>
      <c r="B889" s="1" t="s">
        <v>1794</v>
      </c>
      <c r="C889" s="1" t="s">
        <v>12</v>
      </c>
      <c r="D889" s="1" t="s">
        <v>1790</v>
      </c>
      <c r="E889" s="4">
        <v>1010582.0</v>
      </c>
      <c r="F889" s="2" t="s">
        <v>15</v>
      </c>
      <c r="G889" s="2" t="s">
        <v>33</v>
      </c>
      <c r="H889" s="2" t="s">
        <v>15</v>
      </c>
      <c r="I889" s="2" t="s">
        <v>15</v>
      </c>
      <c r="J889" s="2" t="s">
        <v>15</v>
      </c>
    </row>
    <row r="890" ht="15.75" customHeight="1">
      <c r="A890" s="1" t="s">
        <v>1795</v>
      </c>
      <c r="B890" s="1" t="s">
        <v>1796</v>
      </c>
      <c r="C890" s="1" t="s">
        <v>12</v>
      </c>
      <c r="D890" s="1" t="s">
        <v>1797</v>
      </c>
      <c r="E890" s="4">
        <v>1010646.0</v>
      </c>
      <c r="F890" s="2" t="s">
        <v>399</v>
      </c>
      <c r="G890" s="2" t="s">
        <v>1</v>
      </c>
      <c r="H890" s="2" t="s">
        <v>14</v>
      </c>
      <c r="I890" s="2" t="s">
        <v>15</v>
      </c>
      <c r="J890" s="2" t="s">
        <v>15</v>
      </c>
    </row>
    <row r="891" ht="15.75" customHeight="1">
      <c r="A891" s="1" t="s">
        <v>1798</v>
      </c>
      <c r="B891" s="1" t="s">
        <v>1799</v>
      </c>
      <c r="C891" s="1" t="s">
        <v>12</v>
      </c>
      <c r="D891" s="1" t="s">
        <v>1797</v>
      </c>
      <c r="E891" s="4">
        <v>1010646.0</v>
      </c>
      <c r="F891" s="2" t="s">
        <v>399</v>
      </c>
      <c r="G891" s="2" t="s">
        <v>1</v>
      </c>
      <c r="H891" s="2" t="s">
        <v>18</v>
      </c>
      <c r="I891" s="2" t="s">
        <v>15</v>
      </c>
      <c r="J891" s="2" t="s">
        <v>15</v>
      </c>
    </row>
    <row r="892" ht="15.75" customHeight="1">
      <c r="A892" s="1" t="s">
        <v>1800</v>
      </c>
      <c r="B892" s="1" t="s">
        <v>1801</v>
      </c>
      <c r="C892" s="1" t="s">
        <v>12</v>
      </c>
      <c r="D892" s="1" t="s">
        <v>1797</v>
      </c>
      <c r="E892" s="4">
        <v>1010646.0</v>
      </c>
      <c r="F892" s="2" t="s">
        <v>15</v>
      </c>
      <c r="G892" s="2" t="s">
        <v>33</v>
      </c>
      <c r="H892" s="2" t="s">
        <v>15</v>
      </c>
      <c r="I892" s="2" t="s">
        <v>15</v>
      </c>
      <c r="J892" s="2" t="s">
        <v>15</v>
      </c>
    </row>
    <row r="893" ht="15.75" customHeight="1">
      <c r="A893" s="1" t="s">
        <v>1802</v>
      </c>
      <c r="B893" s="1" t="s">
        <v>1803</v>
      </c>
      <c r="C893" s="1" t="s">
        <v>12</v>
      </c>
      <c r="D893" s="1" t="s">
        <v>1804</v>
      </c>
      <c r="E893" s="4">
        <v>1010710.0</v>
      </c>
      <c r="F893" s="2" t="s">
        <v>399</v>
      </c>
      <c r="G893" s="2" t="s">
        <v>1</v>
      </c>
      <c r="H893" s="2" t="s">
        <v>14</v>
      </c>
      <c r="I893" s="2" t="s">
        <v>15</v>
      </c>
      <c r="J893" s="2" t="s">
        <v>15</v>
      </c>
    </row>
    <row r="894" ht="15.75" customHeight="1">
      <c r="A894" s="1" t="s">
        <v>1805</v>
      </c>
      <c r="B894" s="1" t="s">
        <v>1806</v>
      </c>
      <c r="C894" s="1" t="s">
        <v>12</v>
      </c>
      <c r="D894" s="1" t="s">
        <v>1804</v>
      </c>
      <c r="E894" s="4">
        <v>1010710.0</v>
      </c>
      <c r="F894" s="2" t="s">
        <v>399</v>
      </c>
      <c r="G894" s="2" t="s">
        <v>1</v>
      </c>
      <c r="H894" s="2" t="s">
        <v>18</v>
      </c>
      <c r="I894" s="2" t="s">
        <v>15</v>
      </c>
      <c r="J894" s="2" t="s">
        <v>15</v>
      </c>
    </row>
    <row r="895" ht="15.75" customHeight="1">
      <c r="A895" s="1" t="s">
        <v>1807</v>
      </c>
      <c r="B895" s="1" t="s">
        <v>1808</v>
      </c>
      <c r="C895" s="1" t="s">
        <v>12</v>
      </c>
      <c r="D895" s="1" t="s">
        <v>1804</v>
      </c>
      <c r="E895" s="4">
        <v>1010710.0</v>
      </c>
      <c r="F895" s="2" t="s">
        <v>15</v>
      </c>
      <c r="G895" s="2" t="s">
        <v>33</v>
      </c>
      <c r="H895" s="2" t="s">
        <v>15</v>
      </c>
      <c r="I895" s="2" t="s">
        <v>15</v>
      </c>
      <c r="J895" s="2" t="s">
        <v>15</v>
      </c>
    </row>
    <row r="896" ht="15.75" customHeight="1">
      <c r="A896" s="1" t="s">
        <v>1809</v>
      </c>
      <c r="B896" s="1" t="s">
        <v>1810</v>
      </c>
      <c r="C896" s="1" t="s">
        <v>12</v>
      </c>
      <c r="D896" s="1" t="s">
        <v>1811</v>
      </c>
      <c r="E896" s="4">
        <v>1010774.0</v>
      </c>
      <c r="F896" s="2" t="s">
        <v>36</v>
      </c>
      <c r="G896" s="2" t="s">
        <v>1</v>
      </c>
      <c r="H896" s="2" t="s">
        <v>14</v>
      </c>
      <c r="I896" s="2" t="s">
        <v>15</v>
      </c>
      <c r="J896" s="2" t="s">
        <v>15</v>
      </c>
    </row>
    <row r="897" ht="15.75" customHeight="1">
      <c r="A897" s="1" t="s">
        <v>1812</v>
      </c>
      <c r="B897" s="1" t="s">
        <v>1813</v>
      </c>
      <c r="C897" s="1" t="s">
        <v>12</v>
      </c>
      <c r="D897" s="1" t="s">
        <v>1811</v>
      </c>
      <c r="E897" s="4">
        <v>1010774.0</v>
      </c>
      <c r="F897" s="2" t="s">
        <v>36</v>
      </c>
      <c r="G897" s="2" t="s">
        <v>1</v>
      </c>
      <c r="H897" s="2" t="s">
        <v>18</v>
      </c>
      <c r="I897" s="2" t="s">
        <v>15</v>
      </c>
      <c r="J897" s="2" t="s">
        <v>15</v>
      </c>
    </row>
    <row r="898" ht="15.75" customHeight="1">
      <c r="A898" s="1" t="s">
        <v>1814</v>
      </c>
      <c r="B898" s="1" t="s">
        <v>1815</v>
      </c>
      <c r="C898" s="1" t="s">
        <v>12</v>
      </c>
      <c r="D898" s="1" t="s">
        <v>1811</v>
      </c>
      <c r="E898" s="4">
        <v>1010774.0</v>
      </c>
      <c r="F898" s="2" t="s">
        <v>36</v>
      </c>
      <c r="G898" s="2" t="s">
        <v>1</v>
      </c>
      <c r="H898" s="2" t="s">
        <v>21</v>
      </c>
      <c r="I898" s="2" t="s">
        <v>15</v>
      </c>
      <c r="J898" s="2" t="s">
        <v>15</v>
      </c>
    </row>
    <row r="899" ht="15.75" customHeight="1">
      <c r="A899" s="1" t="s">
        <v>1816</v>
      </c>
      <c r="B899" s="1" t="s">
        <v>1817</v>
      </c>
      <c r="C899" s="1" t="s">
        <v>12</v>
      </c>
      <c r="D899" s="1" t="s">
        <v>1811</v>
      </c>
      <c r="E899" s="4">
        <v>1010774.0</v>
      </c>
      <c r="F899" s="2">
        <v>1.0</v>
      </c>
      <c r="G899" s="2" t="s">
        <v>1</v>
      </c>
      <c r="H899" s="2" t="s">
        <v>14</v>
      </c>
      <c r="I899" s="2" t="s">
        <v>15</v>
      </c>
      <c r="J899" s="2" t="s">
        <v>15</v>
      </c>
    </row>
    <row r="900" ht="15.75" customHeight="1">
      <c r="A900" s="1" t="s">
        <v>1818</v>
      </c>
      <c r="B900" s="1" t="s">
        <v>1819</v>
      </c>
      <c r="C900" s="1" t="s">
        <v>12</v>
      </c>
      <c r="D900" s="1" t="s">
        <v>1811</v>
      </c>
      <c r="E900" s="4">
        <v>1010774.0</v>
      </c>
      <c r="F900" s="2">
        <v>1.0</v>
      </c>
      <c r="G900" s="2" t="s">
        <v>1</v>
      </c>
      <c r="H900" s="2" t="s">
        <v>18</v>
      </c>
      <c r="I900" s="2" t="s">
        <v>15</v>
      </c>
      <c r="J900" s="2" t="s">
        <v>15</v>
      </c>
    </row>
    <row r="901" ht="15.75" customHeight="1">
      <c r="A901" s="1" t="s">
        <v>1820</v>
      </c>
      <c r="B901" s="1" t="s">
        <v>1821</v>
      </c>
      <c r="C901" s="1" t="s">
        <v>12</v>
      </c>
      <c r="D901" s="1" t="s">
        <v>1811</v>
      </c>
      <c r="E901" s="4">
        <v>1010774.0</v>
      </c>
      <c r="F901" s="2">
        <v>1.0</v>
      </c>
      <c r="G901" s="2" t="s">
        <v>1</v>
      </c>
      <c r="H901" s="2" t="s">
        <v>21</v>
      </c>
      <c r="I901" s="2" t="s">
        <v>15</v>
      </c>
      <c r="J901" s="2" t="s">
        <v>15</v>
      </c>
    </row>
    <row r="902" ht="15.75" customHeight="1">
      <c r="A902" s="1" t="s">
        <v>1822</v>
      </c>
      <c r="B902" s="1" t="s">
        <v>1823</v>
      </c>
      <c r="C902" s="1" t="s">
        <v>12</v>
      </c>
      <c r="D902" s="1" t="s">
        <v>1811</v>
      </c>
      <c r="E902" s="4">
        <v>1010774.0</v>
      </c>
      <c r="F902" s="2">
        <v>2.0</v>
      </c>
      <c r="G902" s="2" t="s">
        <v>1</v>
      </c>
      <c r="H902" s="2" t="s">
        <v>14</v>
      </c>
      <c r="I902" s="2" t="s">
        <v>15</v>
      </c>
      <c r="J902" s="2" t="s">
        <v>15</v>
      </c>
    </row>
    <row r="903" ht="15.75" customHeight="1">
      <c r="A903" s="1" t="s">
        <v>1824</v>
      </c>
      <c r="B903" s="1" t="s">
        <v>1825</v>
      </c>
      <c r="C903" s="1" t="s">
        <v>12</v>
      </c>
      <c r="D903" s="1" t="s">
        <v>1811</v>
      </c>
      <c r="E903" s="4">
        <v>1010774.0</v>
      </c>
      <c r="F903" s="2">
        <v>2.0</v>
      </c>
      <c r="G903" s="2" t="s">
        <v>1</v>
      </c>
      <c r="H903" s="2" t="s">
        <v>18</v>
      </c>
      <c r="I903" s="2" t="s">
        <v>15</v>
      </c>
      <c r="J903" s="2" t="s">
        <v>15</v>
      </c>
    </row>
    <row r="904" ht="15.75" customHeight="1">
      <c r="A904" s="1" t="s">
        <v>1826</v>
      </c>
      <c r="B904" s="1" t="s">
        <v>1827</v>
      </c>
      <c r="C904" s="1" t="s">
        <v>12</v>
      </c>
      <c r="D904" s="1" t="s">
        <v>1811</v>
      </c>
      <c r="E904" s="4">
        <v>1010774.0</v>
      </c>
      <c r="F904" s="2">
        <v>2.0</v>
      </c>
      <c r="G904" s="2" t="s">
        <v>1</v>
      </c>
      <c r="H904" s="2" t="s">
        <v>21</v>
      </c>
      <c r="I904" s="2" t="s">
        <v>15</v>
      </c>
      <c r="J904" s="2" t="s">
        <v>15</v>
      </c>
    </row>
    <row r="905" ht="15.75" customHeight="1">
      <c r="A905" s="1" t="s">
        <v>1828</v>
      </c>
      <c r="B905" s="1" t="s">
        <v>1829</v>
      </c>
      <c r="C905" s="1" t="s">
        <v>12</v>
      </c>
      <c r="D905" s="1" t="s">
        <v>1811</v>
      </c>
      <c r="E905" s="4">
        <v>1010774.0</v>
      </c>
      <c r="F905" s="2">
        <v>4.0</v>
      </c>
      <c r="G905" s="2" t="s">
        <v>1</v>
      </c>
      <c r="H905" s="2" t="s">
        <v>14</v>
      </c>
      <c r="I905" s="2" t="s">
        <v>15</v>
      </c>
      <c r="J905" s="2" t="s">
        <v>15</v>
      </c>
    </row>
    <row r="906" ht="15.75" customHeight="1">
      <c r="A906" s="1" t="s">
        <v>1830</v>
      </c>
      <c r="B906" s="1" t="s">
        <v>1831</v>
      </c>
      <c r="C906" s="1" t="s">
        <v>12</v>
      </c>
      <c r="D906" s="1" t="s">
        <v>1811</v>
      </c>
      <c r="E906" s="4">
        <v>1010774.0</v>
      </c>
      <c r="F906" s="2">
        <v>4.0</v>
      </c>
      <c r="G906" s="2" t="s">
        <v>1</v>
      </c>
      <c r="H906" s="2" t="s">
        <v>18</v>
      </c>
      <c r="I906" s="2" t="s">
        <v>15</v>
      </c>
      <c r="J906" s="2" t="s">
        <v>15</v>
      </c>
    </row>
    <row r="907" ht="15.75" customHeight="1">
      <c r="A907" s="1" t="s">
        <v>1832</v>
      </c>
      <c r="B907" s="1" t="s">
        <v>1833</v>
      </c>
      <c r="C907" s="1" t="s">
        <v>12</v>
      </c>
      <c r="D907" s="1" t="s">
        <v>1811</v>
      </c>
      <c r="E907" s="4">
        <v>1010774.0</v>
      </c>
      <c r="F907" s="2">
        <v>4.0</v>
      </c>
      <c r="G907" s="2" t="s">
        <v>1</v>
      </c>
      <c r="H907" s="2" t="s">
        <v>21</v>
      </c>
      <c r="I907" s="2" t="s">
        <v>15</v>
      </c>
      <c r="J907" s="2" t="s">
        <v>15</v>
      </c>
    </row>
    <row r="908" ht="15.75" customHeight="1">
      <c r="A908" s="1" t="s">
        <v>1834</v>
      </c>
      <c r="B908" s="1" t="s">
        <v>1835</v>
      </c>
      <c r="C908" s="1" t="s">
        <v>12</v>
      </c>
      <c r="D908" s="1" t="s">
        <v>1811</v>
      </c>
      <c r="E908" s="4">
        <v>1010774.0</v>
      </c>
      <c r="F908" s="2" t="s">
        <v>30</v>
      </c>
      <c r="G908" s="2" t="s">
        <v>1</v>
      </c>
      <c r="H908" s="2" t="s">
        <v>14</v>
      </c>
      <c r="I908" s="2" t="s">
        <v>15</v>
      </c>
      <c r="J908" s="2" t="s">
        <v>15</v>
      </c>
    </row>
    <row r="909" ht="15.75" customHeight="1">
      <c r="A909" s="1" t="s">
        <v>1836</v>
      </c>
      <c r="B909" s="1" t="s">
        <v>1837</v>
      </c>
      <c r="C909" s="1" t="s">
        <v>12</v>
      </c>
      <c r="D909" s="1" t="s">
        <v>1811</v>
      </c>
      <c r="E909" s="4">
        <v>1010774.0</v>
      </c>
      <c r="F909" s="2" t="s">
        <v>15</v>
      </c>
      <c r="G909" s="2" t="s">
        <v>33</v>
      </c>
      <c r="H909" s="2" t="s">
        <v>15</v>
      </c>
      <c r="I909" s="2" t="s">
        <v>15</v>
      </c>
      <c r="J909" s="2" t="s">
        <v>15</v>
      </c>
    </row>
    <row r="910" ht="15.75" customHeight="1">
      <c r="A910" s="1" t="s">
        <v>1838</v>
      </c>
      <c r="B910" s="1" t="s">
        <v>1839</v>
      </c>
      <c r="C910" s="1" t="s">
        <v>12</v>
      </c>
      <c r="D910" s="1" t="s">
        <v>1811</v>
      </c>
      <c r="E910" s="4">
        <v>1010774.0</v>
      </c>
      <c r="F910" s="2" t="s">
        <v>36</v>
      </c>
      <c r="G910" s="2" t="s">
        <v>1</v>
      </c>
      <c r="H910" s="2" t="s">
        <v>37</v>
      </c>
      <c r="I910" s="2" t="s">
        <v>15</v>
      </c>
      <c r="J910" s="2" t="s">
        <v>15</v>
      </c>
    </row>
    <row r="911" ht="15.75" customHeight="1">
      <c r="A911" s="1" t="s">
        <v>1840</v>
      </c>
      <c r="B911" s="1" t="s">
        <v>1841</v>
      </c>
      <c r="C911" s="1" t="s">
        <v>12</v>
      </c>
      <c r="D911" s="1" t="s">
        <v>1811</v>
      </c>
      <c r="E911" s="4">
        <v>1010774.0</v>
      </c>
      <c r="F911" s="2">
        <v>1.0</v>
      </c>
      <c r="G911" s="2" t="s">
        <v>1</v>
      </c>
      <c r="H911" s="2" t="s">
        <v>37</v>
      </c>
      <c r="I911" s="2" t="s">
        <v>15</v>
      </c>
      <c r="J911" s="2" t="s">
        <v>15</v>
      </c>
    </row>
    <row r="912" ht="15.75" customHeight="1">
      <c r="A912" s="1" t="s">
        <v>1842</v>
      </c>
      <c r="B912" s="1" t="s">
        <v>1843</v>
      </c>
      <c r="C912" s="1" t="s">
        <v>12</v>
      </c>
      <c r="D912" s="1" t="s">
        <v>1811</v>
      </c>
      <c r="E912" s="4">
        <v>1010774.0</v>
      </c>
      <c r="F912" s="2">
        <v>2.0</v>
      </c>
      <c r="G912" s="2" t="s">
        <v>1</v>
      </c>
      <c r="H912" s="2" t="s">
        <v>37</v>
      </c>
      <c r="I912" s="2" t="s">
        <v>15</v>
      </c>
      <c r="J912" s="2" t="s">
        <v>15</v>
      </c>
    </row>
    <row r="913" ht="15.75" customHeight="1">
      <c r="A913" s="1" t="s">
        <v>1844</v>
      </c>
      <c r="B913" s="1" t="s">
        <v>1845</v>
      </c>
      <c r="C913" s="1" t="s">
        <v>12</v>
      </c>
      <c r="D913" s="1" t="s">
        <v>1811</v>
      </c>
      <c r="E913" s="4">
        <v>1010774.0</v>
      </c>
      <c r="F913" s="2">
        <v>4.0</v>
      </c>
      <c r="G913" s="2" t="s">
        <v>1</v>
      </c>
      <c r="H913" s="2" t="s">
        <v>37</v>
      </c>
      <c r="I913" s="2" t="s">
        <v>15</v>
      </c>
      <c r="J913" s="2" t="s">
        <v>15</v>
      </c>
    </row>
    <row r="914" ht="15.75" customHeight="1">
      <c r="A914" s="1" t="s">
        <v>1846</v>
      </c>
      <c r="B914" s="1" t="s">
        <v>1847</v>
      </c>
      <c r="C914" s="1" t="s">
        <v>12</v>
      </c>
      <c r="D914" s="1" t="s">
        <v>1811</v>
      </c>
      <c r="E914" s="4">
        <v>1010774.0</v>
      </c>
      <c r="F914" s="2">
        <v>5.0</v>
      </c>
      <c r="G914" s="2" t="s">
        <v>1</v>
      </c>
      <c r="H914" s="2" t="s">
        <v>37</v>
      </c>
      <c r="I914" s="2" t="s">
        <v>15</v>
      </c>
      <c r="J914" s="2" t="s">
        <v>15</v>
      </c>
    </row>
    <row r="915" ht="15.75" customHeight="1">
      <c r="A915" s="1" t="s">
        <v>1848</v>
      </c>
      <c r="B915" s="1" t="s">
        <v>1849</v>
      </c>
      <c r="C915" s="1" t="s">
        <v>12</v>
      </c>
      <c r="D915" s="1" t="s">
        <v>1811</v>
      </c>
      <c r="E915" s="4">
        <v>1010774.0</v>
      </c>
      <c r="F915" s="2" t="s">
        <v>30</v>
      </c>
      <c r="G915" s="2" t="s">
        <v>1</v>
      </c>
      <c r="H915" s="2" t="s">
        <v>37</v>
      </c>
      <c r="I915" s="2" t="s">
        <v>15</v>
      </c>
      <c r="J915" s="2" t="s">
        <v>15</v>
      </c>
    </row>
    <row r="916" ht="15.75" customHeight="1">
      <c r="A916" s="1" t="s">
        <v>1850</v>
      </c>
      <c r="B916" s="1" t="s">
        <v>1851</v>
      </c>
      <c r="C916" s="1" t="s">
        <v>12</v>
      </c>
      <c r="D916" s="1" t="s">
        <v>1852</v>
      </c>
      <c r="E916" s="4">
        <v>1010838.0</v>
      </c>
      <c r="F916" s="2" t="s">
        <v>15</v>
      </c>
      <c r="G916" s="2" t="s">
        <v>1</v>
      </c>
      <c r="H916" s="2" t="s">
        <v>53</v>
      </c>
      <c r="I916" s="2" t="s">
        <v>15</v>
      </c>
      <c r="J916" s="2" t="s">
        <v>15</v>
      </c>
    </row>
    <row r="917" ht="15.75" customHeight="1">
      <c r="A917" s="1" t="s">
        <v>1853</v>
      </c>
      <c r="B917" s="3" t="s">
        <v>1854</v>
      </c>
      <c r="C917" s="1" t="s">
        <v>12</v>
      </c>
      <c r="D917" s="1" t="s">
        <v>1852</v>
      </c>
      <c r="E917" s="4">
        <v>1010838.0</v>
      </c>
      <c r="F917" s="2">
        <v>1.0</v>
      </c>
      <c r="G917" s="2" t="s">
        <v>1</v>
      </c>
      <c r="H917" s="2" t="s">
        <v>14</v>
      </c>
      <c r="I917" s="5" t="str">
        <f>IFERROR(
  MID(
    SUBSTITUTE(B917, CHAR(10), ""),
    FIND("_Gross ROI=", SUBSTITUTE(B917, CHAR(10), "")) + LEN("_Gross ROI="),
    FIND("%", SUBSTITUTE(B917, CHAR(10), ""), FIND("_Gross ROI=", SUBSTITUTE(B917, CHAR(10), "")))
      - FIND("_Gross ROI=", SUBSTITUTE(B917, CHAR(10), "")) - LEN("_Gross ROI=") + 1
  ),
  ""
)</f>
        <v>4.28%</v>
      </c>
      <c r="J917" s="5" t="str">
        <f>IFERROR(
  MID(
    SUBSTITUTE(B917, CHAR(10), ""),
    FIND("_Median annual rent=", SUBSTITUTE(B917, CHAR(10), "")) + LEN("_Median annual rent="),
    FIND("K", SUBSTITUTE(B917, CHAR(10), ""), FIND("_Median annual rent=", SUBSTITUTE(B917, CHAR(10), "")))
      - FIND("_Median annual rent=", SUBSTITUTE(B917, CHAR(10), "")) - LEN("_Median annual rent=") + 1
  ),
  "")</f>
        <v>115K</v>
      </c>
    </row>
    <row r="918" ht="15.75" customHeight="1">
      <c r="A918" s="1" t="s">
        <v>1855</v>
      </c>
      <c r="B918" s="3" t="s">
        <v>1856</v>
      </c>
      <c r="C918" s="1" t="s">
        <v>12</v>
      </c>
      <c r="D918" s="1" t="s">
        <v>1852</v>
      </c>
      <c r="E918" s="4">
        <v>1010838.0</v>
      </c>
      <c r="F918" s="2">
        <v>1.0</v>
      </c>
      <c r="G918" s="2" t="s">
        <v>1</v>
      </c>
      <c r="H918" s="2" t="s">
        <v>18</v>
      </c>
      <c r="I918" s="2" t="s">
        <v>15</v>
      </c>
      <c r="J918" s="2" t="s">
        <v>15</v>
      </c>
    </row>
    <row r="919" ht="15.75" customHeight="1">
      <c r="A919" s="1" t="s">
        <v>1857</v>
      </c>
      <c r="B919" s="3" t="s">
        <v>1858</v>
      </c>
      <c r="C919" s="1" t="s">
        <v>12</v>
      </c>
      <c r="D919" s="1" t="s">
        <v>1852</v>
      </c>
      <c r="E919" s="4">
        <v>1010838.0</v>
      </c>
      <c r="F919" s="2">
        <v>1.0</v>
      </c>
      <c r="G919" s="2" t="s">
        <v>1</v>
      </c>
      <c r="H919" s="2" t="s">
        <v>53</v>
      </c>
      <c r="I919" s="2" t="s">
        <v>15</v>
      </c>
      <c r="J919" s="2" t="s">
        <v>15</v>
      </c>
    </row>
    <row r="920" ht="15.75" customHeight="1">
      <c r="A920" s="1" t="s">
        <v>1859</v>
      </c>
      <c r="B920" s="3" t="s">
        <v>1860</v>
      </c>
      <c r="C920" s="1" t="s">
        <v>12</v>
      </c>
      <c r="D920" s="1" t="s">
        <v>1852</v>
      </c>
      <c r="E920" s="4">
        <v>1010838.0</v>
      </c>
      <c r="F920" s="2">
        <v>1.0</v>
      </c>
      <c r="G920" s="2" t="s">
        <v>1</v>
      </c>
      <c r="H920" s="2" t="s">
        <v>21</v>
      </c>
      <c r="I920" s="2" t="s">
        <v>15</v>
      </c>
      <c r="J920" s="2" t="s">
        <v>15</v>
      </c>
    </row>
    <row r="921" ht="15.75" customHeight="1">
      <c r="A921" s="1" t="s">
        <v>1861</v>
      </c>
      <c r="B921" s="1" t="s">
        <v>1862</v>
      </c>
      <c r="C921" s="1" t="s">
        <v>12</v>
      </c>
      <c r="D921" s="1" t="s">
        <v>1852</v>
      </c>
      <c r="E921" s="4">
        <v>1010838.0</v>
      </c>
      <c r="F921" s="2">
        <v>2.0</v>
      </c>
      <c r="G921" s="2" t="s">
        <v>1</v>
      </c>
      <c r="H921" s="2" t="s">
        <v>14</v>
      </c>
      <c r="I921" s="5" t="str">
        <f>IFERROR(
  MID(
    SUBSTITUTE(B921, CHAR(10), ""),
    FIND("_Gross ROI=", SUBSTITUTE(B921, CHAR(10), "")) + LEN("_Gross ROI="),
    FIND("%", SUBSTITUTE(B921, CHAR(10), ""), FIND("_Gross ROI=", SUBSTITUTE(B921, CHAR(10), "")))
      - FIND("_Gross ROI=", SUBSTITUTE(B921, CHAR(10), "")) - LEN("_Gross ROI=") + 1
  ),
  ""
)</f>
        <v>5.31%</v>
      </c>
      <c r="J921" s="5" t="str">
        <f>IFERROR(
  MID(
    SUBSTITUTE(B921, CHAR(10), ""),
    FIND("_Median annual rent=", SUBSTITUTE(B921, CHAR(10), "")) + LEN("_Median annual rent="),
    FIND("K", SUBSTITUTE(B921, CHAR(10), ""), FIND("_Median annual rent=", SUBSTITUTE(B921, CHAR(10), "")))
      - FIND("_Median annual rent=", SUBSTITUTE(B921, CHAR(10), "")) - LEN("_Median annual rent=") + 1
  ),
  "")</f>
        <v>165K</v>
      </c>
    </row>
    <row r="922" ht="15.75" customHeight="1">
      <c r="A922" s="1" t="s">
        <v>1863</v>
      </c>
      <c r="B922" s="1" t="s">
        <v>1864</v>
      </c>
      <c r="C922" s="1" t="s">
        <v>12</v>
      </c>
      <c r="D922" s="1" t="s">
        <v>1852</v>
      </c>
      <c r="E922" s="4">
        <v>1010838.0</v>
      </c>
      <c r="F922" s="2">
        <v>2.0</v>
      </c>
      <c r="G922" s="2" t="s">
        <v>1</v>
      </c>
      <c r="H922" s="2" t="s">
        <v>18</v>
      </c>
      <c r="I922" s="2" t="s">
        <v>15</v>
      </c>
      <c r="J922" s="2" t="s">
        <v>15</v>
      </c>
    </row>
    <row r="923" ht="15.75" customHeight="1">
      <c r="A923" s="1" t="s">
        <v>1865</v>
      </c>
      <c r="B923" s="1" t="s">
        <v>1866</v>
      </c>
      <c r="C923" s="1" t="s">
        <v>12</v>
      </c>
      <c r="D923" s="1" t="s">
        <v>1852</v>
      </c>
      <c r="E923" s="4">
        <v>1010838.0</v>
      </c>
      <c r="F923" s="2">
        <v>2.0</v>
      </c>
      <c r="G923" s="2" t="s">
        <v>1</v>
      </c>
      <c r="H923" s="2" t="s">
        <v>53</v>
      </c>
      <c r="I923" s="2" t="s">
        <v>15</v>
      </c>
      <c r="J923" s="2" t="s">
        <v>15</v>
      </c>
    </row>
    <row r="924" ht="15.75" customHeight="1">
      <c r="A924" s="1" t="s">
        <v>1867</v>
      </c>
      <c r="B924" s="1" t="s">
        <v>1868</v>
      </c>
      <c r="C924" s="1" t="s">
        <v>12</v>
      </c>
      <c r="D924" s="1" t="s">
        <v>1852</v>
      </c>
      <c r="E924" s="4">
        <v>1010838.0</v>
      </c>
      <c r="F924" s="2">
        <v>2.0</v>
      </c>
      <c r="G924" s="2" t="s">
        <v>1</v>
      </c>
      <c r="H924" s="2" t="s">
        <v>21</v>
      </c>
      <c r="I924" s="2" t="s">
        <v>15</v>
      </c>
      <c r="J924" s="2" t="s">
        <v>15</v>
      </c>
    </row>
    <row r="925" ht="15.75" customHeight="1">
      <c r="A925" s="1" t="s">
        <v>1869</v>
      </c>
      <c r="B925" s="1" t="s">
        <v>1870</v>
      </c>
      <c r="C925" s="1" t="s">
        <v>12</v>
      </c>
      <c r="D925" s="1" t="s">
        <v>1852</v>
      </c>
      <c r="E925" s="4">
        <v>1010838.0</v>
      </c>
      <c r="F925" s="2">
        <v>3.0</v>
      </c>
      <c r="G925" s="2" t="s">
        <v>1</v>
      </c>
      <c r="H925" s="2" t="s">
        <v>14</v>
      </c>
      <c r="I925" s="5" t="str">
        <f>IFERROR(
  MID(
    SUBSTITUTE(B925, CHAR(10), ""),
    FIND("_Gross ROI=", SUBSTITUTE(B925, CHAR(10), "")) + LEN("_Gross ROI="),
    FIND("%", SUBSTITUTE(B925, CHAR(10), ""), FIND("_Gross ROI=", SUBSTITUTE(B925, CHAR(10), "")))
      - FIND("_Gross ROI=", SUBSTITUTE(B925, CHAR(10), "")) - LEN("_Gross ROI=") + 1
  ),
  ""
)</f>
        <v>4.48%</v>
      </c>
      <c r="J925" s="5" t="str">
        <f>IFERROR(
  MID(
    SUBSTITUTE(B925, CHAR(10), ""),
    FIND("_Median annual rent=", SUBSTITUTE(B925, CHAR(10), "")) + LEN("_Median annual rent="),
    FIND("K", SUBSTITUTE(B925, CHAR(10), ""), FIND("_Median annual rent=", SUBSTITUTE(B925, CHAR(10), "")))
      - FIND("_Median annual rent=", SUBSTITUTE(B925, CHAR(10), "")) - LEN("_Median annual rent=") + 1
  ),
  "")</f>
        <v>230K</v>
      </c>
    </row>
    <row r="926" ht="15.75" customHeight="1">
      <c r="A926" s="1" t="s">
        <v>1871</v>
      </c>
      <c r="B926" s="1" t="s">
        <v>1872</v>
      </c>
      <c r="C926" s="1" t="s">
        <v>12</v>
      </c>
      <c r="D926" s="1" t="s">
        <v>1852</v>
      </c>
      <c r="E926" s="4">
        <v>1010838.0</v>
      </c>
      <c r="F926" s="2">
        <v>3.0</v>
      </c>
      <c r="G926" s="2" t="s">
        <v>1</v>
      </c>
      <c r="H926" s="2" t="s">
        <v>18</v>
      </c>
      <c r="I926" s="2" t="s">
        <v>15</v>
      </c>
      <c r="J926" s="2" t="s">
        <v>15</v>
      </c>
    </row>
    <row r="927" ht="15.75" customHeight="1">
      <c r="A927" s="1" t="s">
        <v>1873</v>
      </c>
      <c r="B927" s="1" t="s">
        <v>1874</v>
      </c>
      <c r="C927" s="1" t="s">
        <v>12</v>
      </c>
      <c r="D927" s="1" t="s">
        <v>1852</v>
      </c>
      <c r="E927" s="4">
        <v>1010838.0</v>
      </c>
      <c r="F927" s="2">
        <v>3.0</v>
      </c>
      <c r="G927" s="2" t="s">
        <v>1</v>
      </c>
      <c r="H927" s="2" t="s">
        <v>53</v>
      </c>
      <c r="I927" s="2" t="s">
        <v>15</v>
      </c>
      <c r="J927" s="2" t="s">
        <v>15</v>
      </c>
    </row>
    <row r="928" ht="15.75" customHeight="1">
      <c r="A928" s="1" t="s">
        <v>1875</v>
      </c>
      <c r="B928" s="1" t="s">
        <v>1876</v>
      </c>
      <c r="C928" s="1" t="s">
        <v>12</v>
      </c>
      <c r="D928" s="1" t="s">
        <v>1852</v>
      </c>
      <c r="E928" s="4">
        <v>1010838.0</v>
      </c>
      <c r="F928" s="2">
        <v>3.0</v>
      </c>
      <c r="G928" s="2" t="s">
        <v>1</v>
      </c>
      <c r="H928" s="2" t="s">
        <v>21</v>
      </c>
      <c r="I928" s="2" t="s">
        <v>15</v>
      </c>
      <c r="J928" s="2" t="s">
        <v>15</v>
      </c>
    </row>
    <row r="929" ht="15.75" customHeight="1">
      <c r="A929" s="1" t="s">
        <v>1877</v>
      </c>
      <c r="B929" s="1" t="s">
        <v>1878</v>
      </c>
      <c r="C929" s="1" t="s">
        <v>12</v>
      </c>
      <c r="D929" s="1" t="s">
        <v>1852</v>
      </c>
      <c r="E929" s="4">
        <v>1010838.0</v>
      </c>
      <c r="F929" s="2">
        <v>4.0</v>
      </c>
      <c r="G929" s="2" t="s">
        <v>1</v>
      </c>
      <c r="H929" s="2" t="s">
        <v>14</v>
      </c>
      <c r="I929" s="2" t="s">
        <v>15</v>
      </c>
      <c r="J929" s="2" t="s">
        <v>15</v>
      </c>
    </row>
    <row r="930" ht="15.75" customHeight="1">
      <c r="A930" s="1" t="s">
        <v>1879</v>
      </c>
      <c r="B930" s="1" t="s">
        <v>1880</v>
      </c>
      <c r="C930" s="1" t="s">
        <v>12</v>
      </c>
      <c r="D930" s="1" t="s">
        <v>1852</v>
      </c>
      <c r="E930" s="4">
        <v>1010838.0</v>
      </c>
      <c r="F930" s="2">
        <v>4.0</v>
      </c>
      <c r="G930" s="2" t="s">
        <v>1</v>
      </c>
      <c r="H930" s="2" t="s">
        <v>18</v>
      </c>
      <c r="I930" s="2" t="s">
        <v>15</v>
      </c>
      <c r="J930" s="2" t="s">
        <v>15</v>
      </c>
    </row>
    <row r="931" ht="15.75" customHeight="1">
      <c r="A931" s="1" t="s">
        <v>1881</v>
      </c>
      <c r="B931" s="1" t="s">
        <v>1882</v>
      </c>
      <c r="C931" s="1" t="s">
        <v>12</v>
      </c>
      <c r="D931" s="1" t="s">
        <v>1852</v>
      </c>
      <c r="E931" s="4">
        <v>1010838.0</v>
      </c>
      <c r="F931" s="2">
        <v>4.0</v>
      </c>
      <c r="G931" s="2" t="s">
        <v>1</v>
      </c>
      <c r="H931" s="2" t="s">
        <v>21</v>
      </c>
      <c r="I931" s="2" t="s">
        <v>15</v>
      </c>
      <c r="J931" s="2" t="s">
        <v>15</v>
      </c>
    </row>
    <row r="932" ht="15.75" customHeight="1">
      <c r="A932" s="1" t="s">
        <v>1883</v>
      </c>
      <c r="B932" s="1" t="s">
        <v>1884</v>
      </c>
      <c r="C932" s="1" t="s">
        <v>12</v>
      </c>
      <c r="D932" s="1" t="s">
        <v>1852</v>
      </c>
      <c r="E932" s="4">
        <v>1010838.0</v>
      </c>
      <c r="F932" s="2" t="s">
        <v>15</v>
      </c>
      <c r="G932" s="2" t="s">
        <v>1</v>
      </c>
      <c r="H932" s="2" t="s">
        <v>53</v>
      </c>
      <c r="I932" s="2" t="s">
        <v>15</v>
      </c>
      <c r="J932" s="2" t="s">
        <v>15</v>
      </c>
    </row>
    <row r="933" ht="15.75" customHeight="1">
      <c r="A933" s="1" t="s">
        <v>1885</v>
      </c>
      <c r="B933" s="1" t="s">
        <v>1886</v>
      </c>
      <c r="C933" s="1" t="s">
        <v>12</v>
      </c>
      <c r="D933" s="1" t="s">
        <v>1852</v>
      </c>
      <c r="E933" s="4">
        <v>1010838.0</v>
      </c>
      <c r="F933" s="2" t="s">
        <v>30</v>
      </c>
      <c r="G933" s="2" t="s">
        <v>1</v>
      </c>
      <c r="H933" s="2" t="s">
        <v>53</v>
      </c>
      <c r="I933" s="2" t="s">
        <v>15</v>
      </c>
      <c r="J933" s="2" t="s">
        <v>15</v>
      </c>
    </row>
    <row r="934" ht="15.75" customHeight="1">
      <c r="A934" s="1" t="s">
        <v>1887</v>
      </c>
      <c r="B934" s="1" t="s">
        <v>1888</v>
      </c>
      <c r="C934" s="1" t="s">
        <v>12</v>
      </c>
      <c r="D934" s="1" t="s">
        <v>1852</v>
      </c>
      <c r="E934" s="4">
        <v>1010838.0</v>
      </c>
      <c r="F934" s="2" t="s">
        <v>30</v>
      </c>
      <c r="G934" s="2" t="s">
        <v>1</v>
      </c>
      <c r="H934" s="2" t="s">
        <v>14</v>
      </c>
      <c r="I934" s="2" t="s">
        <v>15</v>
      </c>
      <c r="J934" s="2" t="s">
        <v>15</v>
      </c>
    </row>
    <row r="935" ht="15.75" customHeight="1">
      <c r="A935" s="1" t="s">
        <v>1889</v>
      </c>
      <c r="B935" s="1" t="s">
        <v>1890</v>
      </c>
      <c r="C935" s="1" t="s">
        <v>12</v>
      </c>
      <c r="D935" s="1" t="s">
        <v>1852</v>
      </c>
      <c r="E935" s="4">
        <v>1010838.0</v>
      </c>
      <c r="F935" s="2" t="s">
        <v>15</v>
      </c>
      <c r="G935" s="2" t="s">
        <v>33</v>
      </c>
      <c r="H935" s="2" t="s">
        <v>15</v>
      </c>
      <c r="I935" s="2" t="s">
        <v>15</v>
      </c>
      <c r="J935" s="2" t="s">
        <v>15</v>
      </c>
    </row>
    <row r="936" ht="15.75" customHeight="1">
      <c r="A936" s="1" t="s">
        <v>1891</v>
      </c>
      <c r="B936" s="1" t="s">
        <v>1892</v>
      </c>
      <c r="C936" s="1" t="s">
        <v>12</v>
      </c>
      <c r="D936" s="1" t="s">
        <v>1852</v>
      </c>
      <c r="E936" s="4">
        <v>1010838.0</v>
      </c>
      <c r="F936" s="2">
        <v>1.0</v>
      </c>
      <c r="G936" s="2" t="s">
        <v>1</v>
      </c>
      <c r="H936" s="2" t="s">
        <v>37</v>
      </c>
      <c r="I936" s="2" t="s">
        <v>15</v>
      </c>
      <c r="J936" s="2" t="s">
        <v>15</v>
      </c>
    </row>
    <row r="937" ht="15.75" customHeight="1">
      <c r="A937" s="1" t="s">
        <v>1893</v>
      </c>
      <c r="B937" s="1" t="s">
        <v>1894</v>
      </c>
      <c r="C937" s="1" t="s">
        <v>12</v>
      </c>
      <c r="D937" s="1" t="s">
        <v>1852</v>
      </c>
      <c r="E937" s="4">
        <v>1010838.0</v>
      </c>
      <c r="F937" s="2">
        <v>2.0</v>
      </c>
      <c r="G937" s="2" t="s">
        <v>1</v>
      </c>
      <c r="H937" s="2" t="s">
        <v>37</v>
      </c>
      <c r="I937" s="2" t="s">
        <v>15</v>
      </c>
      <c r="J937" s="2" t="s">
        <v>15</v>
      </c>
    </row>
    <row r="938" ht="15.75" customHeight="1">
      <c r="A938" s="1" t="s">
        <v>1895</v>
      </c>
      <c r="B938" s="1" t="s">
        <v>1896</v>
      </c>
      <c r="C938" s="1" t="s">
        <v>12</v>
      </c>
      <c r="D938" s="1" t="s">
        <v>1852</v>
      </c>
      <c r="E938" s="4">
        <v>1010838.0</v>
      </c>
      <c r="F938" s="2">
        <v>3.0</v>
      </c>
      <c r="G938" s="2" t="s">
        <v>1</v>
      </c>
      <c r="H938" s="2" t="s">
        <v>37</v>
      </c>
      <c r="I938" s="2" t="s">
        <v>15</v>
      </c>
      <c r="J938" s="2" t="s">
        <v>15</v>
      </c>
    </row>
    <row r="939" ht="15.75" customHeight="1">
      <c r="A939" s="1" t="s">
        <v>1897</v>
      </c>
      <c r="B939" s="1" t="s">
        <v>1898</v>
      </c>
      <c r="C939" s="1" t="s">
        <v>12</v>
      </c>
      <c r="D939" s="1" t="s">
        <v>1852</v>
      </c>
      <c r="E939" s="4">
        <v>1010838.0</v>
      </c>
      <c r="F939" s="2">
        <v>4.0</v>
      </c>
      <c r="G939" s="2" t="s">
        <v>1</v>
      </c>
      <c r="H939" s="2" t="s">
        <v>37</v>
      </c>
      <c r="I939" s="2" t="s">
        <v>15</v>
      </c>
      <c r="J939" s="2" t="s">
        <v>15</v>
      </c>
    </row>
    <row r="940" ht="15.75" customHeight="1">
      <c r="A940" s="1" t="s">
        <v>1899</v>
      </c>
      <c r="B940" s="1" t="s">
        <v>1900</v>
      </c>
      <c r="C940" s="1" t="s">
        <v>12</v>
      </c>
      <c r="D940" s="1" t="s">
        <v>1852</v>
      </c>
      <c r="E940" s="4">
        <v>1010838.0</v>
      </c>
      <c r="F940" s="2" t="s">
        <v>30</v>
      </c>
      <c r="G940" s="2" t="s">
        <v>1</v>
      </c>
      <c r="H940" s="2" t="s">
        <v>37</v>
      </c>
      <c r="I940" s="2" t="s">
        <v>15</v>
      </c>
      <c r="J940" s="2" t="s">
        <v>15</v>
      </c>
    </row>
    <row r="941" ht="15.75" customHeight="1">
      <c r="A941" s="1" t="s">
        <v>1901</v>
      </c>
      <c r="B941" s="1" t="s">
        <v>1851</v>
      </c>
      <c r="C941" s="1" t="s">
        <v>12</v>
      </c>
      <c r="D941" s="1" t="s">
        <v>1902</v>
      </c>
      <c r="E941" s="4">
        <v>1010902.0</v>
      </c>
      <c r="F941" s="2" t="s">
        <v>15</v>
      </c>
      <c r="G941" s="2" t="s">
        <v>1</v>
      </c>
      <c r="H941" s="2" t="s">
        <v>53</v>
      </c>
      <c r="I941" s="2" t="s">
        <v>15</v>
      </c>
      <c r="J941" s="2" t="s">
        <v>15</v>
      </c>
    </row>
    <row r="942" ht="15.75" customHeight="1">
      <c r="A942" s="1" t="s">
        <v>1903</v>
      </c>
      <c r="B942" s="3" t="s">
        <v>1904</v>
      </c>
      <c r="C942" s="1" t="s">
        <v>12</v>
      </c>
      <c r="D942" s="1" t="s">
        <v>1902</v>
      </c>
      <c r="E942" s="4">
        <v>1010902.0</v>
      </c>
      <c r="F942" s="2">
        <v>1.0</v>
      </c>
      <c r="G942" s="2" t="s">
        <v>1</v>
      </c>
      <c r="H942" s="2" t="s">
        <v>14</v>
      </c>
      <c r="I942" s="5" t="str">
        <f>IFERROR(
  MID(
    SUBSTITUTE(B942, CHAR(10), ""),
    FIND("_Gross ROI=", SUBSTITUTE(B942, CHAR(10), "")) + LEN("_Gross ROI="),
    FIND("%", SUBSTITUTE(B942, CHAR(10), ""), FIND("_Gross ROI=", SUBSTITUTE(B942, CHAR(10), "")))
      - FIND("_Gross ROI=", SUBSTITUTE(B942, CHAR(10), "")) - LEN("_Gross ROI=") + 1
  ),
  ""
)</f>
        <v>5.71%</v>
      </c>
      <c r="J942" s="5" t="str">
        <f>IFERROR(
  MID(
    SUBSTITUTE(B942, CHAR(10), ""),
    FIND("_Median annual rent=", SUBSTITUTE(B942, CHAR(10), "")) + LEN("_Median annual rent="),
    FIND("K", SUBSTITUTE(B942, CHAR(10), ""), FIND("_Median annual rent=", SUBSTITUTE(B942, CHAR(10), "")))
      - FIND("_Median annual rent=", SUBSTITUTE(B942, CHAR(10), "")) - LEN("_Median annual rent=") + 1
  ),
  "")</f>
        <v>115K</v>
      </c>
    </row>
    <row r="943" ht="15.75" customHeight="1">
      <c r="A943" s="1" t="s">
        <v>1905</v>
      </c>
      <c r="B943" s="1" t="s">
        <v>1906</v>
      </c>
      <c r="C943" s="1" t="s">
        <v>12</v>
      </c>
      <c r="D943" s="1" t="s">
        <v>1902</v>
      </c>
      <c r="E943" s="4">
        <v>1010902.0</v>
      </c>
      <c r="F943" s="2">
        <v>1.0</v>
      </c>
      <c r="G943" s="2" t="s">
        <v>1</v>
      </c>
      <c r="H943" s="2" t="s">
        <v>18</v>
      </c>
      <c r="I943" s="2" t="s">
        <v>15</v>
      </c>
      <c r="J943" s="2" t="s">
        <v>15</v>
      </c>
    </row>
    <row r="944" ht="15.75" customHeight="1">
      <c r="A944" s="1" t="s">
        <v>1907</v>
      </c>
      <c r="B944" s="1" t="s">
        <v>1908</v>
      </c>
      <c r="C944" s="1" t="s">
        <v>12</v>
      </c>
      <c r="D944" s="1" t="s">
        <v>1902</v>
      </c>
      <c r="E944" s="4">
        <v>1010902.0</v>
      </c>
      <c r="F944" s="2">
        <v>1.0</v>
      </c>
      <c r="G944" s="2" t="s">
        <v>1</v>
      </c>
      <c r="H944" s="2" t="s">
        <v>53</v>
      </c>
      <c r="I944" s="2" t="s">
        <v>15</v>
      </c>
      <c r="J944" s="2" t="s">
        <v>15</v>
      </c>
    </row>
    <row r="945" ht="15.75" customHeight="1">
      <c r="A945" s="1" t="s">
        <v>1909</v>
      </c>
      <c r="B945" s="1" t="s">
        <v>1910</v>
      </c>
      <c r="C945" s="1" t="s">
        <v>12</v>
      </c>
      <c r="D945" s="1" t="s">
        <v>1902</v>
      </c>
      <c r="E945" s="4">
        <v>1010902.0</v>
      </c>
      <c r="F945" s="2">
        <v>1.0</v>
      </c>
      <c r="G945" s="2" t="s">
        <v>1</v>
      </c>
      <c r="H945" s="2" t="s">
        <v>21</v>
      </c>
      <c r="I945" s="2" t="s">
        <v>15</v>
      </c>
      <c r="J945" s="2" t="s">
        <v>15</v>
      </c>
    </row>
    <row r="946" ht="15.75" customHeight="1">
      <c r="A946" s="1" t="s">
        <v>1911</v>
      </c>
      <c r="B946" s="3" t="s">
        <v>1912</v>
      </c>
      <c r="C946" s="1" t="s">
        <v>12</v>
      </c>
      <c r="D946" s="1" t="s">
        <v>1902</v>
      </c>
      <c r="E946" s="4">
        <v>1010902.0</v>
      </c>
      <c r="F946" s="2">
        <v>2.0</v>
      </c>
      <c r="G946" s="2" t="s">
        <v>1</v>
      </c>
      <c r="H946" s="2" t="s">
        <v>14</v>
      </c>
      <c r="I946" s="5" t="str">
        <f>IFERROR(
  MID(
    SUBSTITUTE(B946, CHAR(10), ""),
    FIND("_Gross ROI=", SUBSTITUTE(B946, CHAR(10), "")) + LEN("_Gross ROI="),
    FIND("%", SUBSTITUTE(B946, CHAR(10), ""), FIND("_Gross ROI=", SUBSTITUTE(B946, CHAR(10), "")))
      - FIND("_Gross ROI=", SUBSTITUTE(B946, CHAR(10), "")) - LEN("_Gross ROI=") + 1
  ),
  ""
)</f>
        <v>5.27%</v>
      </c>
      <c r="J946" s="5" t="str">
        <f>IFERROR(
  MID(
    SUBSTITUTE(B946, CHAR(10), ""),
    FIND("_Median annual rent=", SUBSTITUTE(B946, CHAR(10), "")) + LEN("_Median annual rent="),
    FIND("K", SUBSTITUTE(B946, CHAR(10), ""), FIND("_Median annual rent=", SUBSTITUTE(B946, CHAR(10), "")))
      - FIND("_Median annual rent=", SUBSTITUTE(B946, CHAR(10), "")) - LEN("_Median annual rent=") + 1
  ),
  "")</f>
        <v>165K</v>
      </c>
    </row>
    <row r="947" ht="15.75" customHeight="1">
      <c r="A947" s="1" t="s">
        <v>1913</v>
      </c>
      <c r="B947" s="1" t="s">
        <v>1914</v>
      </c>
      <c r="C947" s="1" t="s">
        <v>12</v>
      </c>
      <c r="D947" s="1" t="s">
        <v>1902</v>
      </c>
      <c r="E947" s="4">
        <v>1010902.0</v>
      </c>
      <c r="F947" s="2">
        <v>2.0</v>
      </c>
      <c r="G947" s="2" t="s">
        <v>1</v>
      </c>
      <c r="H947" s="2" t="s">
        <v>18</v>
      </c>
      <c r="I947" s="2" t="s">
        <v>15</v>
      </c>
      <c r="J947" s="2" t="s">
        <v>15</v>
      </c>
    </row>
    <row r="948" ht="15.75" customHeight="1">
      <c r="A948" s="1" t="s">
        <v>1915</v>
      </c>
      <c r="B948" s="1" t="s">
        <v>1866</v>
      </c>
      <c r="C948" s="1" t="s">
        <v>12</v>
      </c>
      <c r="D948" s="1" t="s">
        <v>1902</v>
      </c>
      <c r="E948" s="4">
        <v>1010902.0</v>
      </c>
      <c r="F948" s="2">
        <v>2.0</v>
      </c>
      <c r="G948" s="2" t="s">
        <v>1</v>
      </c>
      <c r="H948" s="2" t="s">
        <v>53</v>
      </c>
      <c r="I948" s="2" t="s">
        <v>15</v>
      </c>
      <c r="J948" s="2" t="s">
        <v>15</v>
      </c>
    </row>
    <row r="949" ht="15.75" customHeight="1">
      <c r="A949" s="1" t="s">
        <v>1916</v>
      </c>
      <c r="B949" s="1" t="s">
        <v>1917</v>
      </c>
      <c r="C949" s="1" t="s">
        <v>12</v>
      </c>
      <c r="D949" s="1" t="s">
        <v>1902</v>
      </c>
      <c r="E949" s="4">
        <v>1010902.0</v>
      </c>
      <c r="F949" s="2">
        <v>2.0</v>
      </c>
      <c r="G949" s="2" t="s">
        <v>1</v>
      </c>
      <c r="H949" s="2" t="s">
        <v>21</v>
      </c>
      <c r="I949" s="2" t="s">
        <v>15</v>
      </c>
      <c r="J949" s="2" t="s">
        <v>15</v>
      </c>
    </row>
    <row r="950" ht="15.75" customHeight="1">
      <c r="A950" s="1" t="s">
        <v>1918</v>
      </c>
      <c r="B950" s="1" t="s">
        <v>1919</v>
      </c>
      <c r="C950" s="1" t="s">
        <v>12</v>
      </c>
      <c r="D950" s="1" t="s">
        <v>1902</v>
      </c>
      <c r="E950" s="4">
        <v>1010902.0</v>
      </c>
      <c r="F950" s="2">
        <v>3.0</v>
      </c>
      <c r="G950" s="2" t="s">
        <v>1</v>
      </c>
      <c r="H950" s="2" t="s">
        <v>14</v>
      </c>
      <c r="I950" s="5" t="str">
        <f>IFERROR(
  MID(
    SUBSTITUTE(B950, CHAR(10), ""),
    FIND("_Gross ROI=", SUBSTITUTE(B950, CHAR(10), "")) + LEN("_Gross ROI="),
    FIND("%", SUBSTITUTE(B950, CHAR(10), ""), FIND("_Gross ROI=", SUBSTITUTE(B950, CHAR(10), "")))
      - FIND("_Gross ROI=", SUBSTITUTE(B950, CHAR(10), "")) - LEN("_Gross ROI=") + 1
  ),
  ""
)</f>
        <v>4.49%</v>
      </c>
      <c r="J950" s="5" t="str">
        <f>IFERROR(
  MID(
    SUBSTITUTE(B950, CHAR(10), ""),
    FIND("_Median annual rent=", SUBSTITUTE(B950, CHAR(10), "")) + LEN("_Median annual rent="),
    FIND("K", SUBSTITUTE(B950, CHAR(10), ""), FIND("_Median annual rent=", SUBSTITUTE(B950, CHAR(10), "")))
      - FIND("_Median annual rent=", SUBSTITUTE(B950, CHAR(10), "")) - LEN("_Median annual rent=") + 1
  ),
  "")</f>
        <v>230K</v>
      </c>
    </row>
    <row r="951" ht="15.75" customHeight="1">
      <c r="A951" s="1" t="s">
        <v>1920</v>
      </c>
      <c r="B951" s="1" t="s">
        <v>1921</v>
      </c>
      <c r="C951" s="1" t="s">
        <v>12</v>
      </c>
      <c r="D951" s="1" t="s">
        <v>1902</v>
      </c>
      <c r="E951" s="4">
        <v>1010902.0</v>
      </c>
      <c r="F951" s="2">
        <v>3.0</v>
      </c>
      <c r="G951" s="2" t="s">
        <v>1</v>
      </c>
      <c r="H951" s="2" t="s">
        <v>18</v>
      </c>
      <c r="I951" s="2" t="s">
        <v>15</v>
      </c>
      <c r="J951" s="2" t="s">
        <v>15</v>
      </c>
    </row>
    <row r="952" ht="15.75" customHeight="1">
      <c r="A952" s="1" t="s">
        <v>1922</v>
      </c>
      <c r="B952" s="1" t="s">
        <v>1874</v>
      </c>
      <c r="C952" s="1" t="s">
        <v>12</v>
      </c>
      <c r="D952" s="1" t="s">
        <v>1902</v>
      </c>
      <c r="E952" s="4">
        <v>1010902.0</v>
      </c>
      <c r="F952" s="2">
        <v>3.0</v>
      </c>
      <c r="G952" s="2" t="s">
        <v>1</v>
      </c>
      <c r="H952" s="2" t="s">
        <v>53</v>
      </c>
      <c r="I952" s="2" t="s">
        <v>15</v>
      </c>
      <c r="J952" s="2" t="s">
        <v>15</v>
      </c>
    </row>
    <row r="953" ht="15.75" customHeight="1">
      <c r="A953" s="1" t="s">
        <v>1923</v>
      </c>
      <c r="B953" s="1" t="s">
        <v>1924</v>
      </c>
      <c r="C953" s="1" t="s">
        <v>12</v>
      </c>
      <c r="D953" s="1" t="s">
        <v>1902</v>
      </c>
      <c r="E953" s="4">
        <v>1010902.0</v>
      </c>
      <c r="F953" s="2">
        <v>3.0</v>
      </c>
      <c r="G953" s="2" t="s">
        <v>1</v>
      </c>
      <c r="H953" s="2" t="s">
        <v>21</v>
      </c>
      <c r="I953" s="2" t="s">
        <v>15</v>
      </c>
      <c r="J953" s="2" t="s">
        <v>15</v>
      </c>
    </row>
    <row r="954" ht="15.75" customHeight="1">
      <c r="A954" s="1" t="s">
        <v>1925</v>
      </c>
      <c r="B954" s="1" t="s">
        <v>1926</v>
      </c>
      <c r="C954" s="1" t="s">
        <v>12</v>
      </c>
      <c r="D954" s="1" t="s">
        <v>1902</v>
      </c>
      <c r="E954" s="4">
        <v>1010902.0</v>
      </c>
      <c r="F954" s="2">
        <v>4.0</v>
      </c>
      <c r="G954" s="2" t="s">
        <v>1</v>
      </c>
      <c r="H954" s="2" t="s">
        <v>14</v>
      </c>
      <c r="I954" s="2" t="s">
        <v>15</v>
      </c>
      <c r="J954" s="2" t="s">
        <v>15</v>
      </c>
    </row>
    <row r="955" ht="15.75" customHeight="1">
      <c r="A955" s="1" t="s">
        <v>1927</v>
      </c>
      <c r="B955" s="1" t="s">
        <v>1928</v>
      </c>
      <c r="C955" s="1" t="s">
        <v>12</v>
      </c>
      <c r="D955" s="1" t="s">
        <v>1902</v>
      </c>
      <c r="E955" s="4">
        <v>1010902.0</v>
      </c>
      <c r="F955" s="2">
        <v>4.0</v>
      </c>
      <c r="G955" s="2" t="s">
        <v>1</v>
      </c>
      <c r="H955" s="2" t="s">
        <v>18</v>
      </c>
      <c r="I955" s="2" t="s">
        <v>15</v>
      </c>
      <c r="J955" s="2" t="s">
        <v>15</v>
      </c>
    </row>
    <row r="956" ht="15.75" customHeight="1">
      <c r="A956" s="1" t="s">
        <v>1929</v>
      </c>
      <c r="B956" s="1" t="s">
        <v>1930</v>
      </c>
      <c r="C956" s="1" t="s">
        <v>12</v>
      </c>
      <c r="D956" s="1" t="s">
        <v>1902</v>
      </c>
      <c r="E956" s="4">
        <v>1010902.0</v>
      </c>
      <c r="F956" s="2">
        <v>4.0</v>
      </c>
      <c r="G956" s="2" t="s">
        <v>1</v>
      </c>
      <c r="H956" s="2" t="s">
        <v>21</v>
      </c>
      <c r="I956" s="2" t="s">
        <v>15</v>
      </c>
      <c r="J956" s="2" t="s">
        <v>15</v>
      </c>
    </row>
    <row r="957" ht="15.75" customHeight="1">
      <c r="A957" s="1" t="s">
        <v>1931</v>
      </c>
      <c r="B957" s="1" t="s">
        <v>1884</v>
      </c>
      <c r="C957" s="1" t="s">
        <v>12</v>
      </c>
      <c r="D957" s="1" t="s">
        <v>1902</v>
      </c>
      <c r="E957" s="4">
        <v>1010902.0</v>
      </c>
      <c r="F957" s="2" t="s">
        <v>15</v>
      </c>
      <c r="G957" s="2" t="s">
        <v>1</v>
      </c>
      <c r="H957" s="2" t="s">
        <v>53</v>
      </c>
      <c r="I957" s="2" t="s">
        <v>15</v>
      </c>
      <c r="J957" s="2" t="s">
        <v>15</v>
      </c>
    </row>
    <row r="958" ht="15.75" customHeight="1">
      <c r="A958" s="1" t="s">
        <v>1932</v>
      </c>
      <c r="B958" s="1" t="s">
        <v>1886</v>
      </c>
      <c r="C958" s="1" t="s">
        <v>12</v>
      </c>
      <c r="D958" s="1" t="s">
        <v>1902</v>
      </c>
      <c r="E958" s="4">
        <v>1010902.0</v>
      </c>
      <c r="F958" s="2" t="s">
        <v>30</v>
      </c>
      <c r="G958" s="2" t="s">
        <v>1</v>
      </c>
      <c r="H958" s="2" t="s">
        <v>53</v>
      </c>
      <c r="I958" s="2" t="s">
        <v>15</v>
      </c>
      <c r="J958" s="2" t="s">
        <v>15</v>
      </c>
    </row>
    <row r="959" ht="15.75" customHeight="1">
      <c r="A959" s="1" t="s">
        <v>1933</v>
      </c>
      <c r="B959" s="1" t="s">
        <v>1934</v>
      </c>
      <c r="C959" s="1" t="s">
        <v>12</v>
      </c>
      <c r="D959" s="1" t="s">
        <v>1902</v>
      </c>
      <c r="E959" s="4">
        <v>1010902.0</v>
      </c>
      <c r="F959" s="2" t="s">
        <v>30</v>
      </c>
      <c r="G959" s="2" t="s">
        <v>1</v>
      </c>
      <c r="H959" s="2" t="s">
        <v>14</v>
      </c>
      <c r="I959" s="2" t="s">
        <v>15</v>
      </c>
      <c r="J959" s="2" t="s">
        <v>15</v>
      </c>
    </row>
    <row r="960" ht="15.75" customHeight="1">
      <c r="A960" s="1" t="s">
        <v>1935</v>
      </c>
      <c r="B960" s="1" t="s">
        <v>1936</v>
      </c>
      <c r="C960" s="1" t="s">
        <v>12</v>
      </c>
      <c r="D960" s="1" t="s">
        <v>1902</v>
      </c>
      <c r="E960" s="4">
        <v>1010902.0</v>
      </c>
      <c r="F960" s="2" t="s">
        <v>15</v>
      </c>
      <c r="G960" s="2" t="s">
        <v>33</v>
      </c>
      <c r="H960" s="2" t="s">
        <v>15</v>
      </c>
      <c r="I960" s="2" t="s">
        <v>15</v>
      </c>
      <c r="J960" s="2" t="s">
        <v>15</v>
      </c>
    </row>
    <row r="961" ht="15.75" customHeight="1">
      <c r="A961" s="1" t="s">
        <v>1937</v>
      </c>
      <c r="B961" s="1" t="s">
        <v>1938</v>
      </c>
      <c r="C961" s="1" t="s">
        <v>12</v>
      </c>
      <c r="D961" s="1" t="s">
        <v>1902</v>
      </c>
      <c r="E961" s="4">
        <v>1010902.0</v>
      </c>
      <c r="F961" s="2">
        <v>1.0</v>
      </c>
      <c r="G961" s="2" t="s">
        <v>1</v>
      </c>
      <c r="H961" s="2" t="s">
        <v>37</v>
      </c>
      <c r="I961" s="2" t="s">
        <v>15</v>
      </c>
      <c r="J961" s="2" t="s">
        <v>15</v>
      </c>
    </row>
    <row r="962" ht="15.75" customHeight="1">
      <c r="A962" s="1" t="s">
        <v>1939</v>
      </c>
      <c r="B962" s="1" t="s">
        <v>1940</v>
      </c>
      <c r="C962" s="1" t="s">
        <v>12</v>
      </c>
      <c r="D962" s="1" t="s">
        <v>1902</v>
      </c>
      <c r="E962" s="4">
        <v>1010902.0</v>
      </c>
      <c r="F962" s="2">
        <v>2.0</v>
      </c>
      <c r="G962" s="2" t="s">
        <v>1</v>
      </c>
      <c r="H962" s="2" t="s">
        <v>37</v>
      </c>
      <c r="I962" s="2" t="s">
        <v>15</v>
      </c>
      <c r="J962" s="2" t="s">
        <v>15</v>
      </c>
    </row>
    <row r="963" ht="15.75" customHeight="1">
      <c r="A963" s="1" t="s">
        <v>1941</v>
      </c>
      <c r="B963" s="1" t="s">
        <v>1942</v>
      </c>
      <c r="C963" s="1" t="s">
        <v>12</v>
      </c>
      <c r="D963" s="1" t="s">
        <v>1902</v>
      </c>
      <c r="E963" s="4">
        <v>1010902.0</v>
      </c>
      <c r="F963" s="2">
        <v>3.0</v>
      </c>
      <c r="G963" s="2" t="s">
        <v>1</v>
      </c>
      <c r="H963" s="2" t="s">
        <v>37</v>
      </c>
      <c r="I963" s="2" t="s">
        <v>15</v>
      </c>
      <c r="J963" s="2" t="s">
        <v>15</v>
      </c>
    </row>
    <row r="964" ht="15.75" customHeight="1">
      <c r="A964" s="1" t="s">
        <v>1943</v>
      </c>
      <c r="B964" s="1" t="s">
        <v>1944</v>
      </c>
      <c r="C964" s="1" t="s">
        <v>12</v>
      </c>
      <c r="D964" s="1" t="s">
        <v>1902</v>
      </c>
      <c r="E964" s="4">
        <v>1010902.0</v>
      </c>
      <c r="F964" s="2">
        <v>4.0</v>
      </c>
      <c r="G964" s="2" t="s">
        <v>1</v>
      </c>
      <c r="H964" s="2" t="s">
        <v>37</v>
      </c>
      <c r="I964" s="2" t="s">
        <v>15</v>
      </c>
      <c r="J964" s="2" t="s">
        <v>15</v>
      </c>
    </row>
    <row r="965" ht="15.75" customHeight="1">
      <c r="A965" s="1" t="s">
        <v>1945</v>
      </c>
      <c r="B965" s="1" t="s">
        <v>1946</v>
      </c>
      <c r="C965" s="1" t="s">
        <v>12</v>
      </c>
      <c r="D965" s="1" t="s">
        <v>1902</v>
      </c>
      <c r="E965" s="4">
        <v>1010902.0</v>
      </c>
      <c r="F965" s="2" t="s">
        <v>30</v>
      </c>
      <c r="G965" s="2" t="s">
        <v>1</v>
      </c>
      <c r="H965" s="2" t="s">
        <v>37</v>
      </c>
      <c r="I965" s="2" t="s">
        <v>15</v>
      </c>
      <c r="J965" s="2" t="s">
        <v>15</v>
      </c>
    </row>
    <row r="966" ht="15.75" customHeight="1">
      <c r="A966" s="1" t="s">
        <v>1947</v>
      </c>
      <c r="B966" s="1" t="s">
        <v>1851</v>
      </c>
      <c r="C966" s="1" t="s">
        <v>12</v>
      </c>
      <c r="D966" s="1" t="s">
        <v>1948</v>
      </c>
      <c r="E966" s="4">
        <v>1010966.0</v>
      </c>
      <c r="F966" s="2" t="s">
        <v>15</v>
      </c>
      <c r="G966" s="2" t="s">
        <v>1</v>
      </c>
      <c r="H966" s="2" t="s">
        <v>53</v>
      </c>
      <c r="I966" s="2" t="s">
        <v>15</v>
      </c>
      <c r="J966" s="2" t="s">
        <v>15</v>
      </c>
    </row>
    <row r="967" ht="15.75" customHeight="1">
      <c r="A967" s="1" t="s">
        <v>1949</v>
      </c>
      <c r="B967" s="3" t="s">
        <v>1950</v>
      </c>
      <c r="C967" s="1" t="s">
        <v>12</v>
      </c>
      <c r="D967" s="1" t="s">
        <v>1948</v>
      </c>
      <c r="E967" s="4">
        <v>1010966.0</v>
      </c>
      <c r="F967" s="2">
        <v>1.0</v>
      </c>
      <c r="G967" s="2" t="s">
        <v>1</v>
      </c>
      <c r="H967" s="2" t="s">
        <v>14</v>
      </c>
      <c r="I967" s="5" t="str">
        <f>IFERROR(
  MID(
    SUBSTITUTE(B967, CHAR(10), ""),
    FIND("_Gross ROI=", SUBSTITUTE(B967, CHAR(10), "")) + LEN("_Gross ROI="),
    FIND("%", SUBSTITUTE(B967, CHAR(10), ""), FIND("_Gross ROI=", SUBSTITUTE(B967, CHAR(10), "")))
      - FIND("_Gross ROI=", SUBSTITUTE(B967, CHAR(10), "")) - LEN("_Gross ROI=") + 1
  ),
  ""
)</f>
        <v>5.55%</v>
      </c>
      <c r="J967" s="5" t="str">
        <f>IFERROR(
  MID(
    SUBSTITUTE(B967, CHAR(10), ""),
    FIND("_Median annual rent=", SUBSTITUTE(B967, CHAR(10), "")) + LEN("_Median annual rent="),
    FIND("K", SUBSTITUTE(B967, CHAR(10), ""), FIND("_Median annual rent=", SUBSTITUTE(B967, CHAR(10), "")))
      - FIND("_Median annual rent=", SUBSTITUTE(B967, CHAR(10), "")) - LEN("_Median annual rent=") + 1
  ),
  "")</f>
        <v>115K</v>
      </c>
    </row>
    <row r="968" ht="15.75" customHeight="1">
      <c r="A968" s="1" t="s">
        <v>1951</v>
      </c>
      <c r="B968" s="1" t="s">
        <v>1952</v>
      </c>
      <c r="C968" s="1" t="s">
        <v>12</v>
      </c>
      <c r="D968" s="1" t="s">
        <v>1948</v>
      </c>
      <c r="E968" s="4">
        <v>1010966.0</v>
      </c>
      <c r="F968" s="2">
        <v>1.0</v>
      </c>
      <c r="G968" s="2" t="s">
        <v>1</v>
      </c>
      <c r="H968" s="2" t="s">
        <v>18</v>
      </c>
      <c r="I968" s="2" t="s">
        <v>15</v>
      </c>
      <c r="J968" s="2" t="s">
        <v>15</v>
      </c>
    </row>
    <row r="969" ht="15.75" customHeight="1">
      <c r="A969" s="1" t="s">
        <v>1953</v>
      </c>
      <c r="B969" s="1" t="s">
        <v>1908</v>
      </c>
      <c r="C969" s="1" t="s">
        <v>12</v>
      </c>
      <c r="D969" s="1" t="s">
        <v>1948</v>
      </c>
      <c r="E969" s="4">
        <v>1010966.0</v>
      </c>
      <c r="F969" s="2">
        <v>1.0</v>
      </c>
      <c r="G969" s="2" t="s">
        <v>1</v>
      </c>
      <c r="H969" s="2" t="s">
        <v>53</v>
      </c>
      <c r="I969" s="2" t="s">
        <v>15</v>
      </c>
      <c r="J969" s="2" t="s">
        <v>15</v>
      </c>
    </row>
    <row r="970" ht="15.75" customHeight="1">
      <c r="A970" s="1" t="s">
        <v>1954</v>
      </c>
      <c r="B970" s="1" t="s">
        <v>1955</v>
      </c>
      <c r="C970" s="1" t="s">
        <v>12</v>
      </c>
      <c r="D970" s="1" t="s">
        <v>1948</v>
      </c>
      <c r="E970" s="4">
        <v>1010966.0</v>
      </c>
      <c r="F970" s="2">
        <v>1.0</v>
      </c>
      <c r="G970" s="2" t="s">
        <v>1</v>
      </c>
      <c r="H970" s="2" t="s">
        <v>21</v>
      </c>
      <c r="I970" s="2" t="s">
        <v>15</v>
      </c>
      <c r="J970" s="2" t="s">
        <v>15</v>
      </c>
    </row>
    <row r="971" ht="15.75" customHeight="1">
      <c r="A971" s="1" t="s">
        <v>1956</v>
      </c>
      <c r="B971" s="1" t="s">
        <v>1957</v>
      </c>
      <c r="C971" s="1" t="s">
        <v>12</v>
      </c>
      <c r="D971" s="1" t="s">
        <v>1948</v>
      </c>
      <c r="E971" s="4">
        <v>1010966.0</v>
      </c>
      <c r="F971" s="2">
        <v>2.0</v>
      </c>
      <c r="G971" s="2" t="s">
        <v>1</v>
      </c>
      <c r="H971" s="2" t="s">
        <v>14</v>
      </c>
      <c r="I971" s="5" t="str">
        <f>IFERROR(
  MID(
    SUBSTITUTE(B971, CHAR(10), ""),
    FIND("_Gross ROI=", SUBSTITUTE(B971, CHAR(10), "")) + LEN("_Gross ROI="),
    FIND("%", SUBSTITUTE(B971, CHAR(10), ""), FIND("_Gross ROI=", SUBSTITUTE(B971, CHAR(10), "")))
      - FIND("_Gross ROI=", SUBSTITUTE(B971, CHAR(10), "")) - LEN("_Gross ROI=") + 1
  ),
  ""
)</f>
        <v>5.25%</v>
      </c>
      <c r="J971" s="5" t="str">
        <f>IFERROR(
  MID(
    SUBSTITUTE(B971, CHAR(10), ""),
    FIND("_Median annual rent=", SUBSTITUTE(B971, CHAR(10), "")) + LEN("_Median annual rent="),
    FIND("K", SUBSTITUTE(B971, CHAR(10), ""), FIND("_Median annual rent=", SUBSTITUTE(B971, CHAR(10), "")))
      - FIND("_Median annual rent=", SUBSTITUTE(B971, CHAR(10), "")) - LEN("_Median annual rent=") + 1
  ),
  "")</f>
        <v>165K</v>
      </c>
    </row>
    <row r="972" ht="15.75" customHeight="1">
      <c r="A972" s="1" t="s">
        <v>1958</v>
      </c>
      <c r="B972" s="1" t="s">
        <v>1959</v>
      </c>
      <c r="C972" s="1" t="s">
        <v>12</v>
      </c>
      <c r="D972" s="1" t="s">
        <v>1948</v>
      </c>
      <c r="E972" s="4">
        <v>1010966.0</v>
      </c>
      <c r="F972" s="2">
        <v>2.0</v>
      </c>
      <c r="G972" s="2" t="s">
        <v>1</v>
      </c>
      <c r="H972" s="2" t="s">
        <v>18</v>
      </c>
      <c r="I972" s="2" t="s">
        <v>15</v>
      </c>
      <c r="J972" s="2" t="s">
        <v>15</v>
      </c>
    </row>
    <row r="973" ht="15.75" customHeight="1">
      <c r="A973" s="1" t="s">
        <v>1960</v>
      </c>
      <c r="B973" s="1" t="s">
        <v>1866</v>
      </c>
      <c r="C973" s="1" t="s">
        <v>12</v>
      </c>
      <c r="D973" s="1" t="s">
        <v>1948</v>
      </c>
      <c r="E973" s="4">
        <v>1010966.0</v>
      </c>
      <c r="F973" s="2">
        <v>2.0</v>
      </c>
      <c r="G973" s="2" t="s">
        <v>1</v>
      </c>
      <c r="H973" s="2" t="s">
        <v>53</v>
      </c>
      <c r="I973" s="2" t="s">
        <v>15</v>
      </c>
      <c r="J973" s="2" t="s">
        <v>15</v>
      </c>
    </row>
    <row r="974" ht="15.75" customHeight="1">
      <c r="A974" s="1" t="s">
        <v>1961</v>
      </c>
      <c r="B974" s="1" t="s">
        <v>1962</v>
      </c>
      <c r="C974" s="1" t="s">
        <v>12</v>
      </c>
      <c r="D974" s="1" t="s">
        <v>1948</v>
      </c>
      <c r="E974" s="4">
        <v>1010966.0</v>
      </c>
      <c r="F974" s="2">
        <v>2.0</v>
      </c>
      <c r="G974" s="2" t="s">
        <v>1</v>
      </c>
      <c r="H974" s="2" t="s">
        <v>21</v>
      </c>
      <c r="I974" s="2" t="s">
        <v>15</v>
      </c>
      <c r="J974" s="2" t="s">
        <v>15</v>
      </c>
    </row>
    <row r="975" ht="15.75" customHeight="1">
      <c r="A975" s="1" t="s">
        <v>1963</v>
      </c>
      <c r="B975" s="1" t="s">
        <v>1964</v>
      </c>
      <c r="C975" s="1" t="s">
        <v>12</v>
      </c>
      <c r="D975" s="1" t="s">
        <v>1948</v>
      </c>
      <c r="E975" s="4">
        <v>1010966.0</v>
      </c>
      <c r="F975" s="2">
        <v>3.0</v>
      </c>
      <c r="G975" s="2" t="s">
        <v>1</v>
      </c>
      <c r="H975" s="2" t="s">
        <v>14</v>
      </c>
      <c r="I975" s="5" t="str">
        <f>IFERROR(
  MID(
    SUBSTITUTE(B975, CHAR(10), ""),
    FIND("_Gross ROI=", SUBSTITUTE(B975, CHAR(10), "")) + LEN("_Gross ROI="),
    FIND("%", SUBSTITUTE(B975, CHAR(10), ""), FIND("_Gross ROI=", SUBSTITUTE(B975, CHAR(10), "")))
      - FIND("_Gross ROI=", SUBSTITUTE(B975, CHAR(10), "")) - LEN("_Gross ROI=") + 1
  ),
  ""
)</f>
        <v>4.44%</v>
      </c>
      <c r="J975" s="5" t="str">
        <f>IFERROR(
  MID(
    SUBSTITUTE(B975, CHAR(10), ""),
    FIND("_Median annual rent=", SUBSTITUTE(B975, CHAR(10), "")) + LEN("_Median annual rent="),
    FIND("K", SUBSTITUTE(B975, CHAR(10), ""), FIND("_Median annual rent=", SUBSTITUTE(B975, CHAR(10), "")))
      - FIND("_Median annual rent=", SUBSTITUTE(B975, CHAR(10), "")) - LEN("_Median annual rent=") + 1
  ),
  "")</f>
        <v>230K</v>
      </c>
    </row>
    <row r="976" ht="15.75" customHeight="1">
      <c r="A976" s="1" t="s">
        <v>1965</v>
      </c>
      <c r="B976" s="1" t="s">
        <v>1966</v>
      </c>
      <c r="C976" s="1" t="s">
        <v>12</v>
      </c>
      <c r="D976" s="1" t="s">
        <v>1948</v>
      </c>
      <c r="E976" s="4">
        <v>1010966.0</v>
      </c>
      <c r="F976" s="2">
        <v>3.0</v>
      </c>
      <c r="G976" s="2" t="s">
        <v>1</v>
      </c>
      <c r="H976" s="2" t="s">
        <v>18</v>
      </c>
      <c r="I976" s="2" t="s">
        <v>15</v>
      </c>
      <c r="J976" s="2" t="s">
        <v>15</v>
      </c>
    </row>
    <row r="977" ht="15.75" customHeight="1">
      <c r="A977" s="1" t="s">
        <v>1967</v>
      </c>
      <c r="B977" s="1" t="s">
        <v>1874</v>
      </c>
      <c r="C977" s="1" t="s">
        <v>12</v>
      </c>
      <c r="D977" s="1" t="s">
        <v>1948</v>
      </c>
      <c r="E977" s="4">
        <v>1010966.0</v>
      </c>
      <c r="F977" s="2">
        <v>3.0</v>
      </c>
      <c r="G977" s="2" t="s">
        <v>1</v>
      </c>
      <c r="H977" s="2" t="s">
        <v>53</v>
      </c>
      <c r="I977" s="2" t="s">
        <v>15</v>
      </c>
      <c r="J977" s="2" t="s">
        <v>15</v>
      </c>
    </row>
    <row r="978" ht="15.75" customHeight="1">
      <c r="A978" s="1" t="s">
        <v>1968</v>
      </c>
      <c r="B978" s="1" t="s">
        <v>1969</v>
      </c>
      <c r="C978" s="1" t="s">
        <v>12</v>
      </c>
      <c r="D978" s="1" t="s">
        <v>1948</v>
      </c>
      <c r="E978" s="4">
        <v>1010966.0</v>
      </c>
      <c r="F978" s="2">
        <v>3.0</v>
      </c>
      <c r="G978" s="2" t="s">
        <v>1</v>
      </c>
      <c r="H978" s="2" t="s">
        <v>21</v>
      </c>
      <c r="I978" s="2" t="s">
        <v>15</v>
      </c>
      <c r="J978" s="2" t="s">
        <v>15</v>
      </c>
    </row>
    <row r="979" ht="15.75" customHeight="1">
      <c r="A979" s="1" t="s">
        <v>1970</v>
      </c>
      <c r="B979" s="1" t="s">
        <v>1971</v>
      </c>
      <c r="C979" s="1" t="s">
        <v>12</v>
      </c>
      <c r="D979" s="1" t="s">
        <v>1948</v>
      </c>
      <c r="E979" s="4">
        <v>1010966.0</v>
      </c>
      <c r="F979" s="2">
        <v>4.0</v>
      </c>
      <c r="G979" s="2" t="s">
        <v>1</v>
      </c>
      <c r="H979" s="2" t="s">
        <v>14</v>
      </c>
      <c r="I979" s="2" t="s">
        <v>15</v>
      </c>
      <c r="J979" s="2" t="s">
        <v>15</v>
      </c>
    </row>
    <row r="980" ht="15.75" customHeight="1">
      <c r="A980" s="1" t="s">
        <v>1972</v>
      </c>
      <c r="B980" s="1" t="s">
        <v>1973</v>
      </c>
      <c r="C980" s="1" t="s">
        <v>12</v>
      </c>
      <c r="D980" s="1" t="s">
        <v>1948</v>
      </c>
      <c r="E980" s="4">
        <v>1010966.0</v>
      </c>
      <c r="F980" s="2">
        <v>4.0</v>
      </c>
      <c r="G980" s="2" t="s">
        <v>1</v>
      </c>
      <c r="H980" s="2" t="s">
        <v>18</v>
      </c>
      <c r="I980" s="2" t="s">
        <v>15</v>
      </c>
      <c r="J980" s="2" t="s">
        <v>15</v>
      </c>
    </row>
    <row r="981" ht="15.75" customHeight="1">
      <c r="A981" s="1" t="s">
        <v>1974</v>
      </c>
      <c r="B981" s="1" t="s">
        <v>1975</v>
      </c>
      <c r="C981" s="1" t="s">
        <v>12</v>
      </c>
      <c r="D981" s="1" t="s">
        <v>1948</v>
      </c>
      <c r="E981" s="4">
        <v>1010966.0</v>
      </c>
      <c r="F981" s="2">
        <v>4.0</v>
      </c>
      <c r="G981" s="2" t="s">
        <v>1</v>
      </c>
      <c r="H981" s="2" t="s">
        <v>21</v>
      </c>
      <c r="I981" s="2" t="s">
        <v>15</v>
      </c>
      <c r="J981" s="2" t="s">
        <v>15</v>
      </c>
    </row>
    <row r="982" ht="15.75" customHeight="1">
      <c r="A982" s="1" t="s">
        <v>1976</v>
      </c>
      <c r="B982" s="1" t="s">
        <v>1884</v>
      </c>
      <c r="C982" s="1" t="s">
        <v>12</v>
      </c>
      <c r="D982" s="1" t="s">
        <v>1948</v>
      </c>
      <c r="E982" s="4">
        <v>1010966.0</v>
      </c>
      <c r="F982" s="2" t="s">
        <v>15</v>
      </c>
      <c r="G982" s="2" t="s">
        <v>1</v>
      </c>
      <c r="H982" s="2" t="s">
        <v>53</v>
      </c>
      <c r="I982" s="2" t="s">
        <v>15</v>
      </c>
      <c r="J982" s="2" t="s">
        <v>15</v>
      </c>
    </row>
    <row r="983" ht="15.75" customHeight="1">
      <c r="A983" s="1" t="s">
        <v>1977</v>
      </c>
      <c r="B983" s="1" t="s">
        <v>1886</v>
      </c>
      <c r="C983" s="1" t="s">
        <v>12</v>
      </c>
      <c r="D983" s="1" t="s">
        <v>1948</v>
      </c>
      <c r="E983" s="4">
        <v>1010966.0</v>
      </c>
      <c r="F983" s="2" t="s">
        <v>30</v>
      </c>
      <c r="G983" s="2" t="s">
        <v>1</v>
      </c>
      <c r="H983" s="2" t="s">
        <v>53</v>
      </c>
      <c r="I983" s="2" t="s">
        <v>15</v>
      </c>
      <c r="J983" s="2" t="s">
        <v>15</v>
      </c>
    </row>
    <row r="984" ht="15.75" customHeight="1">
      <c r="A984" s="1" t="s">
        <v>1978</v>
      </c>
      <c r="B984" s="1" t="s">
        <v>1979</v>
      </c>
      <c r="C984" s="1" t="s">
        <v>12</v>
      </c>
      <c r="D984" s="1" t="s">
        <v>1948</v>
      </c>
      <c r="E984" s="4">
        <v>1010966.0</v>
      </c>
      <c r="F984" s="2" t="s">
        <v>30</v>
      </c>
      <c r="G984" s="2" t="s">
        <v>1</v>
      </c>
      <c r="H984" s="2" t="s">
        <v>14</v>
      </c>
      <c r="I984" s="2" t="s">
        <v>15</v>
      </c>
      <c r="J984" s="2" t="s">
        <v>15</v>
      </c>
    </row>
    <row r="985" ht="15.75" customHeight="1">
      <c r="A985" s="1" t="s">
        <v>1980</v>
      </c>
      <c r="B985" s="1" t="s">
        <v>1981</v>
      </c>
      <c r="C985" s="1" t="s">
        <v>12</v>
      </c>
      <c r="D985" s="1" t="s">
        <v>1948</v>
      </c>
      <c r="E985" s="4">
        <v>1010966.0</v>
      </c>
      <c r="F985" s="2" t="s">
        <v>15</v>
      </c>
      <c r="G985" s="2" t="s">
        <v>33</v>
      </c>
      <c r="H985" s="2" t="s">
        <v>15</v>
      </c>
      <c r="I985" s="2" t="s">
        <v>15</v>
      </c>
      <c r="J985" s="2" t="s">
        <v>15</v>
      </c>
    </row>
    <row r="986" ht="15.75" customHeight="1">
      <c r="A986" s="1" t="s">
        <v>1982</v>
      </c>
      <c r="B986" s="1" t="s">
        <v>1983</v>
      </c>
      <c r="C986" s="1" t="s">
        <v>12</v>
      </c>
      <c r="D986" s="1" t="s">
        <v>1948</v>
      </c>
      <c r="E986" s="4">
        <v>1010966.0</v>
      </c>
      <c r="F986" s="2">
        <v>1.0</v>
      </c>
      <c r="G986" s="2" t="s">
        <v>1</v>
      </c>
      <c r="H986" s="2" t="s">
        <v>37</v>
      </c>
      <c r="I986" s="2" t="s">
        <v>15</v>
      </c>
      <c r="J986" s="2" t="s">
        <v>15</v>
      </c>
    </row>
    <row r="987" ht="15.75" customHeight="1">
      <c r="A987" s="1" t="s">
        <v>1984</v>
      </c>
      <c r="B987" s="1" t="s">
        <v>1985</v>
      </c>
      <c r="C987" s="1" t="s">
        <v>12</v>
      </c>
      <c r="D987" s="1" t="s">
        <v>1948</v>
      </c>
      <c r="E987" s="4">
        <v>1010966.0</v>
      </c>
      <c r="F987" s="2">
        <v>2.0</v>
      </c>
      <c r="G987" s="2" t="s">
        <v>1</v>
      </c>
      <c r="H987" s="2" t="s">
        <v>37</v>
      </c>
      <c r="I987" s="2" t="s">
        <v>15</v>
      </c>
      <c r="J987" s="2" t="s">
        <v>15</v>
      </c>
    </row>
    <row r="988" ht="15.75" customHeight="1">
      <c r="A988" s="1" t="s">
        <v>1986</v>
      </c>
      <c r="B988" s="1" t="s">
        <v>1987</v>
      </c>
      <c r="C988" s="1" t="s">
        <v>12</v>
      </c>
      <c r="D988" s="1" t="s">
        <v>1948</v>
      </c>
      <c r="E988" s="4">
        <v>1010966.0</v>
      </c>
      <c r="F988" s="2">
        <v>3.0</v>
      </c>
      <c r="G988" s="2" t="s">
        <v>1</v>
      </c>
      <c r="H988" s="2" t="s">
        <v>37</v>
      </c>
      <c r="I988" s="2" t="s">
        <v>15</v>
      </c>
      <c r="J988" s="2" t="s">
        <v>15</v>
      </c>
    </row>
    <row r="989" ht="15.75" customHeight="1">
      <c r="A989" s="1" t="s">
        <v>1988</v>
      </c>
      <c r="B989" s="1" t="s">
        <v>1989</v>
      </c>
      <c r="C989" s="1" t="s">
        <v>12</v>
      </c>
      <c r="D989" s="1" t="s">
        <v>1948</v>
      </c>
      <c r="E989" s="4">
        <v>1010966.0</v>
      </c>
      <c r="F989" s="2">
        <v>4.0</v>
      </c>
      <c r="G989" s="2" t="s">
        <v>1</v>
      </c>
      <c r="H989" s="2" t="s">
        <v>37</v>
      </c>
      <c r="I989" s="2" t="s">
        <v>15</v>
      </c>
      <c r="J989" s="2" t="s">
        <v>15</v>
      </c>
    </row>
    <row r="990" ht="15.75" customHeight="1">
      <c r="A990" s="1" t="s">
        <v>1990</v>
      </c>
      <c r="B990" s="1" t="s">
        <v>1991</v>
      </c>
      <c r="C990" s="1" t="s">
        <v>12</v>
      </c>
      <c r="D990" s="1" t="s">
        <v>1948</v>
      </c>
      <c r="E990" s="4">
        <v>1010966.0</v>
      </c>
      <c r="F990" s="2" t="s">
        <v>30</v>
      </c>
      <c r="G990" s="2" t="s">
        <v>1</v>
      </c>
      <c r="H990" s="2" t="s">
        <v>37</v>
      </c>
      <c r="I990" s="2" t="s">
        <v>15</v>
      </c>
      <c r="J990" s="2" t="s">
        <v>15</v>
      </c>
    </row>
    <row r="991" ht="15.75" customHeight="1">
      <c r="A991" s="1" t="s">
        <v>1992</v>
      </c>
      <c r="B991" s="6" t="s">
        <v>1993</v>
      </c>
      <c r="C991" s="1" t="s">
        <v>12</v>
      </c>
      <c r="D991" s="1" t="s">
        <v>1994</v>
      </c>
      <c r="E991" s="4">
        <v>1011030.0</v>
      </c>
      <c r="F991" s="2">
        <v>1.0</v>
      </c>
      <c r="G991" s="2" t="s">
        <v>1</v>
      </c>
      <c r="H991" s="2" t="s">
        <v>14</v>
      </c>
      <c r="I991" s="5" t="str">
        <f>IFERROR(
  MID(
    SUBSTITUTE(B991, CHAR(10), ""),
    FIND("_Gross ROI=", SUBSTITUTE(B991, CHAR(10), "")) + LEN("_Gross ROI="),
    FIND("%", SUBSTITUTE(B991, CHAR(10), ""), FIND("_Gross ROI=", SUBSTITUTE(B991, CHAR(10), "")))
      - FIND("_Gross ROI=", SUBSTITUTE(B991, CHAR(10), "")) - LEN("_Gross ROI=") + 1
  ),
  ""
)</f>
        <v>5.41%</v>
      </c>
      <c r="J991" s="5" t="str">
        <f>IFERROR(
  MID(
    SUBSTITUTE(B991, CHAR(10), ""),
    FIND("_Median annual rent=", SUBSTITUTE(B991, CHAR(10), "")) + LEN("_Median annual rent="),
    FIND("K", SUBSTITUTE(B991, CHAR(10), ""), FIND("_Median annual rent=", SUBSTITUTE(B991, CHAR(10), "")))
      - FIND("_Median annual rent=", SUBSTITUTE(B991, CHAR(10), "")) - LEN("_Median annual rent=") + 1
  ),
  "")</f>
        <v>140K</v>
      </c>
    </row>
    <row r="992" ht="15.75" customHeight="1">
      <c r="A992" s="1" t="s">
        <v>1995</v>
      </c>
      <c r="B992" s="1" t="s">
        <v>1996</v>
      </c>
      <c r="C992" s="1" t="s">
        <v>12</v>
      </c>
      <c r="D992" s="1" t="s">
        <v>1994</v>
      </c>
      <c r="E992" s="4">
        <v>1011030.0</v>
      </c>
      <c r="F992" s="2">
        <v>1.0</v>
      </c>
      <c r="G992" s="2" t="s">
        <v>1</v>
      </c>
      <c r="H992" s="2" t="s">
        <v>18</v>
      </c>
      <c r="I992" s="2" t="s">
        <v>15</v>
      </c>
      <c r="J992" s="2" t="s">
        <v>15</v>
      </c>
    </row>
    <row r="993" ht="15.75" customHeight="1">
      <c r="A993" s="1" t="s">
        <v>1997</v>
      </c>
      <c r="B993" s="1" t="s">
        <v>1998</v>
      </c>
      <c r="C993" s="1" t="s">
        <v>12</v>
      </c>
      <c r="D993" s="1" t="s">
        <v>1994</v>
      </c>
      <c r="E993" s="4">
        <v>1011030.0</v>
      </c>
      <c r="F993" s="2">
        <v>1.0</v>
      </c>
      <c r="G993" s="2" t="s">
        <v>1</v>
      </c>
      <c r="H993" s="2" t="s">
        <v>53</v>
      </c>
      <c r="I993" s="2" t="s">
        <v>15</v>
      </c>
      <c r="J993" s="2" t="s">
        <v>15</v>
      </c>
    </row>
    <row r="994" ht="15.75" customHeight="1">
      <c r="A994" s="1" t="s">
        <v>1999</v>
      </c>
      <c r="B994" s="1" t="s">
        <v>2000</v>
      </c>
      <c r="C994" s="1" t="s">
        <v>12</v>
      </c>
      <c r="D994" s="1" t="s">
        <v>1994</v>
      </c>
      <c r="E994" s="4">
        <v>1011030.0</v>
      </c>
      <c r="F994" s="2">
        <v>1.0</v>
      </c>
      <c r="G994" s="2" t="s">
        <v>1</v>
      </c>
      <c r="H994" s="2" t="s">
        <v>21</v>
      </c>
      <c r="I994" s="2" t="s">
        <v>15</v>
      </c>
      <c r="J994" s="2" t="s">
        <v>15</v>
      </c>
    </row>
    <row r="995" ht="15.75" customHeight="1">
      <c r="A995" s="1" t="s">
        <v>2001</v>
      </c>
      <c r="B995" s="1" t="s">
        <v>2002</v>
      </c>
      <c r="C995" s="1" t="s">
        <v>12</v>
      </c>
      <c r="D995" s="1" t="s">
        <v>1994</v>
      </c>
      <c r="E995" s="4">
        <v>1011030.0</v>
      </c>
      <c r="F995" s="2">
        <v>2.0</v>
      </c>
      <c r="G995" s="2" t="s">
        <v>1</v>
      </c>
      <c r="H995" s="2" t="s">
        <v>14</v>
      </c>
      <c r="I995" s="5" t="str">
        <f>IFERROR(
  MID(
    SUBSTITUTE(B995, CHAR(10), ""),
    FIND("_Gross ROI=", SUBSTITUTE(B995, CHAR(10), "")) + LEN("_Gross ROI="),
    FIND("%", SUBSTITUTE(B995, CHAR(10), ""), FIND("_Gross ROI=", SUBSTITUTE(B995, CHAR(10), "")))
      - FIND("_Gross ROI=", SUBSTITUTE(B995, CHAR(10), "")) - LEN("_Gross ROI=") + 1
  ),
  ""
)</f>
        <v>6.37%</v>
      </c>
      <c r="J995" s="5" t="str">
        <f>IFERROR(
  MID(
    SUBSTITUTE(B995, CHAR(10), ""),
    FIND("_Median annual rent=", SUBSTITUTE(B995, CHAR(10), "")) + LEN("_Median annual rent="),
    FIND("K", SUBSTITUTE(B995, CHAR(10), ""), FIND("_Median annual rent=", SUBSTITUTE(B995, CHAR(10), "")))
      - FIND("_Median annual rent=", SUBSTITUTE(B995, CHAR(10), "")) - LEN("_Median annual rent=") + 1
  ),
  "")</f>
        <v>280K</v>
      </c>
    </row>
    <row r="996" ht="15.75" customHeight="1">
      <c r="A996" s="1" t="s">
        <v>2003</v>
      </c>
      <c r="B996" s="1" t="s">
        <v>2004</v>
      </c>
      <c r="C996" s="1" t="s">
        <v>12</v>
      </c>
      <c r="D996" s="1" t="s">
        <v>1994</v>
      </c>
      <c r="E996" s="4">
        <v>1011030.0</v>
      </c>
      <c r="F996" s="2">
        <v>2.0</v>
      </c>
      <c r="G996" s="2" t="s">
        <v>1</v>
      </c>
      <c r="H996" s="2" t="s">
        <v>18</v>
      </c>
      <c r="I996" s="2" t="s">
        <v>15</v>
      </c>
      <c r="J996" s="2" t="s">
        <v>15</v>
      </c>
    </row>
    <row r="997" ht="15.75" customHeight="1">
      <c r="A997" s="1" t="s">
        <v>2005</v>
      </c>
      <c r="B997" s="1" t="s">
        <v>2006</v>
      </c>
      <c r="C997" s="1" t="s">
        <v>12</v>
      </c>
      <c r="D997" s="1" t="s">
        <v>1994</v>
      </c>
      <c r="E997" s="4">
        <v>1011030.0</v>
      </c>
      <c r="F997" s="2">
        <v>2.0</v>
      </c>
      <c r="G997" s="2" t="s">
        <v>1</v>
      </c>
      <c r="H997" s="2" t="s">
        <v>53</v>
      </c>
      <c r="I997" s="2" t="s">
        <v>15</v>
      </c>
      <c r="J997" s="2" t="s">
        <v>15</v>
      </c>
    </row>
    <row r="998" ht="15.75" customHeight="1">
      <c r="A998" s="1" t="s">
        <v>2007</v>
      </c>
      <c r="B998" s="1" t="s">
        <v>2008</v>
      </c>
      <c r="C998" s="1" t="s">
        <v>12</v>
      </c>
      <c r="D998" s="1" t="s">
        <v>1994</v>
      </c>
      <c r="E998" s="4">
        <v>1011030.0</v>
      </c>
      <c r="F998" s="2">
        <v>2.0</v>
      </c>
      <c r="G998" s="2" t="s">
        <v>1</v>
      </c>
      <c r="H998" s="2" t="s">
        <v>21</v>
      </c>
      <c r="I998" s="2" t="s">
        <v>15</v>
      </c>
      <c r="J998" s="2" t="s">
        <v>15</v>
      </c>
    </row>
    <row r="999" ht="15.75" customHeight="1">
      <c r="A999" s="1" t="s">
        <v>2009</v>
      </c>
      <c r="B999" s="1" t="s">
        <v>2010</v>
      </c>
      <c r="C999" s="1" t="s">
        <v>12</v>
      </c>
      <c r="D999" s="1" t="s">
        <v>1994</v>
      </c>
      <c r="E999" s="4">
        <v>1011030.0</v>
      </c>
      <c r="F999" s="2">
        <v>3.0</v>
      </c>
      <c r="G999" s="2" t="s">
        <v>1</v>
      </c>
      <c r="H999" s="2" t="s">
        <v>14</v>
      </c>
      <c r="I999" s="5" t="str">
        <f>IFERROR(
  MID(
    SUBSTITUTE(B999, CHAR(10), ""),
    FIND("_Gross ROI=", SUBSTITUTE(B999, CHAR(10), "")) + LEN("_Gross ROI="),
    FIND("%", SUBSTITUTE(B999, CHAR(10), ""), FIND("_Gross ROI=", SUBSTITUTE(B999, CHAR(10), "")))
      - FIND("_Gross ROI=", SUBSTITUTE(B999, CHAR(10), "")) - LEN("_Gross ROI=") + 1
  ),
  ""
)</f>
        <v>4.96%</v>
      </c>
      <c r="J999" s="5" t="str">
        <f>IFERROR(
  MID(
    SUBSTITUTE(B999, CHAR(10), ""),
    FIND("_Median annual rent=", SUBSTITUTE(B999, CHAR(10), "")) + LEN("_Median annual rent="),
    FIND("K", SUBSTITUTE(B999, CHAR(10), ""), FIND("_Median annual rent=", SUBSTITUTE(B999, CHAR(10), "")))
      - FIND("_Median annual rent=", SUBSTITUTE(B999, CHAR(10), "")) - LEN("_Median annual rent=") + 1
  ),
  "")</f>
        <v>400K</v>
      </c>
    </row>
    <row r="1000" ht="15.75" customHeight="1">
      <c r="A1000" s="1" t="s">
        <v>2011</v>
      </c>
      <c r="B1000" s="1" t="s">
        <v>2012</v>
      </c>
      <c r="C1000" s="1" t="s">
        <v>12</v>
      </c>
      <c r="D1000" s="1" t="s">
        <v>1994</v>
      </c>
      <c r="E1000" s="4">
        <v>1011030.0</v>
      </c>
      <c r="F1000" s="2">
        <v>3.0</v>
      </c>
      <c r="G1000" s="2" t="s">
        <v>1</v>
      </c>
      <c r="H1000" s="2" t="s">
        <v>18</v>
      </c>
      <c r="I1000" s="2" t="s">
        <v>15</v>
      </c>
      <c r="J1000" s="2" t="s">
        <v>15</v>
      </c>
    </row>
    <row r="1001" ht="15.75" customHeight="1">
      <c r="A1001" s="1" t="s">
        <v>2013</v>
      </c>
      <c r="B1001" s="1" t="s">
        <v>2014</v>
      </c>
      <c r="C1001" s="1" t="s">
        <v>12</v>
      </c>
      <c r="D1001" s="1" t="s">
        <v>1994</v>
      </c>
      <c r="E1001" s="4">
        <v>1011030.0</v>
      </c>
      <c r="F1001" s="2">
        <v>3.0</v>
      </c>
      <c r="G1001" s="2" t="s">
        <v>1</v>
      </c>
      <c r="H1001" s="2" t="s">
        <v>53</v>
      </c>
      <c r="I1001" s="2" t="s">
        <v>15</v>
      </c>
      <c r="J1001" s="2" t="s">
        <v>15</v>
      </c>
    </row>
    <row r="1002" ht="15.75" customHeight="1">
      <c r="A1002" s="1" t="s">
        <v>2015</v>
      </c>
      <c r="B1002" s="1" t="s">
        <v>2016</v>
      </c>
      <c r="C1002" s="1" t="s">
        <v>12</v>
      </c>
      <c r="D1002" s="1" t="s">
        <v>1994</v>
      </c>
      <c r="E1002" s="4">
        <v>1011030.0</v>
      </c>
      <c r="F1002" s="2">
        <v>3.0</v>
      </c>
      <c r="G1002" s="2" t="s">
        <v>1</v>
      </c>
      <c r="H1002" s="2" t="s">
        <v>21</v>
      </c>
      <c r="I1002" s="2" t="s">
        <v>15</v>
      </c>
      <c r="J1002" s="2" t="s">
        <v>15</v>
      </c>
    </row>
    <row r="1003" ht="15.75" customHeight="1">
      <c r="A1003" s="1" t="s">
        <v>2017</v>
      </c>
      <c r="B1003" s="1" t="s">
        <v>2018</v>
      </c>
      <c r="C1003" s="1" t="s">
        <v>12</v>
      </c>
      <c r="D1003" s="1" t="s">
        <v>1994</v>
      </c>
      <c r="E1003" s="4">
        <v>1011030.0</v>
      </c>
      <c r="F1003" s="2">
        <v>4.0</v>
      </c>
      <c r="G1003" s="2" t="s">
        <v>1</v>
      </c>
      <c r="H1003" s="2" t="s">
        <v>14</v>
      </c>
      <c r="I1003" s="2" t="s">
        <v>15</v>
      </c>
      <c r="J1003" s="2" t="s">
        <v>15</v>
      </c>
    </row>
    <row r="1004" ht="15.75" customHeight="1">
      <c r="A1004" s="1" t="s">
        <v>2019</v>
      </c>
      <c r="B1004" s="1" t="s">
        <v>2020</v>
      </c>
      <c r="C1004" s="1" t="s">
        <v>12</v>
      </c>
      <c r="D1004" s="1" t="s">
        <v>1994</v>
      </c>
      <c r="E1004" s="4">
        <v>1011030.0</v>
      </c>
      <c r="F1004" s="2">
        <v>4.0</v>
      </c>
      <c r="G1004" s="2" t="s">
        <v>1</v>
      </c>
      <c r="H1004" s="2" t="s">
        <v>18</v>
      </c>
      <c r="I1004" s="2" t="s">
        <v>15</v>
      </c>
      <c r="J1004" s="2" t="s">
        <v>15</v>
      </c>
    </row>
    <row r="1005" ht="15.75" customHeight="1">
      <c r="A1005" s="1" t="s">
        <v>2021</v>
      </c>
      <c r="B1005" s="1" t="s">
        <v>2022</v>
      </c>
      <c r="C1005" s="1" t="s">
        <v>12</v>
      </c>
      <c r="D1005" s="1" t="s">
        <v>1994</v>
      </c>
      <c r="E1005" s="4">
        <v>1011030.0</v>
      </c>
      <c r="F1005" s="2">
        <v>4.0</v>
      </c>
      <c r="G1005" s="2" t="s">
        <v>1</v>
      </c>
      <c r="H1005" s="2" t="s">
        <v>53</v>
      </c>
      <c r="I1005" s="2" t="s">
        <v>15</v>
      </c>
      <c r="J1005" s="2" t="s">
        <v>15</v>
      </c>
    </row>
    <row r="1006" ht="15.75" customHeight="1">
      <c r="A1006" s="1" t="s">
        <v>2023</v>
      </c>
      <c r="B1006" s="1" t="s">
        <v>2024</v>
      </c>
      <c r="C1006" s="1" t="s">
        <v>12</v>
      </c>
      <c r="D1006" s="1" t="s">
        <v>1994</v>
      </c>
      <c r="E1006" s="4">
        <v>1011030.0</v>
      </c>
      <c r="F1006" s="2">
        <v>4.0</v>
      </c>
      <c r="G1006" s="2" t="s">
        <v>1</v>
      </c>
      <c r="H1006" s="2" t="s">
        <v>21</v>
      </c>
      <c r="I1006" s="2" t="s">
        <v>15</v>
      </c>
      <c r="J1006" s="2" t="s">
        <v>15</v>
      </c>
    </row>
    <row r="1007" ht="15.75" customHeight="1">
      <c r="A1007" s="1" t="s">
        <v>2025</v>
      </c>
      <c r="B1007" s="1" t="s">
        <v>2026</v>
      </c>
      <c r="C1007" s="1" t="s">
        <v>12</v>
      </c>
      <c r="D1007" s="1" t="s">
        <v>1994</v>
      </c>
      <c r="E1007" s="4">
        <v>1011030.0</v>
      </c>
      <c r="F1007" s="2" t="s">
        <v>15</v>
      </c>
      <c r="G1007" s="2" t="s">
        <v>1</v>
      </c>
      <c r="H1007" s="2" t="s">
        <v>53</v>
      </c>
      <c r="I1007" s="2" t="s">
        <v>15</v>
      </c>
      <c r="J1007" s="2" t="s">
        <v>15</v>
      </c>
    </row>
    <row r="1008" ht="15.75" customHeight="1">
      <c r="A1008" s="1" t="s">
        <v>2027</v>
      </c>
      <c r="B1008" s="1" t="s">
        <v>2028</v>
      </c>
      <c r="C1008" s="1" t="s">
        <v>12</v>
      </c>
      <c r="D1008" s="1" t="s">
        <v>1994</v>
      </c>
      <c r="E1008" s="4">
        <v>1011030.0</v>
      </c>
      <c r="F1008" s="2" t="s">
        <v>30</v>
      </c>
      <c r="G1008" s="2" t="s">
        <v>1</v>
      </c>
      <c r="H1008" s="2" t="s">
        <v>53</v>
      </c>
      <c r="I1008" s="2" t="s">
        <v>15</v>
      </c>
      <c r="J1008" s="2" t="s">
        <v>15</v>
      </c>
    </row>
    <row r="1009" ht="15.75" customHeight="1">
      <c r="A1009" s="1" t="s">
        <v>2029</v>
      </c>
      <c r="B1009" s="1" t="s">
        <v>2030</v>
      </c>
      <c r="C1009" s="1" t="s">
        <v>12</v>
      </c>
      <c r="D1009" s="1" t="s">
        <v>1994</v>
      </c>
      <c r="E1009" s="4">
        <v>1011030.0</v>
      </c>
      <c r="F1009" s="2" t="s">
        <v>30</v>
      </c>
      <c r="G1009" s="2" t="s">
        <v>1</v>
      </c>
      <c r="H1009" s="2" t="s">
        <v>14</v>
      </c>
      <c r="I1009" s="2" t="s">
        <v>15</v>
      </c>
      <c r="J1009" s="2" t="s">
        <v>15</v>
      </c>
    </row>
    <row r="1010" ht="15.75" customHeight="1">
      <c r="A1010" s="1" t="s">
        <v>2031</v>
      </c>
      <c r="B1010" s="1" t="s">
        <v>2032</v>
      </c>
      <c r="C1010" s="1" t="s">
        <v>12</v>
      </c>
      <c r="D1010" s="1" t="s">
        <v>1994</v>
      </c>
      <c r="E1010" s="4">
        <v>1011030.0</v>
      </c>
      <c r="F1010" s="2" t="s">
        <v>15</v>
      </c>
      <c r="G1010" s="2" t="s">
        <v>33</v>
      </c>
      <c r="H1010" s="2" t="s">
        <v>15</v>
      </c>
      <c r="I1010" s="2" t="s">
        <v>15</v>
      </c>
      <c r="J1010" s="2" t="s">
        <v>15</v>
      </c>
    </row>
    <row r="1011" ht="15.75" customHeight="1">
      <c r="A1011" s="1" t="s">
        <v>2033</v>
      </c>
      <c r="B1011" s="1" t="s">
        <v>2034</v>
      </c>
      <c r="C1011" s="1" t="s">
        <v>12</v>
      </c>
      <c r="D1011" s="1" t="s">
        <v>1994</v>
      </c>
      <c r="E1011" s="4">
        <v>1011030.0</v>
      </c>
      <c r="F1011" s="2">
        <v>1.0</v>
      </c>
      <c r="G1011" s="2" t="s">
        <v>1</v>
      </c>
      <c r="H1011" s="2" t="s">
        <v>37</v>
      </c>
      <c r="I1011" s="2" t="s">
        <v>15</v>
      </c>
      <c r="J1011" s="2" t="s">
        <v>15</v>
      </c>
    </row>
    <row r="1012" ht="15.75" customHeight="1">
      <c r="A1012" s="1" t="s">
        <v>2035</v>
      </c>
      <c r="B1012" s="1" t="s">
        <v>2036</v>
      </c>
      <c r="C1012" s="1" t="s">
        <v>12</v>
      </c>
      <c r="D1012" s="1" t="s">
        <v>1994</v>
      </c>
      <c r="E1012" s="4">
        <v>1011030.0</v>
      </c>
      <c r="F1012" s="2">
        <v>2.0</v>
      </c>
      <c r="G1012" s="2" t="s">
        <v>1</v>
      </c>
      <c r="H1012" s="2" t="s">
        <v>37</v>
      </c>
      <c r="I1012" s="2" t="s">
        <v>15</v>
      </c>
      <c r="J1012" s="2" t="s">
        <v>15</v>
      </c>
    </row>
    <row r="1013" ht="15.75" customHeight="1">
      <c r="A1013" s="1" t="s">
        <v>2037</v>
      </c>
      <c r="B1013" s="1" t="s">
        <v>2038</v>
      </c>
      <c r="C1013" s="1" t="s">
        <v>12</v>
      </c>
      <c r="D1013" s="1" t="s">
        <v>1994</v>
      </c>
      <c r="E1013" s="4">
        <v>1011030.0</v>
      </c>
      <c r="F1013" s="2">
        <v>3.0</v>
      </c>
      <c r="G1013" s="2" t="s">
        <v>1</v>
      </c>
      <c r="H1013" s="2" t="s">
        <v>37</v>
      </c>
      <c r="I1013" s="2" t="s">
        <v>15</v>
      </c>
      <c r="J1013" s="2" t="s">
        <v>15</v>
      </c>
    </row>
    <row r="1014" ht="15.75" customHeight="1">
      <c r="A1014" s="1" t="s">
        <v>2039</v>
      </c>
      <c r="B1014" s="1" t="s">
        <v>2040</v>
      </c>
      <c r="C1014" s="1" t="s">
        <v>12</v>
      </c>
      <c r="D1014" s="1" t="s">
        <v>1994</v>
      </c>
      <c r="E1014" s="4">
        <v>1011030.0</v>
      </c>
      <c r="F1014" s="2">
        <v>4.0</v>
      </c>
      <c r="G1014" s="2" t="s">
        <v>1</v>
      </c>
      <c r="H1014" s="2" t="s">
        <v>37</v>
      </c>
      <c r="I1014" s="2" t="s">
        <v>15</v>
      </c>
      <c r="J1014" s="2" t="s">
        <v>15</v>
      </c>
    </row>
    <row r="1015" ht="15.75" customHeight="1">
      <c r="A1015" s="1" t="s">
        <v>2041</v>
      </c>
      <c r="B1015" s="1" t="s">
        <v>2042</v>
      </c>
      <c r="C1015" s="1" t="s">
        <v>12</v>
      </c>
      <c r="D1015" s="1" t="s">
        <v>1994</v>
      </c>
      <c r="E1015" s="4">
        <v>1011030.0</v>
      </c>
      <c r="F1015" s="2" t="s">
        <v>30</v>
      </c>
      <c r="G1015" s="2" t="s">
        <v>1</v>
      </c>
      <c r="H1015" s="2" t="s">
        <v>37</v>
      </c>
      <c r="I1015" s="2" t="s">
        <v>15</v>
      </c>
      <c r="J1015" s="2" t="s">
        <v>15</v>
      </c>
    </row>
    <row r="1016" ht="15.75" customHeight="1">
      <c r="A1016" s="1" t="s">
        <v>2043</v>
      </c>
      <c r="B1016" s="3" t="s">
        <v>2044</v>
      </c>
      <c r="C1016" s="1" t="s">
        <v>12</v>
      </c>
      <c r="D1016" s="1" t="s">
        <v>2045</v>
      </c>
      <c r="E1016" s="4">
        <v>1011094.0</v>
      </c>
      <c r="F1016" s="2">
        <v>4.0</v>
      </c>
      <c r="G1016" s="2" t="s">
        <v>1</v>
      </c>
      <c r="H1016" s="2" t="s">
        <v>14</v>
      </c>
      <c r="I1016" s="5" t="str">
        <f>IFERROR(
  MID(
    SUBSTITUTE(B1016, CHAR(10), ""),
    FIND("_Gross ROI=", SUBSTITUTE(B1016, CHAR(10), "")) + LEN("_Gross ROI="),
    FIND("%", SUBSTITUTE(B1016, CHAR(10), ""), FIND("_Gross ROI=", SUBSTITUTE(B1016, CHAR(10), "")))
      - FIND("_Gross ROI=", SUBSTITUTE(B1016, CHAR(10), "")) - LEN("_Gross ROI=") + 1
  ),
  ""
)</f>
        <v>5.47%</v>
      </c>
      <c r="J1016" s="2" t="s">
        <v>2046</v>
      </c>
    </row>
    <row r="1017" ht="15.75" customHeight="1">
      <c r="A1017" s="1" t="s">
        <v>2047</v>
      </c>
      <c r="B1017" s="1" t="s">
        <v>2048</v>
      </c>
      <c r="C1017" s="1" t="s">
        <v>12</v>
      </c>
      <c r="D1017" s="1" t="s">
        <v>2045</v>
      </c>
      <c r="E1017" s="4">
        <v>1011094.0</v>
      </c>
      <c r="F1017" s="2">
        <v>4.0</v>
      </c>
      <c r="G1017" s="2" t="s">
        <v>1</v>
      </c>
      <c r="H1017" s="2" t="s">
        <v>18</v>
      </c>
      <c r="I1017" s="2" t="s">
        <v>15</v>
      </c>
      <c r="J1017" s="2" t="s">
        <v>15</v>
      </c>
    </row>
    <row r="1018" ht="15.75" customHeight="1">
      <c r="A1018" s="1" t="s">
        <v>2049</v>
      </c>
      <c r="B1018" s="1" t="s">
        <v>2050</v>
      </c>
      <c r="C1018" s="1" t="s">
        <v>12</v>
      </c>
      <c r="D1018" s="1" t="s">
        <v>2045</v>
      </c>
      <c r="E1018" s="4">
        <v>1011094.0</v>
      </c>
      <c r="F1018" s="2">
        <v>4.0</v>
      </c>
      <c r="G1018" s="2" t="s">
        <v>1</v>
      </c>
      <c r="H1018" s="2" t="s">
        <v>53</v>
      </c>
      <c r="I1018" s="2" t="s">
        <v>15</v>
      </c>
      <c r="J1018" s="2" t="s">
        <v>15</v>
      </c>
    </row>
    <row r="1019" ht="15.75" customHeight="1">
      <c r="A1019" s="1" t="s">
        <v>2051</v>
      </c>
      <c r="B1019" s="1" t="s">
        <v>2052</v>
      </c>
      <c r="C1019" s="1" t="s">
        <v>12</v>
      </c>
      <c r="D1019" s="1" t="s">
        <v>2045</v>
      </c>
      <c r="E1019" s="4">
        <v>1011094.0</v>
      </c>
      <c r="F1019" s="2">
        <v>4.0</v>
      </c>
      <c r="G1019" s="2" t="s">
        <v>1</v>
      </c>
      <c r="H1019" s="2" t="s">
        <v>21</v>
      </c>
      <c r="I1019" s="2" t="s">
        <v>15</v>
      </c>
      <c r="J1019" s="2" t="s">
        <v>15</v>
      </c>
    </row>
    <row r="1020" ht="15.75" customHeight="1">
      <c r="A1020" s="1" t="s">
        <v>2053</v>
      </c>
      <c r="B1020" s="1" t="s">
        <v>2054</v>
      </c>
      <c r="C1020" s="1" t="s">
        <v>12</v>
      </c>
      <c r="D1020" s="1" t="s">
        <v>2045</v>
      </c>
      <c r="E1020" s="4">
        <v>1011094.0</v>
      </c>
      <c r="F1020" s="2">
        <v>5.0</v>
      </c>
      <c r="G1020" s="2" t="s">
        <v>1</v>
      </c>
      <c r="H1020" s="2" t="s">
        <v>14</v>
      </c>
      <c r="I1020" s="2" t="s">
        <v>15</v>
      </c>
      <c r="J1020" s="2" t="s">
        <v>15</v>
      </c>
    </row>
    <row r="1021" ht="15.75" customHeight="1">
      <c r="A1021" s="1" t="s">
        <v>2055</v>
      </c>
      <c r="B1021" s="1" t="s">
        <v>2056</v>
      </c>
      <c r="C1021" s="1" t="s">
        <v>12</v>
      </c>
      <c r="D1021" s="1" t="s">
        <v>2045</v>
      </c>
      <c r="E1021" s="4">
        <v>1011094.0</v>
      </c>
      <c r="F1021" s="2">
        <v>5.0</v>
      </c>
      <c r="G1021" s="2" t="s">
        <v>1</v>
      </c>
      <c r="H1021" s="2" t="s">
        <v>18</v>
      </c>
      <c r="I1021" s="2" t="s">
        <v>15</v>
      </c>
      <c r="J1021" s="2" t="s">
        <v>15</v>
      </c>
    </row>
    <row r="1022" ht="15.75" customHeight="1">
      <c r="A1022" s="1" t="s">
        <v>2057</v>
      </c>
      <c r="B1022" s="1" t="s">
        <v>2058</v>
      </c>
      <c r="C1022" s="1" t="s">
        <v>12</v>
      </c>
      <c r="D1022" s="1" t="s">
        <v>2045</v>
      </c>
      <c r="E1022" s="4">
        <v>1011094.0</v>
      </c>
      <c r="F1022" s="2">
        <v>5.0</v>
      </c>
      <c r="G1022" s="2" t="s">
        <v>1</v>
      </c>
      <c r="H1022" s="2" t="s">
        <v>53</v>
      </c>
      <c r="I1022" s="2" t="s">
        <v>15</v>
      </c>
      <c r="J1022" s="2" t="s">
        <v>15</v>
      </c>
    </row>
    <row r="1023" ht="15.75" customHeight="1">
      <c r="A1023" s="1" t="s">
        <v>2059</v>
      </c>
      <c r="B1023" s="1" t="s">
        <v>2060</v>
      </c>
      <c r="C1023" s="1" t="s">
        <v>12</v>
      </c>
      <c r="D1023" s="1" t="s">
        <v>2045</v>
      </c>
      <c r="E1023" s="4">
        <v>1011094.0</v>
      </c>
      <c r="F1023" s="2">
        <v>5.0</v>
      </c>
      <c r="G1023" s="2" t="s">
        <v>1</v>
      </c>
      <c r="H1023" s="2" t="s">
        <v>21</v>
      </c>
      <c r="I1023" s="2" t="s">
        <v>15</v>
      </c>
      <c r="J1023" s="2" t="s">
        <v>15</v>
      </c>
    </row>
    <row r="1024" ht="15.75" customHeight="1">
      <c r="A1024" s="1" t="s">
        <v>2061</v>
      </c>
      <c r="B1024" s="1" t="s">
        <v>2062</v>
      </c>
      <c r="C1024" s="1" t="s">
        <v>12</v>
      </c>
      <c r="D1024" s="1" t="s">
        <v>2045</v>
      </c>
      <c r="E1024" s="4">
        <v>1011094.0</v>
      </c>
      <c r="F1024" s="2" t="s">
        <v>30</v>
      </c>
      <c r="G1024" s="2" t="s">
        <v>1</v>
      </c>
      <c r="H1024" s="2" t="s">
        <v>53</v>
      </c>
      <c r="I1024" s="2" t="s">
        <v>15</v>
      </c>
      <c r="J1024" s="2" t="s">
        <v>15</v>
      </c>
    </row>
    <row r="1025" ht="15.75" customHeight="1">
      <c r="A1025" s="1" t="s">
        <v>2063</v>
      </c>
      <c r="B1025" s="1" t="s">
        <v>2064</v>
      </c>
      <c r="C1025" s="1" t="s">
        <v>12</v>
      </c>
      <c r="D1025" s="1" t="s">
        <v>2045</v>
      </c>
      <c r="E1025" s="4">
        <v>1011094.0</v>
      </c>
      <c r="F1025" s="2" t="s">
        <v>30</v>
      </c>
      <c r="G1025" s="2" t="s">
        <v>1</v>
      </c>
      <c r="H1025" s="2" t="s">
        <v>14</v>
      </c>
      <c r="I1025" s="2" t="s">
        <v>15</v>
      </c>
      <c r="J1025" s="2" t="s">
        <v>15</v>
      </c>
    </row>
    <row r="1026" ht="15.75" customHeight="1">
      <c r="A1026" s="1" t="s">
        <v>2065</v>
      </c>
      <c r="B1026" s="1" t="s">
        <v>2066</v>
      </c>
      <c r="C1026" s="1" t="s">
        <v>12</v>
      </c>
      <c r="D1026" s="1" t="s">
        <v>2045</v>
      </c>
      <c r="E1026" s="4">
        <v>1011094.0</v>
      </c>
      <c r="F1026" s="2" t="s">
        <v>15</v>
      </c>
      <c r="G1026" s="2" t="s">
        <v>33</v>
      </c>
      <c r="H1026" s="2" t="s">
        <v>15</v>
      </c>
      <c r="I1026" s="2" t="s">
        <v>15</v>
      </c>
      <c r="J1026" s="2" t="s">
        <v>15</v>
      </c>
    </row>
    <row r="1027" ht="15.75" customHeight="1">
      <c r="A1027" s="1" t="s">
        <v>2067</v>
      </c>
      <c r="B1027" s="1" t="s">
        <v>2068</v>
      </c>
      <c r="C1027" s="1" t="s">
        <v>12</v>
      </c>
      <c r="D1027" s="1" t="s">
        <v>2045</v>
      </c>
      <c r="E1027" s="4">
        <v>1011094.0</v>
      </c>
      <c r="F1027" s="2" t="s">
        <v>36</v>
      </c>
      <c r="G1027" s="2" t="s">
        <v>1</v>
      </c>
      <c r="H1027" s="2" t="s">
        <v>37</v>
      </c>
      <c r="I1027" s="2" t="s">
        <v>15</v>
      </c>
      <c r="J1027" s="2" t="s">
        <v>15</v>
      </c>
    </row>
    <row r="1028" ht="15.75" customHeight="1">
      <c r="A1028" s="1" t="s">
        <v>2069</v>
      </c>
      <c r="B1028" s="1" t="s">
        <v>2070</v>
      </c>
      <c r="C1028" s="1" t="s">
        <v>12</v>
      </c>
      <c r="D1028" s="1" t="s">
        <v>2045</v>
      </c>
      <c r="E1028" s="4">
        <v>1011094.0</v>
      </c>
      <c r="F1028" s="2">
        <v>4.0</v>
      </c>
      <c r="G1028" s="2" t="s">
        <v>1</v>
      </c>
      <c r="H1028" s="2" t="s">
        <v>37</v>
      </c>
      <c r="I1028" s="2" t="s">
        <v>15</v>
      </c>
      <c r="J1028" s="2" t="s">
        <v>15</v>
      </c>
    </row>
    <row r="1029" ht="15.75" customHeight="1">
      <c r="A1029" s="1" t="s">
        <v>2071</v>
      </c>
      <c r="B1029" s="1" t="s">
        <v>2072</v>
      </c>
      <c r="C1029" s="1" t="s">
        <v>12</v>
      </c>
      <c r="D1029" s="1" t="s">
        <v>2045</v>
      </c>
      <c r="E1029" s="4">
        <v>1011094.0</v>
      </c>
      <c r="F1029" s="2">
        <v>5.0</v>
      </c>
      <c r="G1029" s="2" t="s">
        <v>1</v>
      </c>
      <c r="H1029" s="2" t="s">
        <v>37</v>
      </c>
      <c r="I1029" s="2" t="s">
        <v>15</v>
      </c>
      <c r="J1029" s="2" t="s">
        <v>15</v>
      </c>
    </row>
    <row r="1030" ht="15.75" customHeight="1">
      <c r="A1030" s="1" t="s">
        <v>2073</v>
      </c>
      <c r="B1030" s="1" t="s">
        <v>2074</v>
      </c>
      <c r="C1030" s="1" t="s">
        <v>12</v>
      </c>
      <c r="D1030" s="1" t="s">
        <v>2045</v>
      </c>
      <c r="E1030" s="4">
        <v>1011094.0</v>
      </c>
      <c r="F1030" s="2" t="s">
        <v>30</v>
      </c>
      <c r="G1030" s="2" t="s">
        <v>1</v>
      </c>
      <c r="H1030" s="2" t="s">
        <v>37</v>
      </c>
      <c r="I1030" s="2" t="s">
        <v>15</v>
      </c>
      <c r="J1030" s="2" t="s">
        <v>15</v>
      </c>
    </row>
    <row r="1031" ht="15.75" customHeight="1">
      <c r="A1031" s="1" t="s">
        <v>2075</v>
      </c>
      <c r="B1031" s="3" t="s">
        <v>2076</v>
      </c>
      <c r="C1031" s="1" t="s">
        <v>12</v>
      </c>
      <c r="D1031" s="1" t="s">
        <v>2077</v>
      </c>
      <c r="E1031" s="4">
        <v>1011158.0</v>
      </c>
      <c r="F1031" s="2">
        <v>1.0</v>
      </c>
      <c r="G1031" s="2" t="s">
        <v>1</v>
      </c>
      <c r="H1031" s="2" t="s">
        <v>14</v>
      </c>
      <c r="I1031" s="2" t="s">
        <v>15</v>
      </c>
      <c r="J1031" s="2" t="s">
        <v>15</v>
      </c>
    </row>
    <row r="1032" ht="15.75" customHeight="1">
      <c r="A1032" s="1" t="s">
        <v>2078</v>
      </c>
      <c r="B1032" s="1" t="s">
        <v>2079</v>
      </c>
      <c r="C1032" s="1" t="s">
        <v>12</v>
      </c>
      <c r="D1032" s="1" t="s">
        <v>2077</v>
      </c>
      <c r="E1032" s="4">
        <v>1011158.0</v>
      </c>
      <c r="F1032" s="2">
        <v>1.0</v>
      </c>
      <c r="G1032" s="2" t="s">
        <v>1</v>
      </c>
      <c r="H1032" s="2" t="s">
        <v>18</v>
      </c>
      <c r="I1032" s="2" t="s">
        <v>15</v>
      </c>
      <c r="J1032" s="2" t="s">
        <v>15</v>
      </c>
    </row>
    <row r="1033" ht="15.75" customHeight="1">
      <c r="A1033" s="1" t="s">
        <v>2080</v>
      </c>
      <c r="B1033" s="1" t="s">
        <v>2081</v>
      </c>
      <c r="C1033" s="1" t="s">
        <v>12</v>
      </c>
      <c r="D1033" s="1" t="s">
        <v>2077</v>
      </c>
      <c r="E1033" s="4">
        <v>1011158.0</v>
      </c>
      <c r="F1033" s="2">
        <v>1.0</v>
      </c>
      <c r="G1033" s="2" t="s">
        <v>1</v>
      </c>
      <c r="H1033" s="2" t="s">
        <v>21</v>
      </c>
      <c r="I1033" s="2" t="s">
        <v>15</v>
      </c>
      <c r="J1033" s="2" t="s">
        <v>15</v>
      </c>
    </row>
    <row r="1034" ht="15.75" customHeight="1">
      <c r="A1034" s="1" t="s">
        <v>2082</v>
      </c>
      <c r="B1034" s="1" t="s">
        <v>2083</v>
      </c>
      <c r="C1034" s="1" t="s">
        <v>12</v>
      </c>
      <c r="D1034" s="1" t="s">
        <v>2077</v>
      </c>
      <c r="E1034" s="4">
        <v>1011158.0</v>
      </c>
      <c r="F1034" s="2">
        <v>2.0</v>
      </c>
      <c r="G1034" s="2" t="s">
        <v>1</v>
      </c>
      <c r="H1034" s="2" t="s">
        <v>14</v>
      </c>
      <c r="I1034" s="2" t="s">
        <v>15</v>
      </c>
      <c r="J1034" s="2" t="s">
        <v>15</v>
      </c>
    </row>
    <row r="1035" ht="15.75" customHeight="1">
      <c r="A1035" s="1" t="s">
        <v>2084</v>
      </c>
      <c r="B1035" s="1" t="s">
        <v>2085</v>
      </c>
      <c r="C1035" s="1" t="s">
        <v>12</v>
      </c>
      <c r="D1035" s="1" t="s">
        <v>2077</v>
      </c>
      <c r="E1035" s="4">
        <v>1011158.0</v>
      </c>
      <c r="F1035" s="2">
        <v>2.0</v>
      </c>
      <c r="G1035" s="2" t="s">
        <v>1</v>
      </c>
      <c r="H1035" s="2" t="s">
        <v>18</v>
      </c>
      <c r="I1035" s="2" t="s">
        <v>15</v>
      </c>
      <c r="J1035" s="2" t="s">
        <v>15</v>
      </c>
    </row>
    <row r="1036" ht="15.75" customHeight="1">
      <c r="A1036" s="1" t="s">
        <v>2086</v>
      </c>
      <c r="B1036" s="1" t="s">
        <v>2087</v>
      </c>
      <c r="C1036" s="1" t="s">
        <v>12</v>
      </c>
      <c r="D1036" s="1" t="s">
        <v>2077</v>
      </c>
      <c r="E1036" s="4">
        <v>1011158.0</v>
      </c>
      <c r="F1036" s="2">
        <v>2.0</v>
      </c>
      <c r="G1036" s="2" t="s">
        <v>1</v>
      </c>
      <c r="H1036" s="2" t="s">
        <v>21</v>
      </c>
      <c r="I1036" s="2" t="s">
        <v>15</v>
      </c>
      <c r="J1036" s="2" t="s">
        <v>15</v>
      </c>
    </row>
    <row r="1037" ht="15.75" customHeight="1">
      <c r="A1037" s="1" t="s">
        <v>2088</v>
      </c>
      <c r="B1037" s="1" t="s">
        <v>2089</v>
      </c>
      <c r="C1037" s="1" t="s">
        <v>12</v>
      </c>
      <c r="D1037" s="1" t="s">
        <v>2077</v>
      </c>
      <c r="E1037" s="4">
        <v>1011158.0</v>
      </c>
      <c r="F1037" s="2">
        <v>3.0</v>
      </c>
      <c r="G1037" s="2" t="s">
        <v>1</v>
      </c>
      <c r="H1037" s="2" t="s">
        <v>14</v>
      </c>
      <c r="I1037" s="2" t="s">
        <v>15</v>
      </c>
      <c r="J1037" s="2" t="s">
        <v>15</v>
      </c>
    </row>
    <row r="1038" ht="15.75" customHeight="1">
      <c r="A1038" s="1" t="s">
        <v>2090</v>
      </c>
      <c r="B1038" s="1" t="s">
        <v>2091</v>
      </c>
      <c r="C1038" s="1" t="s">
        <v>12</v>
      </c>
      <c r="D1038" s="1" t="s">
        <v>2077</v>
      </c>
      <c r="E1038" s="4">
        <v>1011158.0</v>
      </c>
      <c r="F1038" s="2">
        <v>3.0</v>
      </c>
      <c r="G1038" s="2" t="s">
        <v>1</v>
      </c>
      <c r="H1038" s="2" t="s">
        <v>18</v>
      </c>
      <c r="I1038" s="2" t="s">
        <v>15</v>
      </c>
      <c r="J1038" s="2" t="s">
        <v>15</v>
      </c>
    </row>
    <row r="1039" ht="15.75" customHeight="1">
      <c r="A1039" s="1" t="s">
        <v>2092</v>
      </c>
      <c r="B1039" s="1" t="s">
        <v>2093</v>
      </c>
      <c r="C1039" s="1" t="s">
        <v>12</v>
      </c>
      <c r="D1039" s="1" t="s">
        <v>2077</v>
      </c>
      <c r="E1039" s="4">
        <v>1011158.0</v>
      </c>
      <c r="F1039" s="2">
        <v>3.0</v>
      </c>
      <c r="G1039" s="2" t="s">
        <v>1</v>
      </c>
      <c r="H1039" s="2" t="s">
        <v>21</v>
      </c>
      <c r="I1039" s="2" t="s">
        <v>15</v>
      </c>
      <c r="J1039" s="2" t="s">
        <v>15</v>
      </c>
    </row>
    <row r="1040" ht="15.75" customHeight="1">
      <c r="A1040" s="1" t="s">
        <v>2094</v>
      </c>
      <c r="B1040" s="1" t="s">
        <v>2095</v>
      </c>
      <c r="C1040" s="1" t="s">
        <v>12</v>
      </c>
      <c r="D1040" s="1" t="s">
        <v>2077</v>
      </c>
      <c r="E1040" s="4">
        <v>1011158.0</v>
      </c>
      <c r="F1040" s="2">
        <v>4.0</v>
      </c>
      <c r="G1040" s="2" t="s">
        <v>1</v>
      </c>
      <c r="H1040" s="2" t="s">
        <v>14</v>
      </c>
      <c r="I1040" s="2" t="s">
        <v>15</v>
      </c>
      <c r="J1040" s="2" t="s">
        <v>15</v>
      </c>
    </row>
    <row r="1041" ht="15.75" customHeight="1">
      <c r="A1041" s="1" t="s">
        <v>2096</v>
      </c>
      <c r="B1041" s="1" t="s">
        <v>2097</v>
      </c>
      <c r="C1041" s="1" t="s">
        <v>12</v>
      </c>
      <c r="D1041" s="1" t="s">
        <v>2077</v>
      </c>
      <c r="E1041" s="4">
        <v>1011158.0</v>
      </c>
      <c r="F1041" s="2">
        <v>4.0</v>
      </c>
      <c r="G1041" s="2" t="s">
        <v>1</v>
      </c>
      <c r="H1041" s="2" t="s">
        <v>18</v>
      </c>
      <c r="I1041" s="2" t="s">
        <v>15</v>
      </c>
      <c r="J1041" s="2" t="s">
        <v>15</v>
      </c>
    </row>
    <row r="1042" ht="15.75" customHeight="1">
      <c r="A1042" s="1" t="s">
        <v>2098</v>
      </c>
      <c r="B1042" s="1" t="s">
        <v>2099</v>
      </c>
      <c r="C1042" s="1" t="s">
        <v>12</v>
      </c>
      <c r="D1042" s="1" t="s">
        <v>2077</v>
      </c>
      <c r="E1042" s="4">
        <v>1011158.0</v>
      </c>
      <c r="F1042" s="2">
        <v>4.0</v>
      </c>
      <c r="G1042" s="2" t="s">
        <v>1</v>
      </c>
      <c r="H1042" s="2" t="s">
        <v>21</v>
      </c>
      <c r="I1042" s="2" t="s">
        <v>15</v>
      </c>
      <c r="J1042" s="2" t="s">
        <v>15</v>
      </c>
    </row>
    <row r="1043" ht="15.75" customHeight="1">
      <c r="A1043" s="1" t="s">
        <v>2100</v>
      </c>
      <c r="B1043" s="1" t="s">
        <v>2101</v>
      </c>
      <c r="C1043" s="1" t="s">
        <v>12</v>
      </c>
      <c r="D1043" s="1" t="s">
        <v>2077</v>
      </c>
      <c r="E1043" s="4">
        <v>1011158.0</v>
      </c>
      <c r="F1043" s="2">
        <v>5.0</v>
      </c>
      <c r="G1043" s="2" t="s">
        <v>1</v>
      </c>
      <c r="H1043" s="2" t="s">
        <v>14</v>
      </c>
      <c r="I1043" s="2" t="s">
        <v>15</v>
      </c>
      <c r="J1043" s="2" t="s">
        <v>15</v>
      </c>
    </row>
    <row r="1044" ht="15.75" customHeight="1">
      <c r="A1044" s="1" t="s">
        <v>2102</v>
      </c>
      <c r="B1044" s="1" t="s">
        <v>2103</v>
      </c>
      <c r="C1044" s="1" t="s">
        <v>12</v>
      </c>
      <c r="D1044" s="1" t="s">
        <v>2077</v>
      </c>
      <c r="E1044" s="4">
        <v>1011158.0</v>
      </c>
      <c r="F1044" s="2">
        <v>5.0</v>
      </c>
      <c r="G1044" s="2" t="s">
        <v>1</v>
      </c>
      <c r="H1044" s="2" t="s">
        <v>18</v>
      </c>
      <c r="I1044" s="2" t="s">
        <v>15</v>
      </c>
      <c r="J1044" s="2" t="s">
        <v>15</v>
      </c>
    </row>
    <row r="1045" ht="15.75" customHeight="1">
      <c r="A1045" s="1" t="s">
        <v>2104</v>
      </c>
      <c r="B1045" s="1" t="s">
        <v>2105</v>
      </c>
      <c r="C1045" s="1" t="s">
        <v>12</v>
      </c>
      <c r="D1045" s="1" t="s">
        <v>2077</v>
      </c>
      <c r="E1045" s="4">
        <v>1011158.0</v>
      </c>
      <c r="F1045" s="2">
        <v>5.0</v>
      </c>
      <c r="G1045" s="2" t="s">
        <v>1</v>
      </c>
      <c r="H1045" s="2" t="s">
        <v>21</v>
      </c>
      <c r="I1045" s="2" t="s">
        <v>15</v>
      </c>
      <c r="J1045" s="2" t="s">
        <v>15</v>
      </c>
    </row>
    <row r="1046" ht="15.75" customHeight="1">
      <c r="A1046" s="1" t="s">
        <v>2106</v>
      </c>
      <c r="B1046" s="1" t="s">
        <v>2107</v>
      </c>
      <c r="C1046" s="1" t="s">
        <v>12</v>
      </c>
      <c r="D1046" s="1" t="s">
        <v>2077</v>
      </c>
      <c r="E1046" s="4">
        <v>1011158.0</v>
      </c>
      <c r="F1046" s="2" t="s">
        <v>381</v>
      </c>
      <c r="G1046" s="2" t="s">
        <v>1</v>
      </c>
      <c r="H1046" s="2" t="s">
        <v>14</v>
      </c>
      <c r="I1046" s="2" t="s">
        <v>15</v>
      </c>
      <c r="J1046" s="2" t="s">
        <v>15</v>
      </c>
    </row>
    <row r="1047" ht="15.75" customHeight="1">
      <c r="A1047" s="1" t="s">
        <v>2108</v>
      </c>
      <c r="B1047" s="1" t="s">
        <v>2109</v>
      </c>
      <c r="C1047" s="1" t="s">
        <v>12</v>
      </c>
      <c r="D1047" s="1" t="s">
        <v>2077</v>
      </c>
      <c r="E1047" s="4">
        <v>1011158.0</v>
      </c>
      <c r="F1047" s="2" t="s">
        <v>381</v>
      </c>
      <c r="G1047" s="2" t="s">
        <v>1</v>
      </c>
      <c r="H1047" s="2" t="s">
        <v>18</v>
      </c>
      <c r="I1047" s="2" t="s">
        <v>15</v>
      </c>
      <c r="J1047" s="2" t="s">
        <v>15</v>
      </c>
    </row>
    <row r="1048" ht="15.75" customHeight="1">
      <c r="A1048" s="1" t="s">
        <v>2110</v>
      </c>
      <c r="B1048" s="1" t="s">
        <v>2111</v>
      </c>
      <c r="C1048" s="1" t="s">
        <v>12</v>
      </c>
      <c r="D1048" s="1" t="s">
        <v>2077</v>
      </c>
      <c r="E1048" s="4">
        <v>1011158.0</v>
      </c>
      <c r="F1048" s="2" t="s">
        <v>381</v>
      </c>
      <c r="G1048" s="2" t="s">
        <v>1</v>
      </c>
      <c r="H1048" s="2" t="s">
        <v>21</v>
      </c>
      <c r="I1048" s="2" t="s">
        <v>15</v>
      </c>
      <c r="J1048" s="2" t="s">
        <v>15</v>
      </c>
    </row>
    <row r="1049" ht="15.75" customHeight="1">
      <c r="A1049" s="1" t="s">
        <v>2112</v>
      </c>
      <c r="B1049" s="1" t="s">
        <v>2113</v>
      </c>
      <c r="C1049" s="1" t="s">
        <v>12</v>
      </c>
      <c r="D1049" s="1" t="s">
        <v>2077</v>
      </c>
      <c r="E1049" s="4">
        <v>1011158.0</v>
      </c>
      <c r="F1049" s="2" t="s">
        <v>30</v>
      </c>
      <c r="G1049" s="2" t="s">
        <v>1</v>
      </c>
      <c r="H1049" s="2" t="s">
        <v>14</v>
      </c>
      <c r="I1049" s="2" t="s">
        <v>15</v>
      </c>
      <c r="J1049" s="2" t="s">
        <v>15</v>
      </c>
    </row>
    <row r="1050" ht="15.75" customHeight="1">
      <c r="A1050" s="1" t="s">
        <v>2114</v>
      </c>
      <c r="B1050" s="1" t="s">
        <v>2115</v>
      </c>
      <c r="C1050" s="1" t="s">
        <v>12</v>
      </c>
      <c r="D1050" s="1" t="s">
        <v>2077</v>
      </c>
      <c r="E1050" s="4">
        <v>1011158.0</v>
      </c>
      <c r="F1050" s="2" t="s">
        <v>15</v>
      </c>
      <c r="G1050" s="2" t="s">
        <v>33</v>
      </c>
      <c r="H1050" s="2" t="s">
        <v>15</v>
      </c>
      <c r="I1050" s="2" t="s">
        <v>15</v>
      </c>
      <c r="J1050" s="2" t="s">
        <v>15</v>
      </c>
    </row>
    <row r="1051" ht="15.75" customHeight="1">
      <c r="A1051" s="1" t="s">
        <v>2116</v>
      </c>
      <c r="B1051" s="1" t="s">
        <v>2117</v>
      </c>
      <c r="C1051" s="1" t="s">
        <v>12</v>
      </c>
      <c r="D1051" s="1" t="s">
        <v>2077</v>
      </c>
      <c r="E1051" s="4">
        <v>1011158.0</v>
      </c>
      <c r="F1051" s="2">
        <v>1.0</v>
      </c>
      <c r="G1051" s="2" t="s">
        <v>1</v>
      </c>
      <c r="H1051" s="2" t="s">
        <v>37</v>
      </c>
      <c r="I1051" s="2" t="s">
        <v>15</v>
      </c>
      <c r="J1051" s="2" t="s">
        <v>15</v>
      </c>
    </row>
    <row r="1052" ht="15.75" customHeight="1">
      <c r="A1052" s="1" t="s">
        <v>2118</v>
      </c>
      <c r="B1052" s="1" t="s">
        <v>2119</v>
      </c>
      <c r="C1052" s="1" t="s">
        <v>12</v>
      </c>
      <c r="D1052" s="1" t="s">
        <v>2077</v>
      </c>
      <c r="E1052" s="4">
        <v>1011158.0</v>
      </c>
      <c r="F1052" s="2">
        <v>2.0</v>
      </c>
      <c r="G1052" s="2" t="s">
        <v>1</v>
      </c>
      <c r="H1052" s="2" t="s">
        <v>37</v>
      </c>
      <c r="I1052" s="2" t="s">
        <v>15</v>
      </c>
      <c r="J1052" s="2" t="s">
        <v>15</v>
      </c>
    </row>
    <row r="1053" ht="15.75" customHeight="1">
      <c r="A1053" s="1" t="s">
        <v>2120</v>
      </c>
      <c r="B1053" s="1" t="s">
        <v>2121</v>
      </c>
      <c r="C1053" s="1" t="s">
        <v>12</v>
      </c>
      <c r="D1053" s="1" t="s">
        <v>2077</v>
      </c>
      <c r="E1053" s="4">
        <v>1011158.0</v>
      </c>
      <c r="F1053" s="2">
        <v>3.0</v>
      </c>
      <c r="G1053" s="2" t="s">
        <v>1</v>
      </c>
      <c r="H1053" s="2" t="s">
        <v>37</v>
      </c>
      <c r="I1053" s="2" t="s">
        <v>15</v>
      </c>
      <c r="J1053" s="2" t="s">
        <v>15</v>
      </c>
    </row>
    <row r="1054" ht="15.75" customHeight="1">
      <c r="A1054" s="1" t="s">
        <v>2122</v>
      </c>
      <c r="B1054" s="1" t="s">
        <v>2123</v>
      </c>
      <c r="C1054" s="1" t="s">
        <v>12</v>
      </c>
      <c r="D1054" s="1" t="s">
        <v>2077</v>
      </c>
      <c r="E1054" s="4">
        <v>1011158.0</v>
      </c>
      <c r="F1054" s="2">
        <v>4.0</v>
      </c>
      <c r="G1054" s="2" t="s">
        <v>1</v>
      </c>
      <c r="H1054" s="2" t="s">
        <v>37</v>
      </c>
      <c r="I1054" s="2" t="s">
        <v>15</v>
      </c>
      <c r="J1054" s="2" t="s">
        <v>15</v>
      </c>
    </row>
    <row r="1055" ht="15.75" customHeight="1">
      <c r="A1055" s="1" t="s">
        <v>2124</v>
      </c>
      <c r="B1055" s="1" t="s">
        <v>2125</v>
      </c>
      <c r="C1055" s="1" t="s">
        <v>12</v>
      </c>
      <c r="D1055" s="1" t="s">
        <v>2077</v>
      </c>
      <c r="E1055" s="4">
        <v>1011158.0</v>
      </c>
      <c r="F1055" s="2">
        <v>5.0</v>
      </c>
      <c r="G1055" s="2" t="s">
        <v>1</v>
      </c>
      <c r="H1055" s="2" t="s">
        <v>37</v>
      </c>
      <c r="I1055" s="2" t="s">
        <v>15</v>
      </c>
      <c r="J1055" s="2" t="s">
        <v>15</v>
      </c>
    </row>
    <row r="1056" ht="15.75" customHeight="1">
      <c r="A1056" s="1" t="s">
        <v>2126</v>
      </c>
      <c r="B1056" s="1" t="s">
        <v>2127</v>
      </c>
      <c r="C1056" s="1" t="s">
        <v>12</v>
      </c>
      <c r="D1056" s="1" t="s">
        <v>2077</v>
      </c>
      <c r="E1056" s="4">
        <v>1011158.0</v>
      </c>
      <c r="F1056" s="2" t="s">
        <v>381</v>
      </c>
      <c r="G1056" s="2" t="s">
        <v>1</v>
      </c>
      <c r="H1056" s="2" t="s">
        <v>37</v>
      </c>
      <c r="I1056" s="2" t="s">
        <v>15</v>
      </c>
      <c r="J1056" s="2" t="s">
        <v>15</v>
      </c>
    </row>
    <row r="1057" ht="15.75" customHeight="1">
      <c r="A1057" s="1" t="s">
        <v>2128</v>
      </c>
      <c r="B1057" s="1" t="s">
        <v>2129</v>
      </c>
      <c r="C1057" s="1" t="s">
        <v>12</v>
      </c>
      <c r="D1057" s="1" t="s">
        <v>2077</v>
      </c>
      <c r="E1057" s="4">
        <v>1011158.0</v>
      </c>
      <c r="F1057" s="2" t="s">
        <v>30</v>
      </c>
      <c r="G1057" s="2" t="s">
        <v>1</v>
      </c>
      <c r="H1057" s="2" t="s">
        <v>37</v>
      </c>
      <c r="I1057" s="2" t="s">
        <v>15</v>
      </c>
      <c r="J1057" s="2" t="s">
        <v>15</v>
      </c>
    </row>
    <row r="1058" ht="15.75" customHeight="1">
      <c r="A1058" s="1" t="s">
        <v>2130</v>
      </c>
      <c r="B1058" s="1" t="s">
        <v>2131</v>
      </c>
      <c r="C1058" s="1" t="s">
        <v>12</v>
      </c>
      <c r="D1058" s="1" t="s">
        <v>2132</v>
      </c>
      <c r="E1058" s="4">
        <v>1011222.0</v>
      </c>
      <c r="F1058" s="2">
        <v>1.0</v>
      </c>
      <c r="G1058" s="2" t="s">
        <v>1</v>
      </c>
      <c r="H1058" s="2" t="s">
        <v>14</v>
      </c>
      <c r="I1058" s="2" t="s">
        <v>15</v>
      </c>
      <c r="J1058" s="2" t="s">
        <v>15</v>
      </c>
    </row>
    <row r="1059" ht="15.75" customHeight="1">
      <c r="A1059" s="1" t="s">
        <v>2133</v>
      </c>
      <c r="B1059" s="1" t="s">
        <v>2134</v>
      </c>
      <c r="C1059" s="1" t="s">
        <v>12</v>
      </c>
      <c r="D1059" s="1" t="s">
        <v>2132</v>
      </c>
      <c r="E1059" s="4">
        <v>1011222.0</v>
      </c>
      <c r="F1059" s="2">
        <v>1.0</v>
      </c>
      <c r="G1059" s="2" t="s">
        <v>1</v>
      </c>
      <c r="H1059" s="2" t="s">
        <v>18</v>
      </c>
      <c r="I1059" s="2" t="s">
        <v>15</v>
      </c>
      <c r="J1059" s="2" t="s">
        <v>15</v>
      </c>
    </row>
    <row r="1060" ht="15.75" customHeight="1">
      <c r="A1060" s="1" t="s">
        <v>2135</v>
      </c>
      <c r="B1060" s="1" t="s">
        <v>2136</v>
      </c>
      <c r="C1060" s="1" t="s">
        <v>12</v>
      </c>
      <c r="D1060" s="1" t="s">
        <v>2132</v>
      </c>
      <c r="E1060" s="4">
        <v>1011222.0</v>
      </c>
      <c r="F1060" s="2">
        <v>2.0</v>
      </c>
      <c r="G1060" s="2" t="s">
        <v>1</v>
      </c>
      <c r="H1060" s="2" t="s">
        <v>14</v>
      </c>
      <c r="I1060" s="2" t="s">
        <v>15</v>
      </c>
      <c r="J1060" s="2" t="s">
        <v>15</v>
      </c>
    </row>
    <row r="1061" ht="15.75" customHeight="1">
      <c r="A1061" s="1" t="s">
        <v>2137</v>
      </c>
      <c r="B1061" s="1" t="s">
        <v>2138</v>
      </c>
      <c r="C1061" s="1" t="s">
        <v>12</v>
      </c>
      <c r="D1061" s="1" t="s">
        <v>2132</v>
      </c>
      <c r="E1061" s="4">
        <v>1011222.0</v>
      </c>
      <c r="F1061" s="2">
        <v>2.0</v>
      </c>
      <c r="G1061" s="2" t="s">
        <v>1</v>
      </c>
      <c r="H1061" s="2" t="s">
        <v>18</v>
      </c>
      <c r="I1061" s="2" t="s">
        <v>15</v>
      </c>
      <c r="J1061" s="2" t="s">
        <v>15</v>
      </c>
    </row>
    <row r="1062" ht="15.75" customHeight="1">
      <c r="A1062" s="1" t="s">
        <v>2139</v>
      </c>
      <c r="B1062" s="1" t="s">
        <v>2140</v>
      </c>
      <c r="C1062" s="1" t="s">
        <v>12</v>
      </c>
      <c r="D1062" s="1" t="s">
        <v>2132</v>
      </c>
      <c r="E1062" s="4">
        <v>1011222.0</v>
      </c>
      <c r="F1062" s="2" t="s">
        <v>30</v>
      </c>
      <c r="G1062" s="2" t="s">
        <v>1</v>
      </c>
      <c r="H1062" s="2" t="s">
        <v>14</v>
      </c>
      <c r="I1062" s="2" t="s">
        <v>15</v>
      </c>
      <c r="J1062" s="2" t="s">
        <v>15</v>
      </c>
    </row>
    <row r="1063" ht="15.75" customHeight="1">
      <c r="A1063" s="1" t="s">
        <v>2141</v>
      </c>
      <c r="B1063" s="1" t="s">
        <v>2142</v>
      </c>
      <c r="C1063" s="1" t="s">
        <v>12</v>
      </c>
      <c r="D1063" s="1" t="s">
        <v>2132</v>
      </c>
      <c r="E1063" s="4">
        <v>1011222.0</v>
      </c>
      <c r="F1063" s="2" t="s">
        <v>15</v>
      </c>
      <c r="G1063" s="2" t="s">
        <v>33</v>
      </c>
      <c r="H1063" s="2" t="s">
        <v>15</v>
      </c>
      <c r="I1063" s="2" t="s">
        <v>15</v>
      </c>
      <c r="J1063" s="2" t="s">
        <v>15</v>
      </c>
    </row>
    <row r="1064" ht="15.75" customHeight="1">
      <c r="A1064" s="1" t="s">
        <v>2143</v>
      </c>
      <c r="B1064" s="1" t="s">
        <v>2144</v>
      </c>
      <c r="C1064" s="1" t="s">
        <v>12</v>
      </c>
      <c r="D1064" s="1" t="s">
        <v>2145</v>
      </c>
      <c r="E1064" s="4">
        <v>1011286.0</v>
      </c>
      <c r="F1064" s="2">
        <v>1.0</v>
      </c>
      <c r="G1064" s="2" t="s">
        <v>1</v>
      </c>
      <c r="H1064" s="2" t="s">
        <v>14</v>
      </c>
      <c r="I1064" s="2" t="s">
        <v>15</v>
      </c>
      <c r="J1064" s="2" t="s">
        <v>15</v>
      </c>
    </row>
    <row r="1065" ht="15.75" customHeight="1">
      <c r="A1065" s="1" t="s">
        <v>2146</v>
      </c>
      <c r="B1065" s="1" t="s">
        <v>2147</v>
      </c>
      <c r="C1065" s="1" t="s">
        <v>12</v>
      </c>
      <c r="D1065" s="1" t="s">
        <v>2145</v>
      </c>
      <c r="E1065" s="4">
        <v>1011286.0</v>
      </c>
      <c r="F1065" s="2">
        <v>1.0</v>
      </c>
      <c r="G1065" s="2" t="s">
        <v>1</v>
      </c>
      <c r="H1065" s="2" t="s">
        <v>18</v>
      </c>
      <c r="I1065" s="2" t="s">
        <v>15</v>
      </c>
      <c r="J1065" s="2" t="s">
        <v>15</v>
      </c>
    </row>
    <row r="1066" ht="15.75" customHeight="1">
      <c r="A1066" s="1" t="s">
        <v>2148</v>
      </c>
      <c r="B1066" s="1" t="s">
        <v>2149</v>
      </c>
      <c r="C1066" s="1" t="s">
        <v>12</v>
      </c>
      <c r="D1066" s="1" t="s">
        <v>2145</v>
      </c>
      <c r="E1066" s="4">
        <v>1011286.0</v>
      </c>
      <c r="F1066" s="2">
        <v>2.0</v>
      </c>
      <c r="G1066" s="2" t="s">
        <v>1</v>
      </c>
      <c r="H1066" s="2" t="s">
        <v>14</v>
      </c>
      <c r="I1066" s="2" t="s">
        <v>15</v>
      </c>
      <c r="J1066" s="2" t="s">
        <v>15</v>
      </c>
    </row>
    <row r="1067" ht="15.75" customHeight="1">
      <c r="A1067" s="1" t="s">
        <v>2150</v>
      </c>
      <c r="B1067" s="1" t="s">
        <v>2151</v>
      </c>
      <c r="C1067" s="1" t="s">
        <v>12</v>
      </c>
      <c r="D1067" s="1" t="s">
        <v>2145</v>
      </c>
      <c r="E1067" s="4">
        <v>1011286.0</v>
      </c>
      <c r="F1067" s="2">
        <v>2.0</v>
      </c>
      <c r="G1067" s="2" t="s">
        <v>1</v>
      </c>
      <c r="H1067" s="2" t="s">
        <v>18</v>
      </c>
      <c r="I1067" s="2" t="s">
        <v>15</v>
      </c>
      <c r="J1067" s="2" t="s">
        <v>15</v>
      </c>
    </row>
    <row r="1068" ht="15.75" customHeight="1">
      <c r="A1068" s="1" t="s">
        <v>2152</v>
      </c>
      <c r="B1068" s="1" t="s">
        <v>2153</v>
      </c>
      <c r="C1068" s="1" t="s">
        <v>12</v>
      </c>
      <c r="D1068" s="1" t="s">
        <v>2145</v>
      </c>
      <c r="E1068" s="4">
        <v>1011286.0</v>
      </c>
      <c r="F1068" s="2">
        <v>3.0</v>
      </c>
      <c r="G1068" s="2" t="s">
        <v>1</v>
      </c>
      <c r="H1068" s="2" t="s">
        <v>14</v>
      </c>
      <c r="I1068" s="2" t="s">
        <v>15</v>
      </c>
      <c r="J1068" s="2" t="s">
        <v>15</v>
      </c>
    </row>
    <row r="1069" ht="15.75" customHeight="1">
      <c r="A1069" s="1" t="s">
        <v>2154</v>
      </c>
      <c r="B1069" s="1" t="s">
        <v>2155</v>
      </c>
      <c r="C1069" s="1" t="s">
        <v>12</v>
      </c>
      <c r="D1069" s="1" t="s">
        <v>2145</v>
      </c>
      <c r="E1069" s="4">
        <v>1011286.0</v>
      </c>
      <c r="F1069" s="2">
        <v>3.0</v>
      </c>
      <c r="G1069" s="2" t="s">
        <v>1</v>
      </c>
      <c r="H1069" s="2" t="s">
        <v>18</v>
      </c>
      <c r="I1069" s="2" t="s">
        <v>15</v>
      </c>
      <c r="J1069" s="2" t="s">
        <v>15</v>
      </c>
    </row>
    <row r="1070" ht="15.75" customHeight="1">
      <c r="A1070" s="1" t="s">
        <v>2156</v>
      </c>
      <c r="B1070" s="1" t="s">
        <v>2157</v>
      </c>
      <c r="C1070" s="1" t="s">
        <v>12</v>
      </c>
      <c r="D1070" s="1" t="s">
        <v>2145</v>
      </c>
      <c r="E1070" s="4">
        <v>1011286.0</v>
      </c>
      <c r="F1070" s="2">
        <v>4.0</v>
      </c>
      <c r="G1070" s="2" t="s">
        <v>1</v>
      </c>
      <c r="H1070" s="2" t="s">
        <v>14</v>
      </c>
      <c r="I1070" s="2" t="s">
        <v>15</v>
      </c>
      <c r="J1070" s="2" t="s">
        <v>15</v>
      </c>
    </row>
    <row r="1071" ht="15.75" customHeight="1">
      <c r="A1071" s="1" t="s">
        <v>2158</v>
      </c>
      <c r="B1071" s="1" t="s">
        <v>2159</v>
      </c>
      <c r="C1071" s="1" t="s">
        <v>12</v>
      </c>
      <c r="D1071" s="1" t="s">
        <v>2145</v>
      </c>
      <c r="E1071" s="4">
        <v>1011286.0</v>
      </c>
      <c r="F1071" s="2">
        <v>4.0</v>
      </c>
      <c r="G1071" s="2" t="s">
        <v>1</v>
      </c>
      <c r="H1071" s="2" t="s">
        <v>18</v>
      </c>
      <c r="I1071" s="2" t="s">
        <v>15</v>
      </c>
      <c r="J1071" s="2" t="s">
        <v>15</v>
      </c>
    </row>
    <row r="1072" ht="15.75" customHeight="1">
      <c r="A1072" s="1" t="s">
        <v>2160</v>
      </c>
      <c r="B1072" s="1" t="s">
        <v>2161</v>
      </c>
      <c r="C1072" s="1" t="s">
        <v>12</v>
      </c>
      <c r="D1072" s="1" t="s">
        <v>2145</v>
      </c>
      <c r="E1072" s="4">
        <v>1011286.0</v>
      </c>
      <c r="F1072" s="2" t="s">
        <v>30</v>
      </c>
      <c r="G1072" s="2" t="s">
        <v>1</v>
      </c>
      <c r="H1072" s="2" t="s">
        <v>14</v>
      </c>
      <c r="I1072" s="2" t="s">
        <v>15</v>
      </c>
      <c r="J1072" s="2" t="s">
        <v>15</v>
      </c>
    </row>
    <row r="1073" ht="15.75" customHeight="1">
      <c r="A1073" s="1" t="s">
        <v>2162</v>
      </c>
      <c r="B1073" s="1" t="s">
        <v>2163</v>
      </c>
      <c r="C1073" s="1" t="s">
        <v>12</v>
      </c>
      <c r="D1073" s="1" t="s">
        <v>2145</v>
      </c>
      <c r="E1073" s="4">
        <v>1011286.0</v>
      </c>
      <c r="F1073" s="2" t="s">
        <v>15</v>
      </c>
      <c r="G1073" s="2" t="s">
        <v>33</v>
      </c>
      <c r="H1073" s="2" t="s">
        <v>15</v>
      </c>
      <c r="I1073" s="2" t="s">
        <v>15</v>
      </c>
      <c r="J1073" s="2" t="s">
        <v>15</v>
      </c>
    </row>
    <row r="1074" ht="15.75" customHeight="1">
      <c r="A1074" s="1" t="s">
        <v>2164</v>
      </c>
      <c r="B1074" s="1" t="s">
        <v>2165</v>
      </c>
      <c r="C1074" s="1" t="s">
        <v>12</v>
      </c>
      <c r="D1074" s="1" t="s">
        <v>2166</v>
      </c>
      <c r="E1074" s="4">
        <v>1011350.0</v>
      </c>
      <c r="F1074" s="2">
        <v>1.0</v>
      </c>
      <c r="G1074" s="2" t="s">
        <v>1</v>
      </c>
      <c r="H1074" s="2" t="s">
        <v>14</v>
      </c>
      <c r="I1074" s="2" t="s">
        <v>15</v>
      </c>
      <c r="J1074" s="2" t="s">
        <v>15</v>
      </c>
    </row>
    <row r="1075" ht="15.75" customHeight="1">
      <c r="A1075" s="1" t="s">
        <v>2167</v>
      </c>
      <c r="B1075" s="1" t="s">
        <v>2168</v>
      </c>
      <c r="C1075" s="1" t="s">
        <v>12</v>
      </c>
      <c r="D1075" s="1" t="s">
        <v>2166</v>
      </c>
      <c r="E1075" s="4">
        <v>1011350.0</v>
      </c>
      <c r="F1075" s="2">
        <v>1.0</v>
      </c>
      <c r="G1075" s="2" t="s">
        <v>1</v>
      </c>
      <c r="H1075" s="2" t="s">
        <v>18</v>
      </c>
      <c r="I1075" s="2" t="s">
        <v>15</v>
      </c>
      <c r="J1075" s="2" t="s">
        <v>15</v>
      </c>
    </row>
    <row r="1076" ht="15.75" customHeight="1">
      <c r="A1076" s="1" t="s">
        <v>2169</v>
      </c>
      <c r="B1076" s="1" t="s">
        <v>2170</v>
      </c>
      <c r="C1076" s="1" t="s">
        <v>12</v>
      </c>
      <c r="D1076" s="1" t="s">
        <v>2166</v>
      </c>
      <c r="E1076" s="4">
        <v>1011350.0</v>
      </c>
      <c r="F1076" s="2">
        <v>2.0</v>
      </c>
      <c r="G1076" s="2" t="s">
        <v>1</v>
      </c>
      <c r="H1076" s="2" t="s">
        <v>14</v>
      </c>
      <c r="I1076" s="2" t="s">
        <v>15</v>
      </c>
      <c r="J1076" s="2" t="s">
        <v>15</v>
      </c>
    </row>
    <row r="1077" ht="15.75" customHeight="1">
      <c r="A1077" s="1" t="s">
        <v>2171</v>
      </c>
      <c r="B1077" s="1" t="s">
        <v>2172</v>
      </c>
      <c r="C1077" s="1" t="s">
        <v>12</v>
      </c>
      <c r="D1077" s="1" t="s">
        <v>2166</v>
      </c>
      <c r="E1077" s="4">
        <v>1011350.0</v>
      </c>
      <c r="F1077" s="2">
        <v>2.0</v>
      </c>
      <c r="G1077" s="2" t="s">
        <v>1</v>
      </c>
      <c r="H1077" s="2" t="s">
        <v>18</v>
      </c>
      <c r="I1077" s="2" t="s">
        <v>15</v>
      </c>
      <c r="J1077" s="2" t="s">
        <v>15</v>
      </c>
    </row>
    <row r="1078" ht="15.75" customHeight="1">
      <c r="A1078" s="1" t="s">
        <v>2173</v>
      </c>
      <c r="B1078" s="1" t="s">
        <v>2174</v>
      </c>
      <c r="C1078" s="1" t="s">
        <v>12</v>
      </c>
      <c r="D1078" s="1" t="s">
        <v>2166</v>
      </c>
      <c r="E1078" s="4">
        <v>1011350.0</v>
      </c>
      <c r="F1078" s="2" t="s">
        <v>30</v>
      </c>
      <c r="G1078" s="2" t="s">
        <v>1</v>
      </c>
      <c r="H1078" s="2" t="s">
        <v>14</v>
      </c>
      <c r="I1078" s="2" t="s">
        <v>15</v>
      </c>
      <c r="J1078" s="2" t="s">
        <v>15</v>
      </c>
    </row>
    <row r="1079" ht="15.75" customHeight="1">
      <c r="A1079" s="1" t="s">
        <v>2175</v>
      </c>
      <c r="B1079" s="1" t="s">
        <v>2176</v>
      </c>
      <c r="C1079" s="1" t="s">
        <v>12</v>
      </c>
      <c r="D1079" s="1" t="s">
        <v>2166</v>
      </c>
      <c r="E1079" s="4">
        <v>1011350.0</v>
      </c>
      <c r="F1079" s="2" t="s">
        <v>15</v>
      </c>
      <c r="G1079" s="2" t="s">
        <v>33</v>
      </c>
      <c r="H1079" s="2" t="s">
        <v>15</v>
      </c>
      <c r="I1079" s="2" t="s">
        <v>15</v>
      </c>
      <c r="J1079" s="2" t="s">
        <v>15</v>
      </c>
    </row>
    <row r="1080" ht="15.75" customHeight="1">
      <c r="A1080" s="1" t="s">
        <v>2177</v>
      </c>
      <c r="B1080" s="1" t="s">
        <v>2178</v>
      </c>
      <c r="C1080" s="1" t="s">
        <v>12</v>
      </c>
      <c r="D1080" s="1" t="s">
        <v>2179</v>
      </c>
      <c r="E1080" s="4">
        <v>1011414.0</v>
      </c>
      <c r="F1080" s="2">
        <v>1.0</v>
      </c>
      <c r="G1080" s="2" t="s">
        <v>1</v>
      </c>
      <c r="H1080" s="2" t="s">
        <v>14</v>
      </c>
      <c r="I1080" s="2" t="s">
        <v>15</v>
      </c>
      <c r="J1080" s="2" t="s">
        <v>15</v>
      </c>
    </row>
    <row r="1081" ht="15.75" customHeight="1">
      <c r="A1081" s="1" t="s">
        <v>2180</v>
      </c>
      <c r="B1081" s="1" t="s">
        <v>2181</v>
      </c>
      <c r="C1081" s="1" t="s">
        <v>12</v>
      </c>
      <c r="D1081" s="1" t="s">
        <v>2179</v>
      </c>
      <c r="E1081" s="4">
        <v>1011414.0</v>
      </c>
      <c r="F1081" s="2">
        <v>1.0</v>
      </c>
      <c r="G1081" s="2" t="s">
        <v>1</v>
      </c>
      <c r="H1081" s="2" t="s">
        <v>18</v>
      </c>
      <c r="I1081" s="2" t="s">
        <v>15</v>
      </c>
      <c r="J1081" s="2" t="s">
        <v>15</v>
      </c>
    </row>
    <row r="1082" ht="15.75" customHeight="1">
      <c r="A1082" s="1" t="s">
        <v>2182</v>
      </c>
      <c r="B1082" s="1" t="s">
        <v>2183</v>
      </c>
      <c r="C1082" s="1" t="s">
        <v>12</v>
      </c>
      <c r="D1082" s="1" t="s">
        <v>2179</v>
      </c>
      <c r="E1082" s="4">
        <v>1011414.0</v>
      </c>
      <c r="F1082" s="2">
        <v>2.0</v>
      </c>
      <c r="G1082" s="2" t="s">
        <v>1</v>
      </c>
      <c r="H1082" s="2" t="s">
        <v>14</v>
      </c>
      <c r="I1082" s="2" t="s">
        <v>15</v>
      </c>
      <c r="J1082" s="2" t="s">
        <v>15</v>
      </c>
    </row>
    <row r="1083" ht="15.75" customHeight="1">
      <c r="A1083" s="1" t="s">
        <v>2184</v>
      </c>
      <c r="B1083" s="1" t="s">
        <v>2185</v>
      </c>
      <c r="C1083" s="1" t="s">
        <v>12</v>
      </c>
      <c r="D1083" s="1" t="s">
        <v>2179</v>
      </c>
      <c r="E1083" s="4">
        <v>1011414.0</v>
      </c>
      <c r="F1083" s="2">
        <v>2.0</v>
      </c>
      <c r="G1083" s="2" t="s">
        <v>1</v>
      </c>
      <c r="H1083" s="2" t="s">
        <v>18</v>
      </c>
      <c r="I1083" s="2" t="s">
        <v>15</v>
      </c>
      <c r="J1083" s="2" t="s">
        <v>15</v>
      </c>
    </row>
    <row r="1084" ht="15.75" customHeight="1">
      <c r="A1084" s="1" t="s">
        <v>2186</v>
      </c>
      <c r="B1084" s="1" t="s">
        <v>2187</v>
      </c>
      <c r="C1084" s="1" t="s">
        <v>12</v>
      </c>
      <c r="D1084" s="1" t="s">
        <v>2179</v>
      </c>
      <c r="E1084" s="4">
        <v>1011414.0</v>
      </c>
      <c r="F1084" s="2">
        <v>3.0</v>
      </c>
      <c r="G1084" s="2" t="s">
        <v>1</v>
      </c>
      <c r="H1084" s="2" t="s">
        <v>14</v>
      </c>
      <c r="I1084" s="2" t="s">
        <v>15</v>
      </c>
      <c r="J1084" s="2" t="s">
        <v>15</v>
      </c>
    </row>
    <row r="1085" ht="15.75" customHeight="1">
      <c r="A1085" s="1" t="s">
        <v>2188</v>
      </c>
      <c r="B1085" s="1" t="s">
        <v>2189</v>
      </c>
      <c r="C1085" s="1" t="s">
        <v>12</v>
      </c>
      <c r="D1085" s="1" t="s">
        <v>2179</v>
      </c>
      <c r="E1085" s="4">
        <v>1011414.0</v>
      </c>
      <c r="F1085" s="2">
        <v>3.0</v>
      </c>
      <c r="G1085" s="2" t="s">
        <v>1</v>
      </c>
      <c r="H1085" s="2" t="s">
        <v>18</v>
      </c>
      <c r="I1085" s="2" t="s">
        <v>15</v>
      </c>
      <c r="J1085" s="2" t="s">
        <v>15</v>
      </c>
    </row>
    <row r="1086" ht="15.75" customHeight="1">
      <c r="A1086" s="1" t="s">
        <v>2190</v>
      </c>
      <c r="B1086" s="1" t="s">
        <v>2191</v>
      </c>
      <c r="C1086" s="1" t="s">
        <v>12</v>
      </c>
      <c r="D1086" s="1" t="s">
        <v>2179</v>
      </c>
      <c r="E1086" s="4">
        <v>1011414.0</v>
      </c>
      <c r="F1086" s="2">
        <v>4.0</v>
      </c>
      <c r="G1086" s="2" t="s">
        <v>1</v>
      </c>
      <c r="H1086" s="2" t="s">
        <v>14</v>
      </c>
      <c r="I1086" s="2" t="s">
        <v>15</v>
      </c>
      <c r="J1086" s="2" t="s">
        <v>15</v>
      </c>
    </row>
    <row r="1087" ht="15.75" customHeight="1">
      <c r="A1087" s="1" t="s">
        <v>2192</v>
      </c>
      <c r="B1087" s="1" t="s">
        <v>2193</v>
      </c>
      <c r="C1087" s="1" t="s">
        <v>12</v>
      </c>
      <c r="D1087" s="1" t="s">
        <v>2179</v>
      </c>
      <c r="E1087" s="4">
        <v>1011414.0</v>
      </c>
      <c r="F1087" s="2">
        <v>4.0</v>
      </c>
      <c r="G1087" s="2" t="s">
        <v>1</v>
      </c>
      <c r="H1087" s="2" t="s">
        <v>18</v>
      </c>
      <c r="I1087" s="2" t="s">
        <v>15</v>
      </c>
      <c r="J1087" s="2" t="s">
        <v>15</v>
      </c>
    </row>
    <row r="1088" ht="15.75" customHeight="1">
      <c r="A1088" s="1" t="s">
        <v>2194</v>
      </c>
      <c r="B1088" s="1" t="s">
        <v>2195</v>
      </c>
      <c r="C1088" s="1" t="s">
        <v>12</v>
      </c>
      <c r="D1088" s="1" t="s">
        <v>2179</v>
      </c>
      <c r="E1088" s="4">
        <v>1011414.0</v>
      </c>
      <c r="F1088" s="2" t="s">
        <v>30</v>
      </c>
      <c r="G1088" s="2" t="s">
        <v>1</v>
      </c>
      <c r="H1088" s="2" t="s">
        <v>14</v>
      </c>
      <c r="I1088" s="2" t="s">
        <v>15</v>
      </c>
      <c r="J1088" s="2" t="s">
        <v>15</v>
      </c>
    </row>
    <row r="1089" ht="15.75" customHeight="1">
      <c r="A1089" s="1" t="s">
        <v>2196</v>
      </c>
      <c r="B1089" s="1" t="s">
        <v>2197</v>
      </c>
      <c r="C1089" s="1" t="s">
        <v>12</v>
      </c>
      <c r="D1089" s="1" t="s">
        <v>2179</v>
      </c>
      <c r="E1089" s="4">
        <v>1011414.0</v>
      </c>
      <c r="F1089" s="2" t="s">
        <v>15</v>
      </c>
      <c r="G1089" s="2" t="s">
        <v>33</v>
      </c>
      <c r="H1089" s="2" t="s">
        <v>15</v>
      </c>
      <c r="I1089" s="2" t="s">
        <v>15</v>
      </c>
      <c r="J1089" s="2" t="s">
        <v>15</v>
      </c>
    </row>
    <row r="1090" ht="15.75" customHeight="1">
      <c r="A1090" s="1" t="s">
        <v>2198</v>
      </c>
      <c r="B1090" s="1" t="s">
        <v>2199</v>
      </c>
      <c r="C1090" s="1" t="s">
        <v>12</v>
      </c>
      <c r="D1090" s="1" t="s">
        <v>2200</v>
      </c>
      <c r="E1090" s="4">
        <v>1011478.0</v>
      </c>
      <c r="F1090" s="2">
        <v>1.0</v>
      </c>
      <c r="G1090" s="2" t="s">
        <v>1</v>
      </c>
      <c r="H1090" s="2" t="s">
        <v>14</v>
      </c>
      <c r="I1090" s="2" t="s">
        <v>15</v>
      </c>
      <c r="J1090" s="2" t="s">
        <v>15</v>
      </c>
    </row>
    <row r="1091" ht="15.75" customHeight="1">
      <c r="A1091" s="1" t="s">
        <v>2201</v>
      </c>
      <c r="B1091" s="1" t="s">
        <v>2202</v>
      </c>
      <c r="C1091" s="1" t="s">
        <v>12</v>
      </c>
      <c r="D1091" s="1" t="s">
        <v>2200</v>
      </c>
      <c r="E1091" s="4">
        <v>1011478.0</v>
      </c>
      <c r="F1091" s="2">
        <v>1.0</v>
      </c>
      <c r="G1091" s="2" t="s">
        <v>1</v>
      </c>
      <c r="H1091" s="2" t="s">
        <v>18</v>
      </c>
      <c r="I1091" s="2" t="s">
        <v>15</v>
      </c>
      <c r="J1091" s="2" t="s">
        <v>15</v>
      </c>
    </row>
    <row r="1092" ht="15.75" customHeight="1">
      <c r="A1092" s="1" t="s">
        <v>2203</v>
      </c>
      <c r="B1092" s="1" t="s">
        <v>2204</v>
      </c>
      <c r="C1092" s="1" t="s">
        <v>12</v>
      </c>
      <c r="D1092" s="1" t="s">
        <v>2200</v>
      </c>
      <c r="E1092" s="4">
        <v>1011478.0</v>
      </c>
      <c r="F1092" s="2">
        <v>2.0</v>
      </c>
      <c r="G1092" s="2" t="s">
        <v>1</v>
      </c>
      <c r="H1092" s="2" t="s">
        <v>14</v>
      </c>
      <c r="I1092" s="2" t="s">
        <v>15</v>
      </c>
      <c r="J1092" s="2" t="s">
        <v>15</v>
      </c>
    </row>
    <row r="1093" ht="15.75" customHeight="1">
      <c r="A1093" s="1" t="s">
        <v>2205</v>
      </c>
      <c r="B1093" s="1" t="s">
        <v>2206</v>
      </c>
      <c r="C1093" s="1" t="s">
        <v>12</v>
      </c>
      <c r="D1093" s="1" t="s">
        <v>2200</v>
      </c>
      <c r="E1093" s="4">
        <v>1011478.0</v>
      </c>
      <c r="F1093" s="2">
        <v>2.0</v>
      </c>
      <c r="G1093" s="2" t="s">
        <v>1</v>
      </c>
      <c r="H1093" s="2" t="s">
        <v>18</v>
      </c>
      <c r="I1093" s="2" t="s">
        <v>15</v>
      </c>
      <c r="J1093" s="2" t="s">
        <v>15</v>
      </c>
    </row>
    <row r="1094" ht="15.75" customHeight="1">
      <c r="A1094" s="1" t="s">
        <v>2207</v>
      </c>
      <c r="B1094" s="1" t="s">
        <v>2208</v>
      </c>
      <c r="C1094" s="1" t="s">
        <v>12</v>
      </c>
      <c r="D1094" s="1" t="s">
        <v>2200</v>
      </c>
      <c r="E1094" s="4">
        <v>1011478.0</v>
      </c>
      <c r="F1094" s="2">
        <v>3.0</v>
      </c>
      <c r="G1094" s="2" t="s">
        <v>1</v>
      </c>
      <c r="H1094" s="2" t="s">
        <v>14</v>
      </c>
      <c r="I1094" s="2" t="s">
        <v>15</v>
      </c>
      <c r="J1094" s="2" t="s">
        <v>15</v>
      </c>
    </row>
    <row r="1095" ht="15.75" customHeight="1">
      <c r="A1095" s="1" t="s">
        <v>2209</v>
      </c>
      <c r="B1095" s="1" t="s">
        <v>2210</v>
      </c>
      <c r="C1095" s="1" t="s">
        <v>12</v>
      </c>
      <c r="D1095" s="1" t="s">
        <v>2200</v>
      </c>
      <c r="E1095" s="4">
        <v>1011478.0</v>
      </c>
      <c r="F1095" s="2">
        <v>3.0</v>
      </c>
      <c r="G1095" s="2" t="s">
        <v>1</v>
      </c>
      <c r="H1095" s="2" t="s">
        <v>18</v>
      </c>
      <c r="I1095" s="2" t="s">
        <v>15</v>
      </c>
      <c r="J1095" s="2" t="s">
        <v>15</v>
      </c>
    </row>
    <row r="1096" ht="15.75" customHeight="1">
      <c r="A1096" s="1" t="s">
        <v>2211</v>
      </c>
      <c r="B1096" s="1" t="s">
        <v>2212</v>
      </c>
      <c r="C1096" s="1" t="s">
        <v>12</v>
      </c>
      <c r="D1096" s="1" t="s">
        <v>2200</v>
      </c>
      <c r="E1096" s="4">
        <v>1011478.0</v>
      </c>
      <c r="F1096" s="2">
        <v>4.0</v>
      </c>
      <c r="G1096" s="2" t="s">
        <v>1</v>
      </c>
      <c r="H1096" s="2" t="s">
        <v>14</v>
      </c>
      <c r="I1096" s="2" t="s">
        <v>15</v>
      </c>
      <c r="J1096" s="2" t="s">
        <v>15</v>
      </c>
    </row>
    <row r="1097" ht="15.75" customHeight="1">
      <c r="A1097" s="1" t="s">
        <v>2213</v>
      </c>
      <c r="B1097" s="1" t="s">
        <v>2214</v>
      </c>
      <c r="C1097" s="1" t="s">
        <v>12</v>
      </c>
      <c r="D1097" s="1" t="s">
        <v>2200</v>
      </c>
      <c r="E1097" s="4">
        <v>1011478.0</v>
      </c>
      <c r="F1097" s="2">
        <v>4.0</v>
      </c>
      <c r="G1097" s="2" t="s">
        <v>1</v>
      </c>
      <c r="H1097" s="2" t="s">
        <v>18</v>
      </c>
      <c r="I1097" s="2" t="s">
        <v>15</v>
      </c>
      <c r="J1097" s="2" t="s">
        <v>15</v>
      </c>
    </row>
    <row r="1098" ht="15.75" customHeight="1">
      <c r="A1098" s="1" t="s">
        <v>2215</v>
      </c>
      <c r="B1098" s="1" t="s">
        <v>2216</v>
      </c>
      <c r="C1098" s="1" t="s">
        <v>12</v>
      </c>
      <c r="D1098" s="1" t="s">
        <v>2200</v>
      </c>
      <c r="E1098" s="4">
        <v>1011478.0</v>
      </c>
      <c r="F1098" s="2" t="s">
        <v>30</v>
      </c>
      <c r="G1098" s="2" t="s">
        <v>1</v>
      </c>
      <c r="H1098" s="2" t="s">
        <v>14</v>
      </c>
      <c r="I1098" s="2" t="s">
        <v>15</v>
      </c>
      <c r="J1098" s="2" t="s">
        <v>15</v>
      </c>
    </row>
    <row r="1099" ht="15.75" customHeight="1">
      <c r="A1099" s="1" t="s">
        <v>2217</v>
      </c>
      <c r="B1099" s="1" t="s">
        <v>2218</v>
      </c>
      <c r="C1099" s="1" t="s">
        <v>12</v>
      </c>
      <c r="D1099" s="1" t="s">
        <v>2200</v>
      </c>
      <c r="E1099" s="4">
        <v>1011478.0</v>
      </c>
      <c r="F1099" s="2" t="s">
        <v>15</v>
      </c>
      <c r="G1099" s="2" t="s">
        <v>33</v>
      </c>
      <c r="H1099" s="2" t="s">
        <v>15</v>
      </c>
      <c r="I1099" s="2" t="s">
        <v>15</v>
      </c>
      <c r="J1099" s="2" t="s">
        <v>15</v>
      </c>
    </row>
    <row r="1100" ht="15.75" customHeight="1">
      <c r="A1100" s="1" t="s">
        <v>2219</v>
      </c>
      <c r="B1100" s="3" t="s">
        <v>2220</v>
      </c>
      <c r="C1100" s="1" t="s">
        <v>12</v>
      </c>
      <c r="D1100" s="1" t="s">
        <v>2221</v>
      </c>
      <c r="E1100" s="4">
        <v>1011542.0</v>
      </c>
      <c r="F1100" s="2">
        <v>1.0</v>
      </c>
      <c r="G1100" s="2" t="s">
        <v>1</v>
      </c>
      <c r="H1100" s="2" t="s">
        <v>14</v>
      </c>
      <c r="I1100" s="5" t="str">
        <f>IFERROR(
  MID(
    SUBSTITUTE(B1100, CHAR(10), ""),
    FIND("_Gross ROI=", SUBSTITUTE(B1100, CHAR(10), "")) + LEN("_Gross ROI="),
    FIND("%", SUBSTITUTE(B1100, CHAR(10), ""), FIND("_Gross ROI=", SUBSTITUTE(B1100, CHAR(10), "")))
      - FIND("_Gross ROI=", SUBSTITUTE(B1100, CHAR(10), "")) - LEN("_Gross ROI=") + 1
  ),
  ""
)</f>
        <v>5.43%</v>
      </c>
      <c r="J1100" s="5" t="str">
        <f>IFERROR(
  MID(
    SUBSTITUTE(B1100, CHAR(10), ""),
    FIND("_Median annual rent=", SUBSTITUTE(B1100, CHAR(10), "")) + LEN("_Median annual rent="),
    FIND("K", SUBSTITUTE(B1100, CHAR(10), ""), FIND("_Median annual rent=", SUBSTITUTE(B1100, CHAR(10), "")))
      - FIND("_Median annual rent=", SUBSTITUTE(B1100, CHAR(10), "")) - LEN("_Median annual rent=") + 1
  ),
  "")</f>
        <v>112.5K</v>
      </c>
    </row>
    <row r="1101" ht="15.75" customHeight="1">
      <c r="A1101" s="1" t="s">
        <v>2222</v>
      </c>
      <c r="B1101" s="1" t="s">
        <v>2223</v>
      </c>
      <c r="C1101" s="1" t="s">
        <v>12</v>
      </c>
      <c r="D1101" s="1" t="s">
        <v>2221</v>
      </c>
      <c r="E1101" s="4">
        <v>1011542.0</v>
      </c>
      <c r="F1101" s="2">
        <v>1.0</v>
      </c>
      <c r="G1101" s="2" t="s">
        <v>1</v>
      </c>
      <c r="H1101" s="2" t="s">
        <v>18</v>
      </c>
      <c r="I1101" s="2" t="s">
        <v>15</v>
      </c>
      <c r="J1101" s="2" t="s">
        <v>15</v>
      </c>
    </row>
    <row r="1102" ht="15.75" customHeight="1">
      <c r="A1102" s="1" t="s">
        <v>2224</v>
      </c>
      <c r="B1102" s="1" t="s">
        <v>2225</v>
      </c>
      <c r="C1102" s="1" t="s">
        <v>12</v>
      </c>
      <c r="D1102" s="1" t="s">
        <v>2221</v>
      </c>
      <c r="E1102" s="4">
        <v>1011542.0</v>
      </c>
      <c r="F1102" s="2">
        <v>1.0</v>
      </c>
      <c r="G1102" s="2" t="s">
        <v>1</v>
      </c>
      <c r="H1102" s="2" t="s">
        <v>53</v>
      </c>
      <c r="I1102" s="2" t="s">
        <v>15</v>
      </c>
      <c r="J1102" s="2" t="s">
        <v>15</v>
      </c>
    </row>
    <row r="1103" ht="15.75" customHeight="1">
      <c r="A1103" s="1" t="s">
        <v>2226</v>
      </c>
      <c r="B1103" s="1" t="s">
        <v>2227</v>
      </c>
      <c r="C1103" s="1" t="s">
        <v>12</v>
      </c>
      <c r="D1103" s="1" t="s">
        <v>2221</v>
      </c>
      <c r="E1103" s="4">
        <v>1011542.0</v>
      </c>
      <c r="F1103" s="2">
        <v>2.0</v>
      </c>
      <c r="G1103" s="2" t="s">
        <v>1</v>
      </c>
      <c r="H1103" s="2" t="s">
        <v>14</v>
      </c>
      <c r="I1103" s="5" t="str">
        <f>IFERROR(
  MID(
    SUBSTITUTE(B1103, CHAR(10), ""),
    FIND("_Gross ROI=", SUBSTITUTE(B1103, CHAR(10), "")) + LEN("_Gross ROI="),
    FIND("%", SUBSTITUTE(B1103, CHAR(10), ""), FIND("_Gross ROI=", SUBSTITUTE(B1103, CHAR(10), "")))
      - FIND("_Gross ROI=", SUBSTITUTE(B1103, CHAR(10), "")) - LEN("_Gross ROI=") + 1
  ),
  ""
)</f>
        <v>6.22%</v>
      </c>
      <c r="J1103" s="5" t="str">
        <f>IFERROR(
  MID(
    SUBSTITUTE(B1103, CHAR(10), ""),
    FIND("_Median annual rent=", SUBSTITUTE(B1103, CHAR(10), "")) + LEN("_Median annual rent="),
    FIND("K", SUBSTITUTE(B1103, CHAR(10), ""), FIND("_Median annual rent=", SUBSTITUTE(B1103, CHAR(10), "")))
      - FIND("_Median annual rent=", SUBSTITUTE(B1103, CHAR(10), "")) - LEN("_Median annual rent=") + 1
  ),
  "")</f>
        <v>180K</v>
      </c>
    </row>
    <row r="1104" ht="15.75" customHeight="1">
      <c r="A1104" s="1" t="s">
        <v>2228</v>
      </c>
      <c r="B1104" s="1" t="s">
        <v>2229</v>
      </c>
      <c r="C1104" s="1" t="s">
        <v>12</v>
      </c>
      <c r="D1104" s="1" t="s">
        <v>2221</v>
      </c>
      <c r="E1104" s="4">
        <v>1011542.0</v>
      </c>
      <c r="F1104" s="2">
        <v>2.0</v>
      </c>
      <c r="G1104" s="2" t="s">
        <v>1</v>
      </c>
      <c r="H1104" s="2" t="s">
        <v>18</v>
      </c>
      <c r="I1104" s="2" t="s">
        <v>15</v>
      </c>
      <c r="J1104" s="2" t="s">
        <v>15</v>
      </c>
    </row>
    <row r="1105" ht="15.75" customHeight="1">
      <c r="A1105" s="1" t="s">
        <v>2230</v>
      </c>
      <c r="B1105" s="1" t="s">
        <v>2231</v>
      </c>
      <c r="C1105" s="1" t="s">
        <v>12</v>
      </c>
      <c r="D1105" s="1" t="s">
        <v>2221</v>
      </c>
      <c r="E1105" s="4">
        <v>1011542.0</v>
      </c>
      <c r="F1105" s="2">
        <v>2.0</v>
      </c>
      <c r="G1105" s="2" t="s">
        <v>1</v>
      </c>
      <c r="H1105" s="2" t="s">
        <v>53</v>
      </c>
      <c r="I1105" s="2" t="s">
        <v>15</v>
      </c>
      <c r="J1105" s="2" t="s">
        <v>15</v>
      </c>
    </row>
    <row r="1106" ht="15.75" customHeight="1">
      <c r="A1106" s="1" t="s">
        <v>2232</v>
      </c>
      <c r="B1106" s="1" t="s">
        <v>2233</v>
      </c>
      <c r="C1106" s="1" t="s">
        <v>12</v>
      </c>
      <c r="D1106" s="1" t="s">
        <v>2221</v>
      </c>
      <c r="E1106" s="4">
        <v>1011542.0</v>
      </c>
      <c r="F1106" s="2">
        <v>3.0</v>
      </c>
      <c r="G1106" s="2" t="s">
        <v>1</v>
      </c>
      <c r="H1106" s="2" t="s">
        <v>14</v>
      </c>
      <c r="I1106" s="5" t="str">
        <f>IFERROR(
  MID(
    SUBSTITUTE(B1106, CHAR(10), ""),
    FIND("_Gross ROI=", SUBSTITUTE(B1106, CHAR(10), "")) + LEN("_Gross ROI="),
    FIND("%", SUBSTITUTE(B1106, CHAR(10), ""), FIND("_Gross ROI=", SUBSTITUTE(B1106, CHAR(10), "")))
      - FIND("_Gross ROI=", SUBSTITUTE(B1106, CHAR(10), "")) - LEN("_Gross ROI=") + 1
  ),
  ""
)</f>
        <v>6%</v>
      </c>
      <c r="J1106" s="5" t="str">
        <f>IFERROR(
  MID(
    SUBSTITUTE(B1106, CHAR(10), ""),
    FIND("_Median annual rent=", SUBSTITUTE(B1106, CHAR(10), "")) + LEN("_Median annual rent="),
    FIND("K", SUBSTITUTE(B1106, CHAR(10), ""), FIND("_Median annual rent=", SUBSTITUTE(B1106, CHAR(10), "")))
      - FIND("_Median annual rent=", SUBSTITUTE(B1106, CHAR(10), "")) - LEN("_Median annual rent=") + 1
  ),
  "")</f>
        <v>240K</v>
      </c>
    </row>
    <row r="1107" ht="15.75" customHeight="1">
      <c r="A1107" s="1" t="s">
        <v>2234</v>
      </c>
      <c r="B1107" s="1" t="s">
        <v>2235</v>
      </c>
      <c r="C1107" s="1" t="s">
        <v>12</v>
      </c>
      <c r="D1107" s="1" t="s">
        <v>2221</v>
      </c>
      <c r="E1107" s="4">
        <v>1011542.0</v>
      </c>
      <c r="F1107" s="2">
        <v>3.0</v>
      </c>
      <c r="G1107" s="2" t="s">
        <v>1</v>
      </c>
      <c r="H1107" s="2" t="s">
        <v>18</v>
      </c>
      <c r="I1107" s="2" t="s">
        <v>15</v>
      </c>
      <c r="J1107" s="2" t="s">
        <v>15</v>
      </c>
    </row>
    <row r="1108" ht="15.75" customHeight="1">
      <c r="A1108" s="1" t="s">
        <v>2236</v>
      </c>
      <c r="B1108" s="1" t="s">
        <v>2237</v>
      </c>
      <c r="C1108" s="1" t="s">
        <v>12</v>
      </c>
      <c r="D1108" s="1" t="s">
        <v>2221</v>
      </c>
      <c r="E1108" s="4">
        <v>1011542.0</v>
      </c>
      <c r="F1108" s="2">
        <v>3.0</v>
      </c>
      <c r="G1108" s="2" t="s">
        <v>1</v>
      </c>
      <c r="H1108" s="2" t="s">
        <v>53</v>
      </c>
      <c r="I1108" s="2" t="s">
        <v>15</v>
      </c>
      <c r="J1108" s="2" t="s">
        <v>15</v>
      </c>
    </row>
    <row r="1109" ht="15.75" customHeight="1">
      <c r="A1109" s="1" t="s">
        <v>2238</v>
      </c>
      <c r="B1109" s="1" t="s">
        <v>2239</v>
      </c>
      <c r="C1109" s="1" t="s">
        <v>12</v>
      </c>
      <c r="D1109" s="1" t="s">
        <v>2221</v>
      </c>
      <c r="E1109" s="4">
        <v>1011542.0</v>
      </c>
      <c r="F1109" s="2">
        <v>4.0</v>
      </c>
      <c r="G1109" s="2" t="s">
        <v>1</v>
      </c>
      <c r="H1109" s="2" t="s">
        <v>14</v>
      </c>
      <c r="I1109" s="2" t="s">
        <v>15</v>
      </c>
      <c r="J1109" s="2" t="s">
        <v>15</v>
      </c>
    </row>
    <row r="1110" ht="15.75" customHeight="1">
      <c r="A1110" s="1" t="s">
        <v>2240</v>
      </c>
      <c r="B1110" s="1" t="s">
        <v>2241</v>
      </c>
      <c r="C1110" s="1" t="s">
        <v>12</v>
      </c>
      <c r="D1110" s="1" t="s">
        <v>2221</v>
      </c>
      <c r="E1110" s="4">
        <v>1011542.0</v>
      </c>
      <c r="F1110" s="2">
        <v>4.0</v>
      </c>
      <c r="G1110" s="2" t="s">
        <v>1</v>
      </c>
      <c r="H1110" s="2" t="s">
        <v>18</v>
      </c>
      <c r="I1110" s="2" t="s">
        <v>15</v>
      </c>
      <c r="J1110" s="2" t="s">
        <v>15</v>
      </c>
    </row>
    <row r="1111" ht="15.75" customHeight="1">
      <c r="A1111" s="1" t="s">
        <v>2242</v>
      </c>
      <c r="B1111" s="1" t="s">
        <v>2243</v>
      </c>
      <c r="C1111" s="1" t="s">
        <v>12</v>
      </c>
      <c r="D1111" s="1" t="s">
        <v>2221</v>
      </c>
      <c r="E1111" s="4">
        <v>1011542.0</v>
      </c>
      <c r="F1111" s="2">
        <v>4.0</v>
      </c>
      <c r="G1111" s="2" t="s">
        <v>1</v>
      </c>
      <c r="H1111" s="2" t="s">
        <v>53</v>
      </c>
      <c r="I1111" s="2" t="s">
        <v>15</v>
      </c>
      <c r="J1111" s="2" t="s">
        <v>15</v>
      </c>
    </row>
    <row r="1112" ht="15.75" customHeight="1">
      <c r="A1112" s="1" t="s">
        <v>2244</v>
      </c>
      <c r="B1112" s="1" t="s">
        <v>2245</v>
      </c>
      <c r="C1112" s="1" t="s">
        <v>12</v>
      </c>
      <c r="D1112" s="1" t="s">
        <v>2221</v>
      </c>
      <c r="E1112" s="4">
        <v>1011542.0</v>
      </c>
      <c r="F1112" s="2">
        <v>4.0</v>
      </c>
      <c r="G1112" s="2" t="s">
        <v>1</v>
      </c>
      <c r="H1112" s="2" t="s">
        <v>21</v>
      </c>
      <c r="I1112" s="2" t="s">
        <v>15</v>
      </c>
      <c r="J1112" s="2" t="s">
        <v>15</v>
      </c>
    </row>
    <row r="1113" ht="15.75" customHeight="1">
      <c r="A1113" s="1" t="s">
        <v>2246</v>
      </c>
      <c r="B1113" s="1" t="s">
        <v>2247</v>
      </c>
      <c r="C1113" s="1" t="s">
        <v>12</v>
      </c>
      <c r="D1113" s="1" t="s">
        <v>2221</v>
      </c>
      <c r="E1113" s="4">
        <v>1011542.0</v>
      </c>
      <c r="F1113" s="2" t="s">
        <v>30</v>
      </c>
      <c r="G1113" s="2" t="s">
        <v>1</v>
      </c>
      <c r="H1113" s="2" t="s">
        <v>53</v>
      </c>
      <c r="I1113" s="2" t="s">
        <v>15</v>
      </c>
      <c r="J1113" s="2" t="s">
        <v>15</v>
      </c>
    </row>
    <row r="1114" ht="15.75" customHeight="1">
      <c r="A1114" s="1" t="s">
        <v>2248</v>
      </c>
      <c r="B1114" s="1" t="s">
        <v>2249</v>
      </c>
      <c r="C1114" s="1" t="s">
        <v>12</v>
      </c>
      <c r="D1114" s="1" t="s">
        <v>2221</v>
      </c>
      <c r="E1114" s="4">
        <v>1011542.0</v>
      </c>
      <c r="F1114" s="2" t="s">
        <v>30</v>
      </c>
      <c r="G1114" s="2" t="s">
        <v>1</v>
      </c>
      <c r="H1114" s="2" t="s">
        <v>14</v>
      </c>
      <c r="I1114" s="2" t="s">
        <v>15</v>
      </c>
      <c r="J1114" s="2" t="s">
        <v>15</v>
      </c>
    </row>
    <row r="1115" ht="15.75" customHeight="1">
      <c r="A1115" s="1" t="s">
        <v>2250</v>
      </c>
      <c r="B1115" s="1" t="s">
        <v>2251</v>
      </c>
      <c r="C1115" s="1" t="s">
        <v>12</v>
      </c>
      <c r="D1115" s="1" t="s">
        <v>2221</v>
      </c>
      <c r="E1115" s="4">
        <v>1011542.0</v>
      </c>
      <c r="F1115" s="2" t="s">
        <v>15</v>
      </c>
      <c r="G1115" s="2" t="s">
        <v>33</v>
      </c>
      <c r="H1115" s="2" t="s">
        <v>15</v>
      </c>
      <c r="I1115" s="2" t="s">
        <v>15</v>
      </c>
      <c r="J1115" s="2" t="s">
        <v>15</v>
      </c>
    </row>
    <row r="1116" ht="15.75" customHeight="1">
      <c r="A1116" s="1" t="s">
        <v>2252</v>
      </c>
      <c r="B1116" s="1" t="s">
        <v>2253</v>
      </c>
      <c r="C1116" s="1" t="s">
        <v>12</v>
      </c>
      <c r="D1116" s="1" t="s">
        <v>2221</v>
      </c>
      <c r="E1116" s="4">
        <v>1011542.0</v>
      </c>
      <c r="F1116" s="2">
        <v>4.0</v>
      </c>
      <c r="G1116" s="2" t="s">
        <v>1</v>
      </c>
      <c r="H1116" s="2" t="s">
        <v>37</v>
      </c>
      <c r="I1116" s="2" t="s">
        <v>15</v>
      </c>
      <c r="J1116" s="2" t="s">
        <v>15</v>
      </c>
    </row>
    <row r="1117" ht="15.75" customHeight="1">
      <c r="A1117" s="1" t="s">
        <v>2254</v>
      </c>
      <c r="B1117" s="1" t="s">
        <v>2255</v>
      </c>
      <c r="C1117" s="1" t="s">
        <v>12</v>
      </c>
      <c r="D1117" s="1" t="s">
        <v>2221</v>
      </c>
      <c r="E1117" s="4">
        <v>1011542.0</v>
      </c>
      <c r="F1117" s="2" t="s">
        <v>30</v>
      </c>
      <c r="G1117" s="2" t="s">
        <v>1</v>
      </c>
      <c r="H1117" s="2" t="s">
        <v>37</v>
      </c>
      <c r="I1117" s="2" t="s">
        <v>15</v>
      </c>
      <c r="J1117" s="2" t="s">
        <v>15</v>
      </c>
    </row>
    <row r="1118" ht="15.75" customHeight="1">
      <c r="A1118" s="1" t="s">
        <v>2256</v>
      </c>
      <c r="B1118" s="3" t="s">
        <v>2257</v>
      </c>
      <c r="C1118" s="1" t="s">
        <v>12</v>
      </c>
      <c r="D1118" s="1" t="s">
        <v>2258</v>
      </c>
      <c r="E1118" s="4">
        <v>1011606.0</v>
      </c>
      <c r="F1118" s="2">
        <v>2.0</v>
      </c>
      <c r="G1118" s="2" t="s">
        <v>1</v>
      </c>
      <c r="H1118" s="2" t="s">
        <v>14</v>
      </c>
      <c r="I1118" s="2" t="s">
        <v>15</v>
      </c>
      <c r="J1118" s="2" t="s">
        <v>15</v>
      </c>
    </row>
    <row r="1119" ht="15.75" customHeight="1">
      <c r="A1119" s="1" t="s">
        <v>2259</v>
      </c>
      <c r="B1119" s="1" t="s">
        <v>2260</v>
      </c>
      <c r="C1119" s="1" t="s">
        <v>12</v>
      </c>
      <c r="D1119" s="1" t="s">
        <v>2258</v>
      </c>
      <c r="E1119" s="4">
        <v>1011606.0</v>
      </c>
      <c r="F1119" s="2">
        <v>2.0</v>
      </c>
      <c r="G1119" s="2" t="s">
        <v>1</v>
      </c>
      <c r="H1119" s="2" t="s">
        <v>18</v>
      </c>
      <c r="I1119" s="2" t="s">
        <v>15</v>
      </c>
      <c r="J1119" s="2" t="s">
        <v>15</v>
      </c>
    </row>
    <row r="1120" ht="15.75" customHeight="1">
      <c r="A1120" s="1" t="s">
        <v>2261</v>
      </c>
      <c r="B1120" s="1" t="s">
        <v>2262</v>
      </c>
      <c r="C1120" s="1" t="s">
        <v>12</v>
      </c>
      <c r="D1120" s="1" t="s">
        <v>2258</v>
      </c>
      <c r="E1120" s="4">
        <v>1011606.0</v>
      </c>
      <c r="F1120" s="2">
        <v>2.0</v>
      </c>
      <c r="G1120" s="2" t="s">
        <v>1</v>
      </c>
      <c r="H1120" s="2" t="s">
        <v>21</v>
      </c>
      <c r="I1120" s="2" t="s">
        <v>15</v>
      </c>
      <c r="J1120" s="2" t="s">
        <v>15</v>
      </c>
    </row>
    <row r="1121" ht="15.75" customHeight="1">
      <c r="A1121" s="1" t="s">
        <v>2263</v>
      </c>
      <c r="B1121" s="1" t="s">
        <v>2264</v>
      </c>
      <c r="C1121" s="1" t="s">
        <v>12</v>
      </c>
      <c r="D1121" s="1" t="s">
        <v>2258</v>
      </c>
      <c r="E1121" s="4">
        <v>1011606.0</v>
      </c>
      <c r="F1121" s="2" t="s">
        <v>15</v>
      </c>
      <c r="G1121" s="2" t="s">
        <v>33</v>
      </c>
      <c r="H1121" s="2" t="s">
        <v>15</v>
      </c>
      <c r="I1121" s="2" t="s">
        <v>15</v>
      </c>
      <c r="J1121" s="2" t="s">
        <v>15</v>
      </c>
    </row>
    <row r="1122" ht="15.75" customHeight="1">
      <c r="A1122" s="1" t="s">
        <v>2265</v>
      </c>
      <c r="B1122" s="1" t="s">
        <v>2266</v>
      </c>
      <c r="C1122" s="1" t="s">
        <v>12</v>
      </c>
      <c r="D1122" s="1" t="s">
        <v>2258</v>
      </c>
      <c r="E1122" s="4">
        <v>1011606.0</v>
      </c>
      <c r="F1122" s="2">
        <v>2.0</v>
      </c>
      <c r="G1122" s="2" t="s">
        <v>1</v>
      </c>
      <c r="H1122" s="2" t="s">
        <v>37</v>
      </c>
      <c r="I1122" s="2" t="s">
        <v>15</v>
      </c>
      <c r="J1122" s="2" t="s">
        <v>15</v>
      </c>
    </row>
    <row r="1123" ht="15.75" customHeight="1">
      <c r="A1123" s="1" t="s">
        <v>2267</v>
      </c>
      <c r="B1123" s="1" t="s">
        <v>2268</v>
      </c>
      <c r="C1123" s="1" t="s">
        <v>12</v>
      </c>
      <c r="D1123" s="1" t="s">
        <v>2258</v>
      </c>
      <c r="E1123" s="4">
        <v>1011606.0</v>
      </c>
      <c r="F1123" s="2">
        <v>3.0</v>
      </c>
      <c r="G1123" s="2" t="s">
        <v>1</v>
      </c>
      <c r="H1123" s="2" t="s">
        <v>37</v>
      </c>
      <c r="I1123" s="2" t="s">
        <v>15</v>
      </c>
      <c r="J1123" s="2" t="s">
        <v>15</v>
      </c>
    </row>
    <row r="1124" ht="15.75" customHeight="1">
      <c r="A1124" s="1" t="s">
        <v>2269</v>
      </c>
      <c r="B1124" s="1" t="s">
        <v>2270</v>
      </c>
      <c r="C1124" s="1" t="s">
        <v>12</v>
      </c>
      <c r="D1124" s="1" t="s">
        <v>2258</v>
      </c>
      <c r="E1124" s="4">
        <v>1011606.0</v>
      </c>
      <c r="F1124" s="2">
        <v>4.0</v>
      </c>
      <c r="G1124" s="2" t="s">
        <v>1</v>
      </c>
      <c r="H1124" s="2" t="s">
        <v>37</v>
      </c>
      <c r="I1124" s="2" t="s">
        <v>15</v>
      </c>
      <c r="J1124" s="2" t="s">
        <v>15</v>
      </c>
    </row>
    <row r="1125" ht="15.75" customHeight="1">
      <c r="A1125" s="1" t="s">
        <v>2271</v>
      </c>
      <c r="B1125" s="1" t="s">
        <v>2272</v>
      </c>
      <c r="C1125" s="1" t="s">
        <v>12</v>
      </c>
      <c r="D1125" s="1" t="s">
        <v>2258</v>
      </c>
      <c r="E1125" s="4">
        <v>1011606.0</v>
      </c>
      <c r="F1125" s="2" t="s">
        <v>30</v>
      </c>
      <c r="G1125" s="2" t="s">
        <v>1</v>
      </c>
      <c r="H1125" s="2" t="s">
        <v>37</v>
      </c>
      <c r="I1125" s="2" t="s">
        <v>15</v>
      </c>
      <c r="J1125" s="2" t="s">
        <v>15</v>
      </c>
    </row>
    <row r="1126" ht="15.75" customHeight="1">
      <c r="A1126" s="1" t="s">
        <v>2273</v>
      </c>
      <c r="B1126" s="3" t="s">
        <v>2274</v>
      </c>
      <c r="C1126" s="1" t="s">
        <v>12</v>
      </c>
      <c r="D1126" s="1" t="s">
        <v>2275</v>
      </c>
      <c r="E1126" s="4">
        <v>1011670.0</v>
      </c>
      <c r="F1126" s="2">
        <v>1.0</v>
      </c>
      <c r="G1126" s="2" t="s">
        <v>1</v>
      </c>
      <c r="H1126" s="2" t="s">
        <v>14</v>
      </c>
      <c r="I1126" s="2" t="s">
        <v>15</v>
      </c>
      <c r="J1126" s="2" t="s">
        <v>15</v>
      </c>
    </row>
    <row r="1127" ht="15.75" customHeight="1">
      <c r="A1127" s="1" t="s">
        <v>2276</v>
      </c>
      <c r="B1127" s="1" t="s">
        <v>2277</v>
      </c>
      <c r="C1127" s="1" t="s">
        <v>12</v>
      </c>
      <c r="D1127" s="1" t="s">
        <v>2275</v>
      </c>
      <c r="E1127" s="4">
        <v>1011670.0</v>
      </c>
      <c r="F1127" s="2">
        <v>1.0</v>
      </c>
      <c r="G1127" s="2" t="s">
        <v>1</v>
      </c>
      <c r="H1127" s="2" t="s">
        <v>18</v>
      </c>
      <c r="I1127" s="2" t="s">
        <v>15</v>
      </c>
      <c r="J1127" s="2" t="s">
        <v>15</v>
      </c>
    </row>
    <row r="1128" ht="15.75" customHeight="1">
      <c r="A1128" s="1" t="s">
        <v>2278</v>
      </c>
      <c r="B1128" s="1" t="s">
        <v>2279</v>
      </c>
      <c r="C1128" s="1" t="s">
        <v>12</v>
      </c>
      <c r="D1128" s="1" t="s">
        <v>2275</v>
      </c>
      <c r="E1128" s="4">
        <v>1011670.0</v>
      </c>
      <c r="F1128" s="2">
        <v>2.0</v>
      </c>
      <c r="G1128" s="2" t="s">
        <v>1</v>
      </c>
      <c r="H1128" s="2" t="s">
        <v>14</v>
      </c>
      <c r="I1128" s="2" t="s">
        <v>15</v>
      </c>
      <c r="J1128" s="2" t="s">
        <v>15</v>
      </c>
    </row>
    <row r="1129" ht="15.75" customHeight="1">
      <c r="A1129" s="1" t="s">
        <v>2280</v>
      </c>
      <c r="B1129" s="1" t="s">
        <v>2281</v>
      </c>
      <c r="C1129" s="1" t="s">
        <v>12</v>
      </c>
      <c r="D1129" s="1" t="s">
        <v>2275</v>
      </c>
      <c r="E1129" s="4">
        <v>1011670.0</v>
      </c>
      <c r="F1129" s="2">
        <v>2.0</v>
      </c>
      <c r="G1129" s="2" t="s">
        <v>1</v>
      </c>
      <c r="H1129" s="2" t="s">
        <v>18</v>
      </c>
      <c r="I1129" s="2" t="s">
        <v>15</v>
      </c>
      <c r="J1129" s="2" t="s">
        <v>15</v>
      </c>
    </row>
    <row r="1130" ht="15.75" customHeight="1">
      <c r="A1130" s="1" t="s">
        <v>2282</v>
      </c>
      <c r="B1130" s="1" t="s">
        <v>2283</v>
      </c>
      <c r="C1130" s="1" t="s">
        <v>12</v>
      </c>
      <c r="D1130" s="1" t="s">
        <v>2275</v>
      </c>
      <c r="E1130" s="4">
        <v>1011670.0</v>
      </c>
      <c r="F1130" s="2">
        <v>3.0</v>
      </c>
      <c r="G1130" s="2" t="s">
        <v>1</v>
      </c>
      <c r="H1130" s="2" t="s">
        <v>14</v>
      </c>
      <c r="I1130" s="2" t="s">
        <v>15</v>
      </c>
      <c r="J1130" s="2" t="s">
        <v>15</v>
      </c>
    </row>
    <row r="1131" ht="15.75" customHeight="1">
      <c r="A1131" s="1" t="s">
        <v>2284</v>
      </c>
      <c r="B1131" s="1" t="s">
        <v>2285</v>
      </c>
      <c r="C1131" s="1" t="s">
        <v>12</v>
      </c>
      <c r="D1131" s="1" t="s">
        <v>2275</v>
      </c>
      <c r="E1131" s="4">
        <v>1011670.0</v>
      </c>
      <c r="F1131" s="2">
        <v>3.0</v>
      </c>
      <c r="G1131" s="2" t="s">
        <v>1</v>
      </c>
      <c r="H1131" s="2" t="s">
        <v>18</v>
      </c>
      <c r="I1131" s="2" t="s">
        <v>15</v>
      </c>
      <c r="J1131" s="2" t="s">
        <v>15</v>
      </c>
    </row>
    <row r="1132" ht="15.75" customHeight="1">
      <c r="A1132" s="1" t="s">
        <v>2286</v>
      </c>
      <c r="B1132" s="1" t="s">
        <v>2287</v>
      </c>
      <c r="C1132" s="1" t="s">
        <v>12</v>
      </c>
      <c r="D1132" s="1" t="s">
        <v>2275</v>
      </c>
      <c r="E1132" s="4">
        <v>1011670.0</v>
      </c>
      <c r="F1132" s="2">
        <v>4.0</v>
      </c>
      <c r="G1132" s="2" t="s">
        <v>1</v>
      </c>
      <c r="H1132" s="2" t="s">
        <v>14</v>
      </c>
      <c r="I1132" s="2" t="s">
        <v>15</v>
      </c>
      <c r="J1132" s="2" t="s">
        <v>15</v>
      </c>
    </row>
    <row r="1133" ht="15.75" customHeight="1">
      <c r="A1133" s="1" t="s">
        <v>2288</v>
      </c>
      <c r="B1133" s="1" t="s">
        <v>2289</v>
      </c>
      <c r="C1133" s="1" t="s">
        <v>12</v>
      </c>
      <c r="D1133" s="1" t="s">
        <v>2275</v>
      </c>
      <c r="E1133" s="4">
        <v>1011670.0</v>
      </c>
      <c r="F1133" s="2">
        <v>4.0</v>
      </c>
      <c r="G1133" s="2" t="s">
        <v>1</v>
      </c>
      <c r="H1133" s="2" t="s">
        <v>18</v>
      </c>
      <c r="I1133" s="2" t="s">
        <v>15</v>
      </c>
      <c r="J1133" s="2" t="s">
        <v>15</v>
      </c>
    </row>
    <row r="1134" ht="15.75" customHeight="1">
      <c r="A1134" s="1" t="s">
        <v>2290</v>
      </c>
      <c r="B1134" s="1" t="s">
        <v>2291</v>
      </c>
      <c r="C1134" s="1" t="s">
        <v>12</v>
      </c>
      <c r="D1134" s="1" t="s">
        <v>2275</v>
      </c>
      <c r="E1134" s="4">
        <v>1011670.0</v>
      </c>
      <c r="F1134" s="2" t="s">
        <v>30</v>
      </c>
      <c r="G1134" s="2" t="s">
        <v>1</v>
      </c>
      <c r="H1134" s="2" t="s">
        <v>14</v>
      </c>
      <c r="I1134" s="2" t="s">
        <v>15</v>
      </c>
      <c r="J1134" s="2" t="s">
        <v>15</v>
      </c>
    </row>
    <row r="1135" ht="15.75" customHeight="1">
      <c r="A1135" s="1" t="s">
        <v>2292</v>
      </c>
      <c r="B1135" s="1" t="s">
        <v>2293</v>
      </c>
      <c r="C1135" s="1" t="s">
        <v>12</v>
      </c>
      <c r="D1135" s="1" t="s">
        <v>2275</v>
      </c>
      <c r="E1135" s="4">
        <v>1011670.0</v>
      </c>
      <c r="F1135" s="2" t="s">
        <v>15</v>
      </c>
      <c r="G1135" s="2" t="s">
        <v>33</v>
      </c>
      <c r="H1135" s="2" t="s">
        <v>15</v>
      </c>
      <c r="I1135" s="2" t="s">
        <v>15</v>
      </c>
      <c r="J1135" s="2" t="s">
        <v>15</v>
      </c>
    </row>
    <row r="1136" ht="15.75" customHeight="1">
      <c r="A1136" s="1" t="s">
        <v>2294</v>
      </c>
      <c r="B1136" s="1" t="s">
        <v>2295</v>
      </c>
      <c r="C1136" s="1" t="s">
        <v>12</v>
      </c>
      <c r="D1136" s="1" t="s">
        <v>2296</v>
      </c>
      <c r="E1136" s="4">
        <v>1011734.0</v>
      </c>
      <c r="F1136" s="2">
        <v>1.0</v>
      </c>
      <c r="G1136" s="2" t="s">
        <v>1</v>
      </c>
      <c r="H1136" s="2" t="s">
        <v>14</v>
      </c>
      <c r="I1136" s="2" t="s">
        <v>15</v>
      </c>
      <c r="J1136" s="2" t="s">
        <v>15</v>
      </c>
    </row>
    <row r="1137" ht="15.75" customHeight="1">
      <c r="A1137" s="1" t="s">
        <v>2297</v>
      </c>
      <c r="B1137" s="1" t="s">
        <v>2298</v>
      </c>
      <c r="C1137" s="1" t="s">
        <v>12</v>
      </c>
      <c r="D1137" s="1" t="s">
        <v>2296</v>
      </c>
      <c r="E1137" s="4">
        <v>1011734.0</v>
      </c>
      <c r="F1137" s="2">
        <v>1.0</v>
      </c>
      <c r="G1137" s="2" t="s">
        <v>1</v>
      </c>
      <c r="H1137" s="2" t="s">
        <v>18</v>
      </c>
      <c r="I1137" s="2" t="s">
        <v>15</v>
      </c>
      <c r="J1137" s="2" t="s">
        <v>15</v>
      </c>
    </row>
    <row r="1138" ht="15.75" customHeight="1">
      <c r="A1138" s="1" t="s">
        <v>2299</v>
      </c>
      <c r="B1138" s="1" t="s">
        <v>2300</v>
      </c>
      <c r="C1138" s="1" t="s">
        <v>12</v>
      </c>
      <c r="D1138" s="1" t="s">
        <v>2296</v>
      </c>
      <c r="E1138" s="4">
        <v>1011734.0</v>
      </c>
      <c r="F1138" s="2">
        <v>2.0</v>
      </c>
      <c r="G1138" s="2" t="s">
        <v>1</v>
      </c>
      <c r="H1138" s="2" t="s">
        <v>14</v>
      </c>
      <c r="I1138" s="2" t="s">
        <v>15</v>
      </c>
      <c r="J1138" s="2" t="s">
        <v>15</v>
      </c>
    </row>
    <row r="1139" ht="15.75" customHeight="1">
      <c r="A1139" s="1" t="s">
        <v>2301</v>
      </c>
      <c r="B1139" s="1" t="s">
        <v>2302</v>
      </c>
      <c r="C1139" s="1" t="s">
        <v>12</v>
      </c>
      <c r="D1139" s="1" t="s">
        <v>2296</v>
      </c>
      <c r="E1139" s="4">
        <v>1011734.0</v>
      </c>
      <c r="F1139" s="2">
        <v>2.0</v>
      </c>
      <c r="G1139" s="2" t="s">
        <v>1</v>
      </c>
      <c r="H1139" s="2" t="s">
        <v>18</v>
      </c>
      <c r="I1139" s="2" t="s">
        <v>15</v>
      </c>
      <c r="J1139" s="2" t="s">
        <v>15</v>
      </c>
    </row>
    <row r="1140" ht="15.75" customHeight="1">
      <c r="A1140" s="1" t="s">
        <v>2303</v>
      </c>
      <c r="B1140" s="1" t="s">
        <v>2304</v>
      </c>
      <c r="C1140" s="1" t="s">
        <v>12</v>
      </c>
      <c r="D1140" s="1" t="s">
        <v>2296</v>
      </c>
      <c r="E1140" s="4">
        <v>1011734.0</v>
      </c>
      <c r="F1140" s="2" t="s">
        <v>30</v>
      </c>
      <c r="G1140" s="2" t="s">
        <v>1</v>
      </c>
      <c r="H1140" s="2" t="s">
        <v>14</v>
      </c>
      <c r="I1140" s="2" t="s">
        <v>15</v>
      </c>
      <c r="J1140" s="2" t="s">
        <v>15</v>
      </c>
    </row>
    <row r="1141" ht="15.75" customHeight="1">
      <c r="A1141" s="1" t="s">
        <v>2305</v>
      </c>
      <c r="B1141" s="1" t="s">
        <v>2306</v>
      </c>
      <c r="C1141" s="1" t="s">
        <v>12</v>
      </c>
      <c r="D1141" s="1" t="s">
        <v>2296</v>
      </c>
      <c r="E1141" s="4">
        <v>1011734.0</v>
      </c>
      <c r="F1141" s="2" t="s">
        <v>15</v>
      </c>
      <c r="G1141" s="2" t="s">
        <v>33</v>
      </c>
      <c r="H1141" s="2" t="s">
        <v>15</v>
      </c>
      <c r="I1141" s="2" t="s">
        <v>15</v>
      </c>
      <c r="J1141" s="2" t="s">
        <v>15</v>
      </c>
    </row>
    <row r="1142" ht="15.75" customHeight="1">
      <c r="A1142" s="1" t="s">
        <v>2307</v>
      </c>
      <c r="B1142" s="1" t="s">
        <v>2308</v>
      </c>
      <c r="C1142" s="1" t="s">
        <v>12</v>
      </c>
      <c r="D1142" s="1" t="s">
        <v>2309</v>
      </c>
      <c r="E1142" s="4">
        <v>1011798.0</v>
      </c>
      <c r="F1142" s="2">
        <v>1.0</v>
      </c>
      <c r="G1142" s="2" t="s">
        <v>1</v>
      </c>
      <c r="H1142" s="2" t="s">
        <v>14</v>
      </c>
      <c r="I1142" s="2" t="s">
        <v>15</v>
      </c>
      <c r="J1142" s="2" t="s">
        <v>15</v>
      </c>
    </row>
    <row r="1143" ht="15.75" customHeight="1">
      <c r="A1143" s="1" t="s">
        <v>2310</v>
      </c>
      <c r="B1143" s="1" t="s">
        <v>2311</v>
      </c>
      <c r="C1143" s="1" t="s">
        <v>12</v>
      </c>
      <c r="D1143" s="1" t="s">
        <v>2309</v>
      </c>
      <c r="E1143" s="4">
        <v>1011798.0</v>
      </c>
      <c r="F1143" s="2">
        <v>1.0</v>
      </c>
      <c r="G1143" s="2" t="s">
        <v>1</v>
      </c>
      <c r="H1143" s="2" t="s">
        <v>18</v>
      </c>
      <c r="I1143" s="2" t="s">
        <v>15</v>
      </c>
      <c r="J1143" s="2" t="s">
        <v>15</v>
      </c>
    </row>
    <row r="1144" ht="15.75" customHeight="1">
      <c r="A1144" s="1" t="s">
        <v>2312</v>
      </c>
      <c r="B1144" s="1" t="s">
        <v>2313</v>
      </c>
      <c r="C1144" s="1" t="s">
        <v>12</v>
      </c>
      <c r="D1144" s="1" t="s">
        <v>2309</v>
      </c>
      <c r="E1144" s="4">
        <v>1011798.0</v>
      </c>
      <c r="F1144" s="2">
        <v>2.0</v>
      </c>
      <c r="G1144" s="2" t="s">
        <v>1</v>
      </c>
      <c r="H1144" s="2" t="s">
        <v>14</v>
      </c>
      <c r="I1144" s="2" t="s">
        <v>15</v>
      </c>
      <c r="J1144" s="2" t="s">
        <v>15</v>
      </c>
    </row>
    <row r="1145" ht="15.75" customHeight="1">
      <c r="A1145" s="1" t="s">
        <v>2314</v>
      </c>
      <c r="B1145" s="1" t="s">
        <v>2315</v>
      </c>
      <c r="C1145" s="1" t="s">
        <v>12</v>
      </c>
      <c r="D1145" s="1" t="s">
        <v>2309</v>
      </c>
      <c r="E1145" s="4">
        <v>1011798.0</v>
      </c>
      <c r="F1145" s="2">
        <v>2.0</v>
      </c>
      <c r="G1145" s="2" t="s">
        <v>1</v>
      </c>
      <c r="H1145" s="2" t="s">
        <v>18</v>
      </c>
      <c r="I1145" s="2" t="s">
        <v>15</v>
      </c>
      <c r="J1145" s="2" t="s">
        <v>15</v>
      </c>
    </row>
    <row r="1146" ht="15.75" customHeight="1">
      <c r="A1146" s="1" t="s">
        <v>2316</v>
      </c>
      <c r="B1146" s="1" t="s">
        <v>2317</v>
      </c>
      <c r="C1146" s="1" t="s">
        <v>12</v>
      </c>
      <c r="D1146" s="1" t="s">
        <v>2309</v>
      </c>
      <c r="E1146" s="4">
        <v>1011798.0</v>
      </c>
      <c r="F1146" s="2" t="s">
        <v>30</v>
      </c>
      <c r="G1146" s="2" t="s">
        <v>1</v>
      </c>
      <c r="H1146" s="2" t="s">
        <v>14</v>
      </c>
      <c r="I1146" s="2" t="s">
        <v>15</v>
      </c>
      <c r="J1146" s="2" t="s">
        <v>15</v>
      </c>
    </row>
    <row r="1147" ht="15.75" customHeight="1">
      <c r="A1147" s="1" t="s">
        <v>2318</v>
      </c>
      <c r="B1147" s="1" t="s">
        <v>2319</v>
      </c>
      <c r="C1147" s="1" t="s">
        <v>12</v>
      </c>
      <c r="D1147" s="1" t="s">
        <v>2309</v>
      </c>
      <c r="E1147" s="4">
        <v>1011798.0</v>
      </c>
      <c r="F1147" s="2" t="s">
        <v>15</v>
      </c>
      <c r="G1147" s="2" t="s">
        <v>33</v>
      </c>
      <c r="H1147" s="2" t="s">
        <v>15</v>
      </c>
      <c r="I1147" s="2" t="s">
        <v>15</v>
      </c>
      <c r="J1147" s="2" t="s">
        <v>15</v>
      </c>
    </row>
    <row r="1148" ht="15.75" customHeight="1">
      <c r="A1148" s="1" t="s">
        <v>2320</v>
      </c>
      <c r="B1148" s="1" t="s">
        <v>2321</v>
      </c>
      <c r="C1148" s="1" t="s">
        <v>12</v>
      </c>
      <c r="D1148" s="1" t="s">
        <v>2322</v>
      </c>
      <c r="E1148" s="4">
        <v>1011862.0</v>
      </c>
      <c r="F1148" s="2">
        <v>1.0</v>
      </c>
      <c r="G1148" s="2" t="s">
        <v>1</v>
      </c>
      <c r="H1148" s="2" t="s">
        <v>14</v>
      </c>
      <c r="I1148" s="2" t="s">
        <v>15</v>
      </c>
      <c r="J1148" s="2" t="s">
        <v>15</v>
      </c>
    </row>
    <row r="1149" ht="15.75" customHeight="1">
      <c r="A1149" s="1" t="s">
        <v>2323</v>
      </c>
      <c r="B1149" s="1" t="s">
        <v>2324</v>
      </c>
      <c r="C1149" s="1" t="s">
        <v>12</v>
      </c>
      <c r="D1149" s="1" t="s">
        <v>2322</v>
      </c>
      <c r="E1149" s="4">
        <v>1011862.0</v>
      </c>
      <c r="F1149" s="2">
        <v>1.0</v>
      </c>
      <c r="G1149" s="2" t="s">
        <v>1</v>
      </c>
      <c r="H1149" s="2" t="s">
        <v>18</v>
      </c>
      <c r="I1149" s="2" t="s">
        <v>15</v>
      </c>
      <c r="J1149" s="2" t="s">
        <v>15</v>
      </c>
    </row>
    <row r="1150" ht="15.75" customHeight="1">
      <c r="A1150" s="1" t="s">
        <v>2325</v>
      </c>
      <c r="B1150" s="1" t="s">
        <v>2326</v>
      </c>
      <c r="C1150" s="1" t="s">
        <v>12</v>
      </c>
      <c r="D1150" s="1" t="s">
        <v>2322</v>
      </c>
      <c r="E1150" s="4">
        <v>1011862.0</v>
      </c>
      <c r="F1150" s="2">
        <v>2.0</v>
      </c>
      <c r="G1150" s="2" t="s">
        <v>1</v>
      </c>
      <c r="H1150" s="2" t="s">
        <v>14</v>
      </c>
      <c r="I1150" s="2" t="s">
        <v>15</v>
      </c>
      <c r="J1150" s="2" t="s">
        <v>15</v>
      </c>
    </row>
    <row r="1151" ht="15.75" customHeight="1">
      <c r="A1151" s="1" t="s">
        <v>2327</v>
      </c>
      <c r="B1151" s="1" t="s">
        <v>2328</v>
      </c>
      <c r="C1151" s="1" t="s">
        <v>12</v>
      </c>
      <c r="D1151" s="1" t="s">
        <v>2322</v>
      </c>
      <c r="E1151" s="4">
        <v>1011862.0</v>
      </c>
      <c r="F1151" s="2">
        <v>2.0</v>
      </c>
      <c r="G1151" s="2" t="s">
        <v>1</v>
      </c>
      <c r="H1151" s="2" t="s">
        <v>18</v>
      </c>
      <c r="I1151" s="2" t="s">
        <v>15</v>
      </c>
      <c r="J1151" s="2" t="s">
        <v>15</v>
      </c>
    </row>
    <row r="1152" ht="15.75" customHeight="1">
      <c r="A1152" s="1" t="s">
        <v>2329</v>
      </c>
      <c r="B1152" s="1" t="s">
        <v>2330</v>
      </c>
      <c r="C1152" s="1" t="s">
        <v>12</v>
      </c>
      <c r="D1152" s="1" t="s">
        <v>2322</v>
      </c>
      <c r="E1152" s="4">
        <v>1011862.0</v>
      </c>
      <c r="F1152" s="2">
        <v>3.0</v>
      </c>
      <c r="G1152" s="2" t="s">
        <v>1</v>
      </c>
      <c r="H1152" s="2" t="s">
        <v>14</v>
      </c>
      <c r="I1152" s="2" t="s">
        <v>15</v>
      </c>
      <c r="J1152" s="2" t="s">
        <v>15</v>
      </c>
    </row>
    <row r="1153" ht="15.75" customHeight="1">
      <c r="A1153" s="1" t="s">
        <v>2331</v>
      </c>
      <c r="B1153" s="1" t="s">
        <v>2332</v>
      </c>
      <c r="C1153" s="1" t="s">
        <v>12</v>
      </c>
      <c r="D1153" s="1" t="s">
        <v>2322</v>
      </c>
      <c r="E1153" s="4">
        <v>1011862.0</v>
      </c>
      <c r="F1153" s="2">
        <v>3.0</v>
      </c>
      <c r="G1153" s="2" t="s">
        <v>1</v>
      </c>
      <c r="H1153" s="2" t="s">
        <v>18</v>
      </c>
      <c r="I1153" s="2" t="s">
        <v>15</v>
      </c>
      <c r="J1153" s="2" t="s">
        <v>15</v>
      </c>
    </row>
    <row r="1154" ht="15.75" customHeight="1">
      <c r="A1154" s="1" t="s">
        <v>2333</v>
      </c>
      <c r="B1154" s="1" t="s">
        <v>2334</v>
      </c>
      <c r="C1154" s="1" t="s">
        <v>12</v>
      </c>
      <c r="D1154" s="1" t="s">
        <v>2322</v>
      </c>
      <c r="E1154" s="4">
        <v>1011862.0</v>
      </c>
      <c r="F1154" s="2">
        <v>4.0</v>
      </c>
      <c r="G1154" s="2" t="s">
        <v>1</v>
      </c>
      <c r="H1154" s="2" t="s">
        <v>14</v>
      </c>
      <c r="I1154" s="2" t="s">
        <v>15</v>
      </c>
      <c r="J1154" s="2" t="s">
        <v>15</v>
      </c>
    </row>
    <row r="1155" ht="15.75" customHeight="1">
      <c r="A1155" s="1" t="s">
        <v>2335</v>
      </c>
      <c r="B1155" s="1" t="s">
        <v>2336</v>
      </c>
      <c r="C1155" s="1" t="s">
        <v>12</v>
      </c>
      <c r="D1155" s="1" t="s">
        <v>2322</v>
      </c>
      <c r="E1155" s="4">
        <v>1011862.0</v>
      </c>
      <c r="F1155" s="2">
        <v>4.0</v>
      </c>
      <c r="G1155" s="2" t="s">
        <v>1</v>
      </c>
      <c r="H1155" s="2" t="s">
        <v>18</v>
      </c>
      <c r="I1155" s="2" t="s">
        <v>15</v>
      </c>
      <c r="J1155" s="2" t="s">
        <v>15</v>
      </c>
    </row>
    <row r="1156" ht="15.75" customHeight="1">
      <c r="A1156" s="1" t="s">
        <v>2337</v>
      </c>
      <c r="B1156" s="1" t="s">
        <v>2338</v>
      </c>
      <c r="C1156" s="1" t="s">
        <v>12</v>
      </c>
      <c r="D1156" s="1" t="s">
        <v>2322</v>
      </c>
      <c r="E1156" s="4">
        <v>1011862.0</v>
      </c>
      <c r="F1156" s="2" t="s">
        <v>30</v>
      </c>
      <c r="G1156" s="2" t="s">
        <v>1</v>
      </c>
      <c r="H1156" s="2" t="s">
        <v>14</v>
      </c>
      <c r="I1156" s="2" t="s">
        <v>15</v>
      </c>
      <c r="J1156" s="2" t="s">
        <v>15</v>
      </c>
    </row>
    <row r="1157" ht="15.75" customHeight="1">
      <c r="A1157" s="1" t="s">
        <v>2339</v>
      </c>
      <c r="B1157" s="1" t="s">
        <v>2340</v>
      </c>
      <c r="C1157" s="1" t="s">
        <v>12</v>
      </c>
      <c r="D1157" s="1" t="s">
        <v>2322</v>
      </c>
      <c r="E1157" s="4">
        <v>1011862.0</v>
      </c>
      <c r="F1157" s="2" t="s">
        <v>15</v>
      </c>
      <c r="G1157" s="2" t="s">
        <v>33</v>
      </c>
      <c r="H1157" s="2" t="s">
        <v>15</v>
      </c>
      <c r="I1157" s="2" t="s">
        <v>15</v>
      </c>
      <c r="J1157" s="2" t="s">
        <v>15</v>
      </c>
    </row>
    <row r="1158" ht="15.75" customHeight="1">
      <c r="A1158" s="1" t="s">
        <v>2341</v>
      </c>
      <c r="B1158" s="1" t="s">
        <v>2342</v>
      </c>
      <c r="C1158" s="1" t="s">
        <v>12</v>
      </c>
      <c r="D1158" s="1" t="s">
        <v>2343</v>
      </c>
      <c r="E1158" s="4">
        <v>1011926.0</v>
      </c>
      <c r="F1158" s="2">
        <v>1.0</v>
      </c>
      <c r="G1158" s="2" t="s">
        <v>1</v>
      </c>
      <c r="H1158" s="2" t="s">
        <v>14</v>
      </c>
      <c r="I1158" s="2" t="s">
        <v>15</v>
      </c>
      <c r="J1158" s="2" t="s">
        <v>15</v>
      </c>
    </row>
    <row r="1159" ht="15.75" customHeight="1">
      <c r="A1159" s="1" t="s">
        <v>2344</v>
      </c>
      <c r="B1159" s="1" t="s">
        <v>2345</v>
      </c>
      <c r="C1159" s="1" t="s">
        <v>12</v>
      </c>
      <c r="D1159" s="1" t="s">
        <v>2343</v>
      </c>
      <c r="E1159" s="4">
        <v>1011926.0</v>
      </c>
      <c r="F1159" s="2">
        <v>1.0</v>
      </c>
      <c r="G1159" s="2" t="s">
        <v>1</v>
      </c>
      <c r="H1159" s="2" t="s">
        <v>18</v>
      </c>
      <c r="I1159" s="2" t="s">
        <v>15</v>
      </c>
      <c r="J1159" s="2" t="s">
        <v>15</v>
      </c>
    </row>
    <row r="1160" ht="15.75" customHeight="1">
      <c r="A1160" s="1" t="s">
        <v>2346</v>
      </c>
      <c r="B1160" s="1" t="s">
        <v>2347</v>
      </c>
      <c r="C1160" s="1" t="s">
        <v>12</v>
      </c>
      <c r="D1160" s="1" t="s">
        <v>2343</v>
      </c>
      <c r="E1160" s="4">
        <v>1011926.0</v>
      </c>
      <c r="F1160" s="2">
        <v>2.0</v>
      </c>
      <c r="G1160" s="2" t="s">
        <v>1</v>
      </c>
      <c r="H1160" s="2" t="s">
        <v>14</v>
      </c>
      <c r="I1160" s="2" t="s">
        <v>15</v>
      </c>
      <c r="J1160" s="2" t="s">
        <v>15</v>
      </c>
    </row>
    <row r="1161" ht="15.75" customHeight="1">
      <c r="A1161" s="1" t="s">
        <v>2348</v>
      </c>
      <c r="B1161" s="1" t="s">
        <v>2349</v>
      </c>
      <c r="C1161" s="1" t="s">
        <v>12</v>
      </c>
      <c r="D1161" s="1" t="s">
        <v>2343</v>
      </c>
      <c r="E1161" s="4">
        <v>1011926.0</v>
      </c>
      <c r="F1161" s="2">
        <v>2.0</v>
      </c>
      <c r="G1161" s="2" t="s">
        <v>1</v>
      </c>
      <c r="H1161" s="2" t="s">
        <v>18</v>
      </c>
      <c r="I1161" s="2" t="s">
        <v>15</v>
      </c>
      <c r="J1161" s="2" t="s">
        <v>15</v>
      </c>
    </row>
    <row r="1162" ht="15.75" customHeight="1">
      <c r="A1162" s="1" t="s">
        <v>2350</v>
      </c>
      <c r="B1162" s="1" t="s">
        <v>2351</v>
      </c>
      <c r="C1162" s="1" t="s">
        <v>12</v>
      </c>
      <c r="D1162" s="1" t="s">
        <v>2343</v>
      </c>
      <c r="E1162" s="4">
        <v>1011926.0</v>
      </c>
      <c r="F1162" s="2" t="s">
        <v>30</v>
      </c>
      <c r="G1162" s="2" t="s">
        <v>1</v>
      </c>
      <c r="H1162" s="2" t="s">
        <v>14</v>
      </c>
      <c r="I1162" s="2" t="s">
        <v>15</v>
      </c>
      <c r="J1162" s="2" t="s">
        <v>15</v>
      </c>
    </row>
    <row r="1163" ht="15.75" customHeight="1">
      <c r="A1163" s="1" t="s">
        <v>2352</v>
      </c>
      <c r="B1163" s="1" t="s">
        <v>2353</v>
      </c>
      <c r="C1163" s="1" t="s">
        <v>12</v>
      </c>
      <c r="D1163" s="1" t="s">
        <v>2343</v>
      </c>
      <c r="E1163" s="4">
        <v>1011926.0</v>
      </c>
      <c r="F1163" s="2" t="s">
        <v>15</v>
      </c>
      <c r="G1163" s="2" t="s">
        <v>33</v>
      </c>
      <c r="H1163" s="2" t="s">
        <v>15</v>
      </c>
      <c r="I1163" s="2" t="s">
        <v>15</v>
      </c>
      <c r="J1163" s="2" t="s">
        <v>15</v>
      </c>
    </row>
    <row r="1164" ht="15.75" customHeight="1">
      <c r="A1164" s="1" t="s">
        <v>2354</v>
      </c>
      <c r="B1164" s="1" t="s">
        <v>2355</v>
      </c>
      <c r="C1164" s="1" t="s">
        <v>12</v>
      </c>
      <c r="D1164" s="1" t="s">
        <v>2356</v>
      </c>
      <c r="E1164" s="4">
        <v>1011990.0</v>
      </c>
      <c r="F1164" s="2">
        <v>1.0</v>
      </c>
      <c r="G1164" s="2" t="s">
        <v>1</v>
      </c>
      <c r="H1164" s="2" t="s">
        <v>14</v>
      </c>
      <c r="I1164" s="2" t="s">
        <v>15</v>
      </c>
      <c r="J1164" s="2" t="s">
        <v>15</v>
      </c>
    </row>
    <row r="1165" ht="15.75" customHeight="1">
      <c r="A1165" s="1" t="s">
        <v>2357</v>
      </c>
      <c r="B1165" s="1" t="s">
        <v>2358</v>
      </c>
      <c r="C1165" s="1" t="s">
        <v>12</v>
      </c>
      <c r="D1165" s="1" t="s">
        <v>2356</v>
      </c>
      <c r="E1165" s="4">
        <v>1011990.0</v>
      </c>
      <c r="F1165" s="2">
        <v>1.0</v>
      </c>
      <c r="G1165" s="2" t="s">
        <v>1</v>
      </c>
      <c r="H1165" s="2" t="s">
        <v>18</v>
      </c>
      <c r="I1165" s="2" t="s">
        <v>15</v>
      </c>
      <c r="J1165" s="2" t="s">
        <v>15</v>
      </c>
    </row>
    <row r="1166" ht="15.75" customHeight="1">
      <c r="A1166" s="1" t="s">
        <v>2359</v>
      </c>
      <c r="B1166" s="1" t="s">
        <v>2360</v>
      </c>
      <c r="C1166" s="1" t="s">
        <v>12</v>
      </c>
      <c r="D1166" s="1" t="s">
        <v>2356</v>
      </c>
      <c r="E1166" s="4">
        <v>1011990.0</v>
      </c>
      <c r="F1166" s="2">
        <v>2.0</v>
      </c>
      <c r="G1166" s="2" t="s">
        <v>1</v>
      </c>
      <c r="H1166" s="2" t="s">
        <v>14</v>
      </c>
      <c r="I1166" s="2" t="s">
        <v>15</v>
      </c>
      <c r="J1166" s="2" t="s">
        <v>15</v>
      </c>
    </row>
    <row r="1167" ht="15.75" customHeight="1">
      <c r="A1167" s="1" t="s">
        <v>2361</v>
      </c>
      <c r="B1167" s="1" t="s">
        <v>2362</v>
      </c>
      <c r="C1167" s="1" t="s">
        <v>12</v>
      </c>
      <c r="D1167" s="1" t="s">
        <v>2356</v>
      </c>
      <c r="E1167" s="4">
        <v>1011990.0</v>
      </c>
      <c r="F1167" s="2">
        <v>2.0</v>
      </c>
      <c r="G1167" s="2" t="s">
        <v>1</v>
      </c>
      <c r="H1167" s="2" t="s">
        <v>18</v>
      </c>
      <c r="I1167" s="2" t="s">
        <v>15</v>
      </c>
      <c r="J1167" s="2" t="s">
        <v>15</v>
      </c>
    </row>
    <row r="1168" ht="15.75" customHeight="1">
      <c r="A1168" s="1" t="s">
        <v>2363</v>
      </c>
      <c r="B1168" s="1" t="s">
        <v>2364</v>
      </c>
      <c r="C1168" s="1" t="s">
        <v>12</v>
      </c>
      <c r="D1168" s="1" t="s">
        <v>2356</v>
      </c>
      <c r="E1168" s="4">
        <v>1011990.0</v>
      </c>
      <c r="F1168" s="2">
        <v>3.0</v>
      </c>
      <c r="G1168" s="2" t="s">
        <v>1</v>
      </c>
      <c r="H1168" s="2" t="s">
        <v>14</v>
      </c>
      <c r="I1168" s="2" t="s">
        <v>15</v>
      </c>
      <c r="J1168" s="2" t="s">
        <v>15</v>
      </c>
    </row>
    <row r="1169" ht="15.75" customHeight="1">
      <c r="A1169" s="1" t="s">
        <v>2365</v>
      </c>
      <c r="B1169" s="1" t="s">
        <v>2366</v>
      </c>
      <c r="C1169" s="1" t="s">
        <v>12</v>
      </c>
      <c r="D1169" s="1" t="s">
        <v>2356</v>
      </c>
      <c r="E1169" s="4">
        <v>1011990.0</v>
      </c>
      <c r="F1169" s="2">
        <v>3.0</v>
      </c>
      <c r="G1169" s="2" t="s">
        <v>1</v>
      </c>
      <c r="H1169" s="2" t="s">
        <v>18</v>
      </c>
      <c r="I1169" s="2" t="s">
        <v>15</v>
      </c>
      <c r="J1169" s="2" t="s">
        <v>15</v>
      </c>
    </row>
    <row r="1170" ht="15.75" customHeight="1">
      <c r="A1170" s="1" t="s">
        <v>2367</v>
      </c>
      <c r="B1170" s="1" t="s">
        <v>2368</v>
      </c>
      <c r="C1170" s="1" t="s">
        <v>12</v>
      </c>
      <c r="D1170" s="1" t="s">
        <v>2356</v>
      </c>
      <c r="E1170" s="4">
        <v>1011990.0</v>
      </c>
      <c r="F1170" s="2">
        <v>4.0</v>
      </c>
      <c r="G1170" s="2" t="s">
        <v>1</v>
      </c>
      <c r="H1170" s="2" t="s">
        <v>14</v>
      </c>
      <c r="I1170" s="2" t="s">
        <v>15</v>
      </c>
      <c r="J1170" s="2" t="s">
        <v>15</v>
      </c>
    </row>
    <row r="1171" ht="15.75" customHeight="1">
      <c r="A1171" s="1" t="s">
        <v>2369</v>
      </c>
      <c r="B1171" s="1" t="s">
        <v>2370</v>
      </c>
      <c r="C1171" s="1" t="s">
        <v>12</v>
      </c>
      <c r="D1171" s="1" t="s">
        <v>2356</v>
      </c>
      <c r="E1171" s="4">
        <v>1011990.0</v>
      </c>
      <c r="F1171" s="2">
        <v>4.0</v>
      </c>
      <c r="G1171" s="2" t="s">
        <v>1</v>
      </c>
      <c r="H1171" s="2" t="s">
        <v>18</v>
      </c>
      <c r="I1171" s="2" t="s">
        <v>15</v>
      </c>
      <c r="J1171" s="2" t="s">
        <v>15</v>
      </c>
    </row>
    <row r="1172" ht="15.75" customHeight="1">
      <c r="A1172" s="1" t="s">
        <v>2371</v>
      </c>
      <c r="B1172" s="1" t="s">
        <v>2372</v>
      </c>
      <c r="C1172" s="1" t="s">
        <v>12</v>
      </c>
      <c r="D1172" s="1" t="s">
        <v>2356</v>
      </c>
      <c r="E1172" s="4">
        <v>1011990.0</v>
      </c>
      <c r="F1172" s="2" t="s">
        <v>30</v>
      </c>
      <c r="G1172" s="2" t="s">
        <v>1</v>
      </c>
      <c r="H1172" s="2" t="s">
        <v>14</v>
      </c>
      <c r="I1172" s="2" t="s">
        <v>15</v>
      </c>
      <c r="J1172" s="2" t="s">
        <v>15</v>
      </c>
    </row>
    <row r="1173" ht="15.75" customHeight="1">
      <c r="A1173" s="1" t="s">
        <v>2373</v>
      </c>
      <c r="B1173" s="1" t="s">
        <v>2374</v>
      </c>
      <c r="C1173" s="1" t="s">
        <v>12</v>
      </c>
      <c r="D1173" s="1" t="s">
        <v>2356</v>
      </c>
      <c r="E1173" s="4">
        <v>1011990.0</v>
      </c>
      <c r="F1173" s="2" t="s">
        <v>15</v>
      </c>
      <c r="G1173" s="2" t="s">
        <v>33</v>
      </c>
      <c r="H1173" s="2" t="s">
        <v>15</v>
      </c>
      <c r="I1173" s="2" t="s">
        <v>15</v>
      </c>
      <c r="J1173" s="2" t="s">
        <v>15</v>
      </c>
    </row>
    <row r="1174" ht="15.75" customHeight="1">
      <c r="A1174" s="1" t="s">
        <v>2375</v>
      </c>
      <c r="B1174" s="3" t="s">
        <v>2376</v>
      </c>
      <c r="C1174" s="1" t="s">
        <v>12</v>
      </c>
      <c r="D1174" s="1" t="s">
        <v>2377</v>
      </c>
      <c r="E1174" s="4">
        <v>1012054.0</v>
      </c>
      <c r="F1174" s="2">
        <v>1.0</v>
      </c>
      <c r="G1174" s="2" t="s">
        <v>1</v>
      </c>
      <c r="H1174" s="2" t="s">
        <v>14</v>
      </c>
      <c r="I1174" s="5" t="str">
        <f>IFERROR(
  MID(
    SUBSTITUTE(B1174, CHAR(10), ""),
    FIND("_Gross ROI=", SUBSTITUTE(B1174, CHAR(10), "")) + LEN("_Gross ROI="),
    FIND("%", SUBSTITUTE(B1174, CHAR(10), ""), FIND("_Gross ROI=", SUBSTITUTE(B1174, CHAR(10), "")))
      - FIND("_Gross ROI=", SUBSTITUTE(B1174, CHAR(10), "")) - LEN("_Gross ROI=") + 1
  ),
  ""
)</f>
        <v>6.8%</v>
      </c>
      <c r="J1174" s="5" t="str">
        <f>IFERROR(
  MID(
    SUBSTITUTE(B1174, CHAR(10), ""),
    FIND("_Median annual rent=", SUBSTITUTE(B1174, CHAR(10), "")) + LEN("_Median annual rent="),
    FIND("K", SUBSTITUTE(B1174, CHAR(10), ""), FIND("_Median annual rent=", SUBSTITUTE(B1174, CHAR(10), "")))
      - FIND("_Median annual rent=", SUBSTITUTE(B1174, CHAR(10), "")) - LEN("_Median annual rent=") + 1
  ),
  "")</f>
        <v>105.5K</v>
      </c>
    </row>
    <row r="1175" ht="15.75" customHeight="1">
      <c r="A1175" s="1" t="s">
        <v>2378</v>
      </c>
      <c r="B1175" s="1" t="s">
        <v>2379</v>
      </c>
      <c r="C1175" s="1" t="s">
        <v>12</v>
      </c>
      <c r="D1175" s="1" t="s">
        <v>2377</v>
      </c>
      <c r="E1175" s="4">
        <v>1012054.0</v>
      </c>
      <c r="F1175" s="2">
        <v>1.0</v>
      </c>
      <c r="G1175" s="2" t="s">
        <v>1</v>
      </c>
      <c r="H1175" s="2" t="s">
        <v>18</v>
      </c>
      <c r="I1175" s="2" t="s">
        <v>15</v>
      </c>
      <c r="J1175" s="2" t="s">
        <v>15</v>
      </c>
    </row>
    <row r="1176" ht="15.75" customHeight="1">
      <c r="A1176" s="1" t="s">
        <v>2380</v>
      </c>
      <c r="B1176" s="1" t="s">
        <v>2381</v>
      </c>
      <c r="C1176" s="1" t="s">
        <v>12</v>
      </c>
      <c r="D1176" s="1" t="s">
        <v>2377</v>
      </c>
      <c r="E1176" s="4">
        <v>1012054.0</v>
      </c>
      <c r="F1176" s="2">
        <v>1.0</v>
      </c>
      <c r="G1176" s="2" t="s">
        <v>1</v>
      </c>
      <c r="H1176" s="2" t="s">
        <v>53</v>
      </c>
      <c r="I1176" s="2" t="s">
        <v>15</v>
      </c>
      <c r="J1176" s="2" t="s">
        <v>15</v>
      </c>
    </row>
    <row r="1177" ht="15.75" customHeight="1">
      <c r="A1177" s="1" t="s">
        <v>2382</v>
      </c>
      <c r="B1177" s="1" t="s">
        <v>2383</v>
      </c>
      <c r="C1177" s="1" t="s">
        <v>12</v>
      </c>
      <c r="D1177" s="1" t="s">
        <v>2377</v>
      </c>
      <c r="E1177" s="4">
        <v>1012054.0</v>
      </c>
      <c r="F1177" s="2">
        <v>2.0</v>
      </c>
      <c r="G1177" s="2" t="s">
        <v>1</v>
      </c>
      <c r="H1177" s="2" t="s">
        <v>14</v>
      </c>
      <c r="I1177" s="5" t="str">
        <f>IFERROR(
  MID(
    SUBSTITUTE(B1177, CHAR(10), ""),
    FIND("_Gross ROI=", SUBSTITUTE(B1177, CHAR(10), "")) + LEN("_Gross ROI="),
    FIND("%", SUBSTITUTE(B1177, CHAR(10), ""), FIND("_Gross ROI=", SUBSTITUTE(B1177, CHAR(10), "")))
      - FIND("_Gross ROI=", SUBSTITUTE(B1177, CHAR(10), "")) - LEN("_Gross ROI=") + 1
  ),
  ""
)</f>
        <v>6.51%</v>
      </c>
      <c r="J1177" s="5" t="str">
        <f>IFERROR(
  MID(
    SUBSTITUTE(B1177, CHAR(10), ""),
    FIND("_Median annual rent=", SUBSTITUTE(B1177, CHAR(10), "")) + LEN("_Median annual rent="),
    FIND("K", SUBSTITUTE(B1177, CHAR(10), ""), FIND("_Median annual rent=", SUBSTITUTE(B1177, CHAR(10), "")))
      - FIND("_Median annual rent=", SUBSTITUTE(B1177, CHAR(10), "")) - LEN("_Median annual rent=") + 1
  ),
  "")</f>
        <v>157.5K</v>
      </c>
    </row>
    <row r="1178" ht="15.75" customHeight="1">
      <c r="A1178" s="1" t="s">
        <v>2384</v>
      </c>
      <c r="B1178" s="1" t="s">
        <v>2385</v>
      </c>
      <c r="C1178" s="1" t="s">
        <v>12</v>
      </c>
      <c r="D1178" s="1" t="s">
        <v>2377</v>
      </c>
      <c r="E1178" s="4">
        <v>1012054.0</v>
      </c>
      <c r="F1178" s="2">
        <v>2.0</v>
      </c>
      <c r="G1178" s="2" t="s">
        <v>1</v>
      </c>
      <c r="H1178" s="2" t="s">
        <v>18</v>
      </c>
      <c r="I1178" s="2" t="s">
        <v>15</v>
      </c>
      <c r="J1178" s="2" t="s">
        <v>15</v>
      </c>
    </row>
    <row r="1179" ht="15.75" customHeight="1">
      <c r="A1179" s="1" t="s">
        <v>2386</v>
      </c>
      <c r="B1179" s="1" t="s">
        <v>2387</v>
      </c>
      <c r="C1179" s="1" t="s">
        <v>12</v>
      </c>
      <c r="D1179" s="1" t="s">
        <v>2377</v>
      </c>
      <c r="E1179" s="4">
        <v>1012054.0</v>
      </c>
      <c r="F1179" s="2">
        <v>2.0</v>
      </c>
      <c r="G1179" s="2" t="s">
        <v>1</v>
      </c>
      <c r="H1179" s="2" t="s">
        <v>53</v>
      </c>
      <c r="I1179" s="2" t="s">
        <v>15</v>
      </c>
      <c r="J1179" s="2" t="s">
        <v>15</v>
      </c>
    </row>
    <row r="1180" ht="15.75" customHeight="1">
      <c r="A1180" s="1" t="s">
        <v>2388</v>
      </c>
      <c r="B1180" s="1" t="s">
        <v>2389</v>
      </c>
      <c r="C1180" s="1" t="s">
        <v>12</v>
      </c>
      <c r="D1180" s="1" t="s">
        <v>2377</v>
      </c>
      <c r="E1180" s="4">
        <v>1012054.0</v>
      </c>
      <c r="F1180" s="2">
        <v>2.0</v>
      </c>
      <c r="G1180" s="2" t="s">
        <v>1</v>
      </c>
      <c r="H1180" s="2" t="s">
        <v>21</v>
      </c>
      <c r="I1180" s="2" t="s">
        <v>15</v>
      </c>
      <c r="J1180" s="2" t="s">
        <v>15</v>
      </c>
    </row>
    <row r="1181" ht="15.75" customHeight="1">
      <c r="A1181" s="1" t="s">
        <v>2390</v>
      </c>
      <c r="B1181" s="1" t="s">
        <v>2391</v>
      </c>
      <c r="C1181" s="1" t="s">
        <v>12</v>
      </c>
      <c r="D1181" s="1" t="s">
        <v>2377</v>
      </c>
      <c r="E1181" s="4">
        <v>1012054.0</v>
      </c>
      <c r="F1181" s="2">
        <v>3.0</v>
      </c>
      <c r="G1181" s="2" t="s">
        <v>1</v>
      </c>
      <c r="H1181" s="2" t="s">
        <v>14</v>
      </c>
      <c r="I1181" s="2" t="s">
        <v>15</v>
      </c>
      <c r="J1181" s="2" t="s">
        <v>15</v>
      </c>
    </row>
    <row r="1182" ht="15.75" customHeight="1">
      <c r="A1182" s="1" t="s">
        <v>2392</v>
      </c>
      <c r="B1182" s="1" t="s">
        <v>2393</v>
      </c>
      <c r="C1182" s="1" t="s">
        <v>12</v>
      </c>
      <c r="D1182" s="1" t="s">
        <v>2377</v>
      </c>
      <c r="E1182" s="4">
        <v>1012054.0</v>
      </c>
      <c r="F1182" s="2">
        <v>3.0</v>
      </c>
      <c r="G1182" s="2" t="s">
        <v>1</v>
      </c>
      <c r="H1182" s="2" t="s">
        <v>18</v>
      </c>
      <c r="I1182" s="2" t="s">
        <v>15</v>
      </c>
      <c r="J1182" s="2" t="s">
        <v>15</v>
      </c>
    </row>
    <row r="1183" ht="15.75" customHeight="1">
      <c r="A1183" s="1" t="s">
        <v>2394</v>
      </c>
      <c r="B1183" s="1" t="s">
        <v>2395</v>
      </c>
      <c r="C1183" s="1" t="s">
        <v>12</v>
      </c>
      <c r="D1183" s="1" t="s">
        <v>2377</v>
      </c>
      <c r="E1183" s="4">
        <v>1012054.0</v>
      </c>
      <c r="F1183" s="2">
        <v>3.0</v>
      </c>
      <c r="G1183" s="2" t="s">
        <v>1</v>
      </c>
      <c r="H1183" s="2" t="s">
        <v>53</v>
      </c>
      <c r="I1183" s="2" t="s">
        <v>15</v>
      </c>
      <c r="J1183" s="2" t="s">
        <v>15</v>
      </c>
    </row>
    <row r="1184" ht="15.75" customHeight="1">
      <c r="A1184" s="1" t="s">
        <v>2396</v>
      </c>
      <c r="B1184" s="1" t="s">
        <v>2397</v>
      </c>
      <c r="C1184" s="1" t="s">
        <v>12</v>
      </c>
      <c r="D1184" s="1" t="s">
        <v>2377</v>
      </c>
      <c r="E1184" s="4">
        <v>1012054.0</v>
      </c>
      <c r="F1184" s="2" t="s">
        <v>15</v>
      </c>
      <c r="G1184" s="2" t="s">
        <v>1</v>
      </c>
      <c r="H1184" s="2" t="s">
        <v>53</v>
      </c>
      <c r="I1184" s="2" t="s">
        <v>15</v>
      </c>
      <c r="J1184" s="2" t="s">
        <v>15</v>
      </c>
    </row>
    <row r="1185" ht="15.75" customHeight="1">
      <c r="A1185" s="1" t="s">
        <v>2398</v>
      </c>
      <c r="B1185" s="1" t="s">
        <v>2399</v>
      </c>
      <c r="C1185" s="1" t="s">
        <v>12</v>
      </c>
      <c r="D1185" s="1" t="s">
        <v>2377</v>
      </c>
      <c r="E1185" s="4">
        <v>1012054.0</v>
      </c>
      <c r="F1185" s="2" t="s">
        <v>15</v>
      </c>
      <c r="G1185" s="2" t="s">
        <v>1</v>
      </c>
      <c r="H1185" s="2" t="s">
        <v>53</v>
      </c>
      <c r="I1185" s="2" t="s">
        <v>15</v>
      </c>
      <c r="J1185" s="2" t="s">
        <v>15</v>
      </c>
    </row>
    <row r="1186" ht="15.75" customHeight="1">
      <c r="A1186" s="1" t="s">
        <v>2400</v>
      </c>
      <c r="B1186" s="1" t="s">
        <v>2401</v>
      </c>
      <c r="C1186" s="1" t="s">
        <v>12</v>
      </c>
      <c r="D1186" s="1" t="s">
        <v>2377</v>
      </c>
      <c r="E1186" s="4">
        <v>1012054.0</v>
      </c>
      <c r="F1186" s="2" t="s">
        <v>30</v>
      </c>
      <c r="G1186" s="2" t="s">
        <v>1</v>
      </c>
      <c r="H1186" s="2" t="s">
        <v>53</v>
      </c>
      <c r="I1186" s="2" t="s">
        <v>15</v>
      </c>
      <c r="J1186" s="2" t="s">
        <v>15</v>
      </c>
    </row>
    <row r="1187" ht="15.75" customHeight="1">
      <c r="A1187" s="1" t="s">
        <v>2402</v>
      </c>
      <c r="B1187" s="1" t="s">
        <v>2403</v>
      </c>
      <c r="C1187" s="1" t="s">
        <v>12</v>
      </c>
      <c r="D1187" s="1" t="s">
        <v>2377</v>
      </c>
      <c r="E1187" s="4">
        <v>1012054.0</v>
      </c>
      <c r="F1187" s="2" t="s">
        <v>30</v>
      </c>
      <c r="G1187" s="2" t="s">
        <v>1</v>
      </c>
      <c r="H1187" s="2" t="s">
        <v>14</v>
      </c>
      <c r="I1187" s="2" t="s">
        <v>15</v>
      </c>
      <c r="J1187" s="2" t="s">
        <v>15</v>
      </c>
    </row>
    <row r="1188" ht="15.75" customHeight="1">
      <c r="A1188" s="1" t="s">
        <v>2404</v>
      </c>
      <c r="B1188" s="1" t="s">
        <v>2405</v>
      </c>
      <c r="C1188" s="1" t="s">
        <v>12</v>
      </c>
      <c r="D1188" s="1" t="s">
        <v>2377</v>
      </c>
      <c r="E1188" s="4">
        <v>1012054.0</v>
      </c>
      <c r="F1188" s="2" t="s">
        <v>15</v>
      </c>
      <c r="G1188" s="2" t="s">
        <v>33</v>
      </c>
      <c r="H1188" s="2" t="s">
        <v>15</v>
      </c>
      <c r="I1188" s="2" t="s">
        <v>15</v>
      </c>
      <c r="J1188" s="2" t="s">
        <v>15</v>
      </c>
    </row>
    <row r="1189" ht="15.75" customHeight="1">
      <c r="A1189" s="1" t="s">
        <v>2406</v>
      </c>
      <c r="B1189" s="1" t="s">
        <v>2407</v>
      </c>
      <c r="C1189" s="1" t="s">
        <v>12</v>
      </c>
      <c r="D1189" s="1" t="s">
        <v>2377</v>
      </c>
      <c r="E1189" s="4">
        <v>1012054.0</v>
      </c>
      <c r="F1189" s="2">
        <v>2.0</v>
      </c>
      <c r="G1189" s="2" t="s">
        <v>1</v>
      </c>
      <c r="H1189" s="2" t="s">
        <v>37</v>
      </c>
      <c r="I1189" s="2" t="s">
        <v>15</v>
      </c>
      <c r="J1189" s="2" t="s">
        <v>15</v>
      </c>
    </row>
    <row r="1190" ht="15.75" customHeight="1">
      <c r="A1190" s="1" t="s">
        <v>2408</v>
      </c>
      <c r="B1190" s="1" t="s">
        <v>2409</v>
      </c>
      <c r="C1190" s="1" t="s">
        <v>12</v>
      </c>
      <c r="D1190" s="1" t="s">
        <v>2377</v>
      </c>
      <c r="E1190" s="4">
        <v>1012054.0</v>
      </c>
      <c r="F1190" s="2" t="s">
        <v>30</v>
      </c>
      <c r="G1190" s="2" t="s">
        <v>1</v>
      </c>
      <c r="H1190" s="2" t="s">
        <v>37</v>
      </c>
      <c r="I1190" s="2" t="s">
        <v>15</v>
      </c>
      <c r="J1190" s="2" t="s">
        <v>15</v>
      </c>
    </row>
    <row r="1191" ht="15.75" customHeight="1">
      <c r="A1191" s="1" t="s">
        <v>2410</v>
      </c>
      <c r="B1191" s="1" t="s">
        <v>2411</v>
      </c>
      <c r="C1191" s="1" t="s">
        <v>12</v>
      </c>
      <c r="D1191" s="1" t="s">
        <v>2412</v>
      </c>
      <c r="E1191" s="4">
        <v>1012118.0</v>
      </c>
      <c r="F1191" s="2" t="s">
        <v>36</v>
      </c>
      <c r="G1191" s="2" t="s">
        <v>1</v>
      </c>
      <c r="H1191" s="2" t="s">
        <v>14</v>
      </c>
      <c r="I1191" s="2" t="s">
        <v>15</v>
      </c>
      <c r="J1191" s="2" t="s">
        <v>15</v>
      </c>
    </row>
    <row r="1192" ht="15.75" customHeight="1">
      <c r="A1192" s="1" t="s">
        <v>2413</v>
      </c>
      <c r="B1192" s="1" t="s">
        <v>2414</v>
      </c>
      <c r="C1192" s="1" t="s">
        <v>12</v>
      </c>
      <c r="D1192" s="1" t="s">
        <v>2412</v>
      </c>
      <c r="E1192" s="4">
        <v>1012118.0</v>
      </c>
      <c r="F1192" s="2" t="s">
        <v>36</v>
      </c>
      <c r="G1192" s="2" t="s">
        <v>1</v>
      </c>
      <c r="H1192" s="2" t="s">
        <v>18</v>
      </c>
      <c r="I1192" s="2" t="s">
        <v>15</v>
      </c>
      <c r="J1192" s="2" t="s">
        <v>15</v>
      </c>
    </row>
    <row r="1193" ht="15.75" customHeight="1">
      <c r="A1193" s="1" t="s">
        <v>2415</v>
      </c>
      <c r="B1193" s="1" t="s">
        <v>2416</v>
      </c>
      <c r="C1193" s="1" t="s">
        <v>12</v>
      </c>
      <c r="D1193" s="1" t="s">
        <v>2412</v>
      </c>
      <c r="E1193" s="4">
        <v>1012118.0</v>
      </c>
      <c r="F1193" s="2" t="s">
        <v>36</v>
      </c>
      <c r="G1193" s="2" t="s">
        <v>1</v>
      </c>
      <c r="H1193" s="2" t="s">
        <v>21</v>
      </c>
      <c r="I1193" s="2" t="s">
        <v>15</v>
      </c>
      <c r="J1193" s="2" t="s">
        <v>15</v>
      </c>
    </row>
    <row r="1194" ht="15.75" customHeight="1">
      <c r="A1194" s="1" t="s">
        <v>2417</v>
      </c>
      <c r="B1194" s="1" t="s">
        <v>2418</v>
      </c>
      <c r="C1194" s="1" t="s">
        <v>12</v>
      </c>
      <c r="D1194" s="1" t="s">
        <v>2412</v>
      </c>
      <c r="E1194" s="4">
        <v>1012118.0</v>
      </c>
      <c r="F1194" s="2">
        <v>1.0</v>
      </c>
      <c r="G1194" s="2" t="s">
        <v>1</v>
      </c>
      <c r="H1194" s="2" t="s">
        <v>14</v>
      </c>
      <c r="I1194" s="2" t="s">
        <v>15</v>
      </c>
      <c r="J1194" s="2" t="s">
        <v>15</v>
      </c>
    </row>
    <row r="1195" ht="15.75" customHeight="1">
      <c r="A1195" s="1" t="s">
        <v>2419</v>
      </c>
      <c r="B1195" s="1" t="s">
        <v>2420</v>
      </c>
      <c r="C1195" s="1" t="s">
        <v>12</v>
      </c>
      <c r="D1195" s="1" t="s">
        <v>2412</v>
      </c>
      <c r="E1195" s="4">
        <v>1012118.0</v>
      </c>
      <c r="F1195" s="2">
        <v>1.0</v>
      </c>
      <c r="G1195" s="2" t="s">
        <v>1</v>
      </c>
      <c r="H1195" s="2" t="s">
        <v>18</v>
      </c>
      <c r="I1195" s="2" t="s">
        <v>15</v>
      </c>
      <c r="J1195" s="2" t="s">
        <v>15</v>
      </c>
    </row>
    <row r="1196" ht="15.75" customHeight="1">
      <c r="A1196" s="1" t="s">
        <v>2421</v>
      </c>
      <c r="B1196" s="1" t="s">
        <v>2422</v>
      </c>
      <c r="C1196" s="1" t="s">
        <v>12</v>
      </c>
      <c r="D1196" s="1" t="s">
        <v>2412</v>
      </c>
      <c r="E1196" s="4">
        <v>1012118.0</v>
      </c>
      <c r="F1196" s="2">
        <v>1.0</v>
      </c>
      <c r="G1196" s="2" t="s">
        <v>1</v>
      </c>
      <c r="H1196" s="2" t="s">
        <v>21</v>
      </c>
      <c r="I1196" s="2" t="s">
        <v>15</v>
      </c>
      <c r="J1196" s="2" t="s">
        <v>15</v>
      </c>
    </row>
    <row r="1197" ht="15.75" customHeight="1">
      <c r="A1197" s="1" t="s">
        <v>2423</v>
      </c>
      <c r="B1197" s="1" t="s">
        <v>2424</v>
      </c>
      <c r="C1197" s="1" t="s">
        <v>12</v>
      </c>
      <c r="D1197" s="1" t="s">
        <v>2412</v>
      </c>
      <c r="E1197" s="4">
        <v>1012118.0</v>
      </c>
      <c r="F1197" s="2">
        <v>2.0</v>
      </c>
      <c r="G1197" s="2" t="s">
        <v>1</v>
      </c>
      <c r="H1197" s="2" t="s">
        <v>14</v>
      </c>
      <c r="I1197" s="2" t="s">
        <v>15</v>
      </c>
      <c r="J1197" s="2" t="s">
        <v>15</v>
      </c>
    </row>
    <row r="1198" ht="15.75" customHeight="1">
      <c r="A1198" s="1" t="s">
        <v>2425</v>
      </c>
      <c r="B1198" s="1" t="s">
        <v>2426</v>
      </c>
      <c r="C1198" s="1" t="s">
        <v>12</v>
      </c>
      <c r="D1198" s="1" t="s">
        <v>2412</v>
      </c>
      <c r="E1198" s="4">
        <v>1012118.0</v>
      </c>
      <c r="F1198" s="2">
        <v>2.0</v>
      </c>
      <c r="G1198" s="2" t="s">
        <v>1</v>
      </c>
      <c r="H1198" s="2" t="s">
        <v>18</v>
      </c>
      <c r="I1198" s="2" t="s">
        <v>15</v>
      </c>
      <c r="J1198" s="2" t="s">
        <v>15</v>
      </c>
    </row>
    <row r="1199" ht="15.75" customHeight="1">
      <c r="A1199" s="1" t="s">
        <v>2427</v>
      </c>
      <c r="B1199" s="1" t="s">
        <v>2428</v>
      </c>
      <c r="C1199" s="1" t="s">
        <v>12</v>
      </c>
      <c r="D1199" s="1" t="s">
        <v>2412</v>
      </c>
      <c r="E1199" s="4">
        <v>1012118.0</v>
      </c>
      <c r="F1199" s="2">
        <v>2.0</v>
      </c>
      <c r="G1199" s="2" t="s">
        <v>1</v>
      </c>
      <c r="H1199" s="2" t="s">
        <v>21</v>
      </c>
      <c r="I1199" s="2" t="s">
        <v>15</v>
      </c>
      <c r="J1199" s="2" t="s">
        <v>15</v>
      </c>
    </row>
    <row r="1200" ht="15.75" customHeight="1">
      <c r="A1200" s="1" t="s">
        <v>2429</v>
      </c>
      <c r="B1200" s="1" t="s">
        <v>2430</v>
      </c>
      <c r="C1200" s="1" t="s">
        <v>12</v>
      </c>
      <c r="D1200" s="1" t="s">
        <v>2412</v>
      </c>
      <c r="E1200" s="4">
        <v>1012118.0</v>
      </c>
      <c r="F1200" s="2" t="s">
        <v>30</v>
      </c>
      <c r="G1200" s="2" t="s">
        <v>1</v>
      </c>
      <c r="H1200" s="2" t="s">
        <v>14</v>
      </c>
      <c r="I1200" s="2" t="s">
        <v>15</v>
      </c>
      <c r="J1200" s="2" t="s">
        <v>15</v>
      </c>
    </row>
    <row r="1201" ht="15.75" customHeight="1">
      <c r="A1201" s="1" t="s">
        <v>2431</v>
      </c>
      <c r="B1201" s="1" t="s">
        <v>2432</v>
      </c>
      <c r="C1201" s="1" t="s">
        <v>12</v>
      </c>
      <c r="D1201" s="1" t="s">
        <v>2412</v>
      </c>
      <c r="E1201" s="4">
        <v>1012118.0</v>
      </c>
      <c r="F1201" s="2" t="s">
        <v>15</v>
      </c>
      <c r="G1201" s="2" t="s">
        <v>33</v>
      </c>
      <c r="H1201" s="2" t="s">
        <v>15</v>
      </c>
      <c r="I1201" s="2" t="s">
        <v>15</v>
      </c>
      <c r="J1201" s="2" t="s">
        <v>15</v>
      </c>
    </row>
    <row r="1202" ht="15.75" customHeight="1">
      <c r="A1202" s="1" t="s">
        <v>2433</v>
      </c>
      <c r="B1202" s="1" t="s">
        <v>2434</v>
      </c>
      <c r="C1202" s="1" t="s">
        <v>12</v>
      </c>
      <c r="D1202" s="1" t="s">
        <v>2412</v>
      </c>
      <c r="E1202" s="4">
        <v>1012118.0</v>
      </c>
      <c r="F1202" s="2" t="s">
        <v>36</v>
      </c>
      <c r="G1202" s="2" t="s">
        <v>1</v>
      </c>
      <c r="H1202" s="2" t="s">
        <v>37</v>
      </c>
      <c r="I1202" s="2" t="s">
        <v>15</v>
      </c>
      <c r="J1202" s="2" t="s">
        <v>15</v>
      </c>
    </row>
    <row r="1203" ht="15.75" customHeight="1">
      <c r="A1203" s="1" t="s">
        <v>2435</v>
      </c>
      <c r="B1203" s="1" t="s">
        <v>2436</v>
      </c>
      <c r="C1203" s="1" t="s">
        <v>12</v>
      </c>
      <c r="D1203" s="1" t="s">
        <v>2412</v>
      </c>
      <c r="E1203" s="4">
        <v>1012118.0</v>
      </c>
      <c r="F1203" s="2">
        <v>1.0</v>
      </c>
      <c r="G1203" s="2" t="s">
        <v>1</v>
      </c>
      <c r="H1203" s="2" t="s">
        <v>37</v>
      </c>
      <c r="I1203" s="2" t="s">
        <v>15</v>
      </c>
      <c r="J1203" s="2" t="s">
        <v>15</v>
      </c>
    </row>
    <row r="1204" ht="15.75" customHeight="1">
      <c r="A1204" s="1" t="s">
        <v>2437</v>
      </c>
      <c r="B1204" s="1" t="s">
        <v>2438</v>
      </c>
      <c r="C1204" s="1" t="s">
        <v>12</v>
      </c>
      <c r="D1204" s="1" t="s">
        <v>2412</v>
      </c>
      <c r="E1204" s="4">
        <v>1012118.0</v>
      </c>
      <c r="F1204" s="2">
        <v>2.0</v>
      </c>
      <c r="G1204" s="2" t="s">
        <v>1</v>
      </c>
      <c r="H1204" s="2" t="s">
        <v>37</v>
      </c>
      <c r="I1204" s="2" t="s">
        <v>15</v>
      </c>
      <c r="J1204" s="2" t="s">
        <v>15</v>
      </c>
    </row>
    <row r="1205" ht="15.75" customHeight="1">
      <c r="A1205" s="1" t="s">
        <v>2439</v>
      </c>
      <c r="B1205" s="1" t="s">
        <v>2440</v>
      </c>
      <c r="C1205" s="1" t="s">
        <v>12</v>
      </c>
      <c r="D1205" s="1" t="s">
        <v>2412</v>
      </c>
      <c r="E1205" s="4">
        <v>1012118.0</v>
      </c>
      <c r="F1205" s="2">
        <v>3.0</v>
      </c>
      <c r="G1205" s="2" t="s">
        <v>1</v>
      </c>
      <c r="H1205" s="2" t="s">
        <v>37</v>
      </c>
      <c r="I1205" s="2" t="s">
        <v>15</v>
      </c>
      <c r="J1205" s="2" t="s">
        <v>15</v>
      </c>
    </row>
    <row r="1206" ht="15.75" customHeight="1">
      <c r="A1206" s="1" t="s">
        <v>2441</v>
      </c>
      <c r="B1206" s="1" t="s">
        <v>2442</v>
      </c>
      <c r="C1206" s="1" t="s">
        <v>12</v>
      </c>
      <c r="D1206" s="1" t="s">
        <v>2412</v>
      </c>
      <c r="E1206" s="4">
        <v>1012118.0</v>
      </c>
      <c r="F1206" s="2">
        <v>4.0</v>
      </c>
      <c r="G1206" s="2" t="s">
        <v>1</v>
      </c>
      <c r="H1206" s="2" t="s">
        <v>37</v>
      </c>
      <c r="I1206" s="2" t="s">
        <v>15</v>
      </c>
      <c r="J1206" s="2" t="s">
        <v>15</v>
      </c>
    </row>
    <row r="1207" ht="15.75" customHeight="1">
      <c r="A1207" s="1" t="s">
        <v>2443</v>
      </c>
      <c r="B1207" s="1" t="s">
        <v>2444</v>
      </c>
      <c r="C1207" s="1" t="s">
        <v>12</v>
      </c>
      <c r="D1207" s="1" t="s">
        <v>2412</v>
      </c>
      <c r="E1207" s="4">
        <v>1012118.0</v>
      </c>
      <c r="F1207" s="2" t="s">
        <v>30</v>
      </c>
      <c r="G1207" s="2" t="s">
        <v>1</v>
      </c>
      <c r="H1207" s="2" t="s">
        <v>37</v>
      </c>
      <c r="I1207" s="2" t="s">
        <v>15</v>
      </c>
      <c r="J1207" s="2" t="s">
        <v>15</v>
      </c>
    </row>
    <row r="1208" ht="15.75" customHeight="1">
      <c r="A1208" s="1" t="s">
        <v>2445</v>
      </c>
      <c r="B1208" s="3" t="s">
        <v>2446</v>
      </c>
      <c r="C1208" s="1" t="s">
        <v>12</v>
      </c>
      <c r="D1208" s="1" t="s">
        <v>2447</v>
      </c>
      <c r="E1208" s="4">
        <v>1012182.0</v>
      </c>
      <c r="F1208" s="2">
        <v>1.0</v>
      </c>
      <c r="G1208" s="2" t="s">
        <v>1</v>
      </c>
      <c r="H1208" s="2" t="s">
        <v>14</v>
      </c>
      <c r="I1208" s="5" t="str">
        <f>IFERROR(
  MID(
    SUBSTITUTE(B1208, CHAR(10), ""),
    FIND("_Gross ROI=", SUBSTITUTE(B1208, CHAR(10), "")) + LEN("_Gross ROI="),
    FIND("%", SUBSTITUTE(B1208, CHAR(10), ""), FIND("_Gross ROI=", SUBSTITUTE(B1208, CHAR(10), "")))
      - FIND("_Gross ROI=", SUBSTITUTE(B1208, CHAR(10), "")) - LEN("_Gross ROI=") + 1
  ),
  ""
)</f>
        <v>5.94%</v>
      </c>
      <c r="J1208" s="5" t="str">
        <f>IFERROR(
  MID(
    SUBSTITUTE(B1208, CHAR(10), ""),
    FIND("_Median annual rent=", SUBSTITUTE(B1208, CHAR(10), "")) + LEN("_Median annual rent="),
    FIND("K", SUBSTITUTE(B1208, CHAR(10), ""), FIND("_Median annual rent=", SUBSTITUTE(B1208, CHAR(10), "")))
      - FIND("_Median annual rent=", SUBSTITUTE(B1208, CHAR(10), "")) - LEN("_Median annual rent=") + 1
  ),
  "")</f>
        <v>142.5K</v>
      </c>
    </row>
    <row r="1209" ht="15.75" customHeight="1">
      <c r="A1209" s="1" t="s">
        <v>2448</v>
      </c>
      <c r="B1209" s="1" t="s">
        <v>2449</v>
      </c>
      <c r="C1209" s="1" t="s">
        <v>12</v>
      </c>
      <c r="D1209" s="1" t="s">
        <v>2447</v>
      </c>
      <c r="E1209" s="4">
        <v>1012182.0</v>
      </c>
      <c r="F1209" s="2">
        <v>1.0</v>
      </c>
      <c r="G1209" s="2" t="s">
        <v>1</v>
      </c>
      <c r="H1209" s="2" t="s">
        <v>18</v>
      </c>
      <c r="I1209" s="2" t="s">
        <v>15</v>
      </c>
      <c r="J1209" s="2" t="s">
        <v>15</v>
      </c>
    </row>
    <row r="1210" ht="15.75" customHeight="1">
      <c r="A1210" s="1" t="s">
        <v>2450</v>
      </c>
      <c r="B1210" s="1" t="s">
        <v>2451</v>
      </c>
      <c r="C1210" s="1" t="s">
        <v>12</v>
      </c>
      <c r="D1210" s="1" t="s">
        <v>2447</v>
      </c>
      <c r="E1210" s="4">
        <v>1012182.0</v>
      </c>
      <c r="F1210" s="2">
        <v>1.0</v>
      </c>
      <c r="G1210" s="2" t="s">
        <v>1</v>
      </c>
      <c r="H1210" s="2" t="s">
        <v>53</v>
      </c>
      <c r="I1210" s="2" t="s">
        <v>15</v>
      </c>
      <c r="J1210" s="2" t="s">
        <v>15</v>
      </c>
    </row>
    <row r="1211" ht="15.75" customHeight="1">
      <c r="A1211" s="1" t="s">
        <v>2452</v>
      </c>
      <c r="B1211" s="1" t="s">
        <v>2453</v>
      </c>
      <c r="C1211" s="1" t="s">
        <v>12</v>
      </c>
      <c r="D1211" s="1" t="s">
        <v>2447</v>
      </c>
      <c r="E1211" s="4">
        <v>1012182.0</v>
      </c>
      <c r="F1211" s="2">
        <v>1.0</v>
      </c>
      <c r="G1211" s="2" t="s">
        <v>1</v>
      </c>
      <c r="H1211" s="2" t="s">
        <v>21</v>
      </c>
      <c r="I1211" s="2" t="s">
        <v>15</v>
      </c>
      <c r="J1211" s="2" t="s">
        <v>15</v>
      </c>
    </row>
    <row r="1212" ht="15.75" customHeight="1">
      <c r="A1212" s="1" t="s">
        <v>2454</v>
      </c>
      <c r="B1212" s="3" t="s">
        <v>2455</v>
      </c>
      <c r="C1212" s="1" t="s">
        <v>12</v>
      </c>
      <c r="D1212" s="1" t="s">
        <v>2447</v>
      </c>
      <c r="E1212" s="4">
        <v>1012182.0</v>
      </c>
      <c r="F1212" s="2">
        <v>2.0</v>
      </c>
      <c r="G1212" s="2" t="s">
        <v>1</v>
      </c>
      <c r="H1212" s="2" t="s">
        <v>14</v>
      </c>
      <c r="I1212" s="5" t="str">
        <f>IFERROR(
  MID(
    SUBSTITUTE(B1212, CHAR(10), ""),
    FIND("_Gross ROI=", SUBSTITUTE(B1212, CHAR(10), "")) + LEN("_Gross ROI="),
    FIND("%", SUBSTITUTE(B1212, CHAR(10), ""), FIND("_Gross ROI=", SUBSTITUTE(B1212, CHAR(10), "")))
      - FIND("_Gross ROI=", SUBSTITUTE(B1212, CHAR(10), "")) - LEN("_Gross ROI=") + 1
  ),
  ""
)</f>
        <v>5.53%</v>
      </c>
      <c r="J1212" s="5" t="str">
        <f>IFERROR(
  MID(
    SUBSTITUTE(B1212, CHAR(10), ""),
    FIND("_Median annual rent=", SUBSTITUTE(B1212, CHAR(10), "")) + LEN("_Median annual rent="),
    FIND("K", SUBSTITUTE(B1212, CHAR(10), ""), FIND("_Median annual rent=", SUBSTITUTE(B1212, CHAR(10), "")))
      - FIND("_Median annual rent=", SUBSTITUTE(B1212, CHAR(10), "")) - LEN("_Median annual rent=") + 1
  ),
  "")</f>
        <v>265.6K</v>
      </c>
    </row>
    <row r="1213" ht="15.75" customHeight="1">
      <c r="A1213" s="1" t="s">
        <v>2456</v>
      </c>
      <c r="B1213" s="1" t="s">
        <v>2457</v>
      </c>
      <c r="C1213" s="1" t="s">
        <v>12</v>
      </c>
      <c r="D1213" s="1" t="s">
        <v>2447</v>
      </c>
      <c r="E1213" s="4">
        <v>1012182.0</v>
      </c>
      <c r="F1213" s="2">
        <v>2.0</v>
      </c>
      <c r="G1213" s="2" t="s">
        <v>1</v>
      </c>
      <c r="H1213" s="2" t="s">
        <v>18</v>
      </c>
      <c r="I1213" s="2" t="s">
        <v>15</v>
      </c>
      <c r="J1213" s="2" t="s">
        <v>15</v>
      </c>
    </row>
    <row r="1214" ht="15.75" customHeight="1">
      <c r="A1214" s="1" t="s">
        <v>2458</v>
      </c>
      <c r="B1214" s="1" t="s">
        <v>2459</v>
      </c>
      <c r="C1214" s="1" t="s">
        <v>12</v>
      </c>
      <c r="D1214" s="1" t="s">
        <v>2447</v>
      </c>
      <c r="E1214" s="4">
        <v>1012182.0</v>
      </c>
      <c r="F1214" s="2">
        <v>2.0</v>
      </c>
      <c r="G1214" s="2" t="s">
        <v>1</v>
      </c>
      <c r="H1214" s="2" t="s">
        <v>53</v>
      </c>
      <c r="I1214" s="2" t="s">
        <v>15</v>
      </c>
      <c r="J1214" s="2" t="s">
        <v>15</v>
      </c>
    </row>
    <row r="1215" ht="15.75" customHeight="1">
      <c r="A1215" s="1" t="s">
        <v>2460</v>
      </c>
      <c r="B1215" s="1" t="s">
        <v>2461</v>
      </c>
      <c r="C1215" s="1" t="s">
        <v>12</v>
      </c>
      <c r="D1215" s="1" t="s">
        <v>2447</v>
      </c>
      <c r="E1215" s="4">
        <v>1012182.0</v>
      </c>
      <c r="F1215" s="2">
        <v>2.0</v>
      </c>
      <c r="G1215" s="2" t="s">
        <v>1</v>
      </c>
      <c r="H1215" s="2" t="s">
        <v>21</v>
      </c>
      <c r="I1215" s="2" t="s">
        <v>15</v>
      </c>
      <c r="J1215" s="2" t="s">
        <v>15</v>
      </c>
    </row>
    <row r="1216" ht="15.75" customHeight="1">
      <c r="A1216" s="1" t="s">
        <v>2462</v>
      </c>
      <c r="B1216" s="3" t="s">
        <v>2463</v>
      </c>
      <c r="C1216" s="1" t="s">
        <v>12</v>
      </c>
      <c r="D1216" s="1" t="s">
        <v>2447</v>
      </c>
      <c r="E1216" s="4">
        <v>1012182.0</v>
      </c>
      <c r="F1216" s="2">
        <v>3.0</v>
      </c>
      <c r="G1216" s="2" t="s">
        <v>1</v>
      </c>
      <c r="H1216" s="2" t="s">
        <v>14</v>
      </c>
      <c r="I1216" s="5" t="str">
        <f>IFERROR(
  MID(
    SUBSTITUTE(B1216, CHAR(10), ""),
    FIND("_Gross ROI=", SUBSTITUTE(B1216, CHAR(10), "")) + LEN("_Gross ROI="),
    FIND("%", SUBSTITUTE(B1216, CHAR(10), ""), FIND("_Gross ROI=", SUBSTITUTE(B1216, CHAR(10), "")))
      - FIND("_Gross ROI=", SUBSTITUTE(B1216, CHAR(10), "")) - LEN("_Gross ROI=") + 1
  ),
  ""
)</f>
        <v>5.12%</v>
      </c>
      <c r="J1216" s="5" t="str">
        <f>IFERROR(
  MID(
    SUBSTITUTE(B1216, CHAR(10), ""),
    FIND("_Median annual rent=", SUBSTITUTE(B1216, CHAR(10), "")) + LEN("_Median annual rent="),
    FIND("K", SUBSTITUTE(B1216, CHAR(10), ""), FIND("_Median annual rent=", SUBSTITUTE(B1216, CHAR(10), "")))
      - FIND("_Median annual rent=", SUBSTITUTE(B1216, CHAR(10), "")) - LEN("_Median annual rent=") + 1
  ),
  "")</f>
        <v>420K</v>
      </c>
    </row>
    <row r="1217" ht="15.75" customHeight="1">
      <c r="A1217" s="1" t="s">
        <v>2464</v>
      </c>
      <c r="B1217" s="1" t="s">
        <v>2465</v>
      </c>
      <c r="C1217" s="1" t="s">
        <v>12</v>
      </c>
      <c r="D1217" s="1" t="s">
        <v>2447</v>
      </c>
      <c r="E1217" s="4">
        <v>1012182.0</v>
      </c>
      <c r="F1217" s="2">
        <v>3.0</v>
      </c>
      <c r="G1217" s="2" t="s">
        <v>1</v>
      </c>
      <c r="H1217" s="2" t="s">
        <v>18</v>
      </c>
      <c r="I1217" s="2" t="s">
        <v>15</v>
      </c>
      <c r="J1217" s="2" t="s">
        <v>15</v>
      </c>
    </row>
    <row r="1218" ht="15.75" customHeight="1">
      <c r="A1218" s="1" t="s">
        <v>2466</v>
      </c>
      <c r="B1218" s="1" t="s">
        <v>2467</v>
      </c>
      <c r="C1218" s="1" t="s">
        <v>12</v>
      </c>
      <c r="D1218" s="1" t="s">
        <v>2447</v>
      </c>
      <c r="E1218" s="4">
        <v>1012182.0</v>
      </c>
      <c r="F1218" s="2">
        <v>3.0</v>
      </c>
      <c r="G1218" s="2" t="s">
        <v>1</v>
      </c>
      <c r="H1218" s="2" t="s">
        <v>53</v>
      </c>
      <c r="I1218" s="2" t="s">
        <v>15</v>
      </c>
      <c r="J1218" s="2" t="s">
        <v>15</v>
      </c>
    </row>
    <row r="1219" ht="15.75" customHeight="1">
      <c r="A1219" s="1" t="s">
        <v>2468</v>
      </c>
      <c r="B1219" s="1" t="s">
        <v>2469</v>
      </c>
      <c r="C1219" s="1" t="s">
        <v>12</v>
      </c>
      <c r="D1219" s="1" t="s">
        <v>2447</v>
      </c>
      <c r="E1219" s="4">
        <v>1012182.0</v>
      </c>
      <c r="F1219" s="2">
        <v>3.0</v>
      </c>
      <c r="G1219" s="2" t="s">
        <v>1</v>
      </c>
      <c r="H1219" s="2" t="s">
        <v>21</v>
      </c>
      <c r="I1219" s="2" t="s">
        <v>15</v>
      </c>
      <c r="J1219" s="2" t="s">
        <v>15</v>
      </c>
    </row>
    <row r="1220" ht="15.75" customHeight="1">
      <c r="A1220" s="1" t="s">
        <v>2470</v>
      </c>
      <c r="B1220" s="1" t="s">
        <v>2471</v>
      </c>
      <c r="C1220" s="1" t="s">
        <v>12</v>
      </c>
      <c r="D1220" s="1" t="s">
        <v>2447</v>
      </c>
      <c r="E1220" s="4">
        <v>1012182.0</v>
      </c>
      <c r="F1220" s="2">
        <v>4.0</v>
      </c>
      <c r="G1220" s="2" t="s">
        <v>1</v>
      </c>
      <c r="H1220" s="2" t="s">
        <v>14</v>
      </c>
      <c r="I1220" s="2" t="s">
        <v>15</v>
      </c>
      <c r="J1220" s="2" t="s">
        <v>15</v>
      </c>
    </row>
    <row r="1221" ht="15.75" customHeight="1">
      <c r="A1221" s="1" t="s">
        <v>2472</v>
      </c>
      <c r="B1221" s="1" t="s">
        <v>2473</v>
      </c>
      <c r="C1221" s="1" t="s">
        <v>12</v>
      </c>
      <c r="D1221" s="1" t="s">
        <v>2447</v>
      </c>
      <c r="E1221" s="4">
        <v>1012182.0</v>
      </c>
      <c r="F1221" s="2">
        <v>4.0</v>
      </c>
      <c r="G1221" s="2" t="s">
        <v>1</v>
      </c>
      <c r="H1221" s="2" t="s">
        <v>18</v>
      </c>
      <c r="I1221" s="2" t="s">
        <v>15</v>
      </c>
      <c r="J1221" s="2" t="s">
        <v>15</v>
      </c>
    </row>
    <row r="1222" ht="15.75" customHeight="1">
      <c r="A1222" s="1" t="s">
        <v>2474</v>
      </c>
      <c r="B1222" s="1" t="s">
        <v>2475</v>
      </c>
      <c r="C1222" s="1" t="s">
        <v>12</v>
      </c>
      <c r="D1222" s="1" t="s">
        <v>2447</v>
      </c>
      <c r="E1222" s="4">
        <v>1012182.0</v>
      </c>
      <c r="F1222" s="2">
        <v>4.0</v>
      </c>
      <c r="G1222" s="2" t="s">
        <v>1</v>
      </c>
      <c r="H1222" s="2" t="s">
        <v>53</v>
      </c>
      <c r="I1222" s="2" t="s">
        <v>15</v>
      </c>
      <c r="J1222" s="2" t="s">
        <v>15</v>
      </c>
    </row>
    <row r="1223" ht="15.75" customHeight="1">
      <c r="A1223" s="1" t="s">
        <v>2476</v>
      </c>
      <c r="B1223" s="1" t="s">
        <v>2477</v>
      </c>
      <c r="C1223" s="1" t="s">
        <v>12</v>
      </c>
      <c r="D1223" s="1" t="s">
        <v>2447</v>
      </c>
      <c r="E1223" s="4">
        <v>1012182.0</v>
      </c>
      <c r="F1223" s="2">
        <v>4.0</v>
      </c>
      <c r="G1223" s="2" t="s">
        <v>1</v>
      </c>
      <c r="H1223" s="2" t="s">
        <v>21</v>
      </c>
      <c r="I1223" s="2" t="s">
        <v>15</v>
      </c>
      <c r="J1223" s="2" t="s">
        <v>15</v>
      </c>
    </row>
    <row r="1224" ht="15.75" customHeight="1">
      <c r="A1224" s="1" t="s">
        <v>2478</v>
      </c>
      <c r="B1224" s="1" t="s">
        <v>2479</v>
      </c>
      <c r="C1224" s="1" t="s">
        <v>12</v>
      </c>
      <c r="D1224" s="1" t="s">
        <v>2447</v>
      </c>
      <c r="E1224" s="4">
        <v>1012182.0</v>
      </c>
      <c r="F1224" s="2">
        <v>5.0</v>
      </c>
      <c r="G1224" s="2" t="s">
        <v>1</v>
      </c>
      <c r="H1224" s="2" t="s">
        <v>14</v>
      </c>
      <c r="I1224" s="2" t="s">
        <v>15</v>
      </c>
      <c r="J1224" s="2" t="s">
        <v>15</v>
      </c>
    </row>
    <row r="1225" ht="15.75" customHeight="1">
      <c r="A1225" s="1" t="s">
        <v>2480</v>
      </c>
      <c r="B1225" s="1" t="s">
        <v>2481</v>
      </c>
      <c r="C1225" s="1" t="s">
        <v>12</v>
      </c>
      <c r="D1225" s="1" t="s">
        <v>2447</v>
      </c>
      <c r="E1225" s="4">
        <v>1012182.0</v>
      </c>
      <c r="F1225" s="2">
        <v>5.0</v>
      </c>
      <c r="G1225" s="2" t="s">
        <v>1</v>
      </c>
      <c r="H1225" s="2" t="s">
        <v>18</v>
      </c>
      <c r="I1225" s="2" t="s">
        <v>15</v>
      </c>
      <c r="J1225" s="2" t="s">
        <v>15</v>
      </c>
    </row>
    <row r="1226" ht="15.75" customHeight="1">
      <c r="A1226" s="1" t="s">
        <v>2482</v>
      </c>
      <c r="B1226" s="1" t="s">
        <v>2483</v>
      </c>
      <c r="C1226" s="1" t="s">
        <v>12</v>
      </c>
      <c r="D1226" s="1" t="s">
        <v>2447</v>
      </c>
      <c r="E1226" s="4">
        <v>1012182.0</v>
      </c>
      <c r="F1226" s="2">
        <v>5.0</v>
      </c>
      <c r="G1226" s="2" t="s">
        <v>1</v>
      </c>
      <c r="H1226" s="2" t="s">
        <v>53</v>
      </c>
      <c r="I1226" s="2" t="s">
        <v>15</v>
      </c>
      <c r="J1226" s="2" t="s">
        <v>15</v>
      </c>
    </row>
    <row r="1227" ht="15.75" customHeight="1">
      <c r="A1227" s="1" t="s">
        <v>2484</v>
      </c>
      <c r="B1227" s="1" t="s">
        <v>2485</v>
      </c>
      <c r="C1227" s="1" t="s">
        <v>12</v>
      </c>
      <c r="D1227" s="1" t="s">
        <v>2447</v>
      </c>
      <c r="E1227" s="4">
        <v>1012182.0</v>
      </c>
      <c r="F1227" s="2">
        <v>5.0</v>
      </c>
      <c r="G1227" s="2" t="s">
        <v>1</v>
      </c>
      <c r="H1227" s="2" t="s">
        <v>21</v>
      </c>
      <c r="I1227" s="2" t="s">
        <v>15</v>
      </c>
      <c r="J1227" s="2" t="s">
        <v>15</v>
      </c>
    </row>
    <row r="1228" ht="15.75" customHeight="1">
      <c r="A1228" s="1" t="s">
        <v>2486</v>
      </c>
      <c r="B1228" s="1" t="s">
        <v>2487</v>
      </c>
      <c r="C1228" s="1" t="s">
        <v>12</v>
      </c>
      <c r="D1228" s="1" t="s">
        <v>2447</v>
      </c>
      <c r="E1228" s="4">
        <v>1012182.0</v>
      </c>
      <c r="F1228" s="2" t="s">
        <v>15</v>
      </c>
      <c r="G1228" s="2" t="s">
        <v>1</v>
      </c>
      <c r="H1228" s="2" t="s">
        <v>53</v>
      </c>
      <c r="I1228" s="2" t="s">
        <v>15</v>
      </c>
      <c r="J1228" s="2" t="s">
        <v>15</v>
      </c>
    </row>
    <row r="1229" ht="15.75" customHeight="1">
      <c r="A1229" s="1" t="s">
        <v>2488</v>
      </c>
      <c r="B1229" s="1" t="s">
        <v>2489</v>
      </c>
      <c r="C1229" s="1" t="s">
        <v>12</v>
      </c>
      <c r="D1229" s="1" t="s">
        <v>2447</v>
      </c>
      <c r="E1229" s="4">
        <v>1012182.0</v>
      </c>
      <c r="F1229" s="2" t="s">
        <v>2490</v>
      </c>
      <c r="G1229" s="2" t="s">
        <v>1</v>
      </c>
      <c r="H1229" s="2" t="s">
        <v>14</v>
      </c>
      <c r="I1229" s="2" t="s">
        <v>15</v>
      </c>
      <c r="J1229" s="2" t="s">
        <v>15</v>
      </c>
    </row>
    <row r="1230" ht="15.75" customHeight="1">
      <c r="A1230" s="1" t="s">
        <v>2491</v>
      </c>
      <c r="B1230" s="1" t="s">
        <v>2492</v>
      </c>
      <c r="C1230" s="1" t="s">
        <v>12</v>
      </c>
      <c r="D1230" s="1" t="s">
        <v>2447</v>
      </c>
      <c r="E1230" s="4">
        <v>1012182.0</v>
      </c>
      <c r="F1230" s="2" t="s">
        <v>2490</v>
      </c>
      <c r="G1230" s="2" t="s">
        <v>1</v>
      </c>
      <c r="H1230" s="2" t="s">
        <v>18</v>
      </c>
      <c r="I1230" s="2" t="s">
        <v>15</v>
      </c>
      <c r="J1230" s="2" t="s">
        <v>15</v>
      </c>
    </row>
    <row r="1231" ht="15.75" customHeight="1">
      <c r="A1231" s="1" t="s">
        <v>2493</v>
      </c>
      <c r="B1231" s="1" t="s">
        <v>2494</v>
      </c>
      <c r="C1231" s="1" t="s">
        <v>12</v>
      </c>
      <c r="D1231" s="1" t="s">
        <v>2447</v>
      </c>
      <c r="E1231" s="4">
        <v>1012182.0</v>
      </c>
      <c r="F1231" s="2" t="s">
        <v>2490</v>
      </c>
      <c r="G1231" s="2" t="s">
        <v>1</v>
      </c>
      <c r="H1231" s="2" t="s">
        <v>21</v>
      </c>
      <c r="I1231" s="2" t="s">
        <v>15</v>
      </c>
      <c r="J1231" s="2" t="s">
        <v>15</v>
      </c>
    </row>
    <row r="1232" ht="15.75" customHeight="1">
      <c r="A1232" s="1" t="s">
        <v>2495</v>
      </c>
      <c r="B1232" s="1" t="s">
        <v>2496</v>
      </c>
      <c r="C1232" s="1" t="s">
        <v>12</v>
      </c>
      <c r="D1232" s="1" t="s">
        <v>2447</v>
      </c>
      <c r="E1232" s="4">
        <v>1012182.0</v>
      </c>
      <c r="F1232" s="2" t="s">
        <v>30</v>
      </c>
      <c r="G1232" s="2" t="s">
        <v>1</v>
      </c>
      <c r="H1232" s="2" t="s">
        <v>53</v>
      </c>
      <c r="I1232" s="2" t="s">
        <v>15</v>
      </c>
      <c r="J1232" s="2" t="s">
        <v>15</v>
      </c>
    </row>
    <row r="1233" ht="15.75" customHeight="1">
      <c r="A1233" s="1" t="s">
        <v>2497</v>
      </c>
      <c r="B1233" s="1" t="s">
        <v>2498</v>
      </c>
      <c r="C1233" s="1" t="s">
        <v>12</v>
      </c>
      <c r="D1233" s="1" t="s">
        <v>2447</v>
      </c>
      <c r="E1233" s="4">
        <v>1012182.0</v>
      </c>
      <c r="F1233" s="2" t="s">
        <v>30</v>
      </c>
      <c r="G1233" s="2" t="s">
        <v>1</v>
      </c>
      <c r="H1233" s="2" t="s">
        <v>14</v>
      </c>
      <c r="I1233" s="2" t="s">
        <v>15</v>
      </c>
      <c r="J1233" s="2" t="s">
        <v>15</v>
      </c>
    </row>
    <row r="1234" ht="15.75" customHeight="1">
      <c r="A1234" s="1" t="s">
        <v>2499</v>
      </c>
      <c r="B1234" s="1" t="s">
        <v>2500</v>
      </c>
      <c r="C1234" s="1" t="s">
        <v>12</v>
      </c>
      <c r="D1234" s="1" t="s">
        <v>2447</v>
      </c>
      <c r="E1234" s="4">
        <v>1012182.0</v>
      </c>
      <c r="F1234" s="2" t="s">
        <v>15</v>
      </c>
      <c r="G1234" s="2" t="s">
        <v>33</v>
      </c>
      <c r="H1234" s="2" t="s">
        <v>15</v>
      </c>
      <c r="I1234" s="2" t="s">
        <v>15</v>
      </c>
      <c r="J1234" s="2" t="s">
        <v>15</v>
      </c>
    </row>
    <row r="1235" ht="15.75" customHeight="1">
      <c r="A1235" s="1" t="s">
        <v>2501</v>
      </c>
      <c r="B1235" s="3" t="s">
        <v>2502</v>
      </c>
      <c r="C1235" s="1" t="s">
        <v>12</v>
      </c>
      <c r="D1235" s="1" t="s">
        <v>2447</v>
      </c>
      <c r="E1235" s="4">
        <v>1012182.0</v>
      </c>
      <c r="F1235" s="2">
        <v>1.0</v>
      </c>
      <c r="G1235" s="2" t="s">
        <v>1</v>
      </c>
      <c r="H1235" s="2" t="s">
        <v>37</v>
      </c>
      <c r="I1235" s="2" t="s">
        <v>15</v>
      </c>
      <c r="J1235" s="2" t="s">
        <v>15</v>
      </c>
    </row>
    <row r="1236" ht="15.75" customHeight="1">
      <c r="A1236" s="1" t="s">
        <v>2503</v>
      </c>
      <c r="B1236" s="1" t="s">
        <v>2504</v>
      </c>
      <c r="C1236" s="1" t="s">
        <v>12</v>
      </c>
      <c r="D1236" s="1" t="s">
        <v>2447</v>
      </c>
      <c r="E1236" s="4">
        <v>1012182.0</v>
      </c>
      <c r="F1236" s="2">
        <v>2.0</v>
      </c>
      <c r="G1236" s="2" t="s">
        <v>1</v>
      </c>
      <c r="H1236" s="2" t="s">
        <v>37</v>
      </c>
      <c r="I1236" s="2" t="s">
        <v>15</v>
      </c>
      <c r="J1236" s="2" t="s">
        <v>15</v>
      </c>
    </row>
    <row r="1237" ht="15.75" customHeight="1">
      <c r="A1237" s="1" t="s">
        <v>2505</v>
      </c>
      <c r="B1237" s="1" t="s">
        <v>2506</v>
      </c>
      <c r="C1237" s="1" t="s">
        <v>12</v>
      </c>
      <c r="D1237" s="1" t="s">
        <v>2447</v>
      </c>
      <c r="E1237" s="4">
        <v>1012182.0</v>
      </c>
      <c r="F1237" s="2">
        <v>3.0</v>
      </c>
      <c r="G1237" s="2" t="s">
        <v>1</v>
      </c>
      <c r="H1237" s="2" t="s">
        <v>37</v>
      </c>
      <c r="I1237" s="2" t="s">
        <v>15</v>
      </c>
      <c r="J1237" s="2" t="s">
        <v>15</v>
      </c>
    </row>
    <row r="1238" ht="15.75" customHeight="1">
      <c r="A1238" s="1" t="s">
        <v>2507</v>
      </c>
      <c r="B1238" s="1" t="s">
        <v>2508</v>
      </c>
      <c r="C1238" s="1" t="s">
        <v>12</v>
      </c>
      <c r="D1238" s="1" t="s">
        <v>2447</v>
      </c>
      <c r="E1238" s="4">
        <v>1012182.0</v>
      </c>
      <c r="F1238" s="2">
        <v>4.0</v>
      </c>
      <c r="G1238" s="2" t="s">
        <v>1</v>
      </c>
      <c r="H1238" s="2" t="s">
        <v>37</v>
      </c>
      <c r="I1238" s="2" t="s">
        <v>15</v>
      </c>
      <c r="J1238" s="2" t="s">
        <v>15</v>
      </c>
    </row>
    <row r="1239" ht="15.75" customHeight="1">
      <c r="A1239" s="1" t="s">
        <v>2509</v>
      </c>
      <c r="B1239" s="1" t="s">
        <v>2510</v>
      </c>
      <c r="C1239" s="1" t="s">
        <v>12</v>
      </c>
      <c r="D1239" s="1" t="s">
        <v>2447</v>
      </c>
      <c r="E1239" s="4">
        <v>1012182.0</v>
      </c>
      <c r="F1239" s="2">
        <v>5.0</v>
      </c>
      <c r="G1239" s="2" t="s">
        <v>1</v>
      </c>
      <c r="H1239" s="2" t="s">
        <v>37</v>
      </c>
      <c r="I1239" s="2" t="s">
        <v>15</v>
      </c>
      <c r="J1239" s="2" t="s">
        <v>15</v>
      </c>
    </row>
    <row r="1240" ht="15.75" customHeight="1">
      <c r="A1240" s="1" t="s">
        <v>2511</v>
      </c>
      <c r="B1240" s="1" t="s">
        <v>2512</v>
      </c>
      <c r="C1240" s="1" t="s">
        <v>12</v>
      </c>
      <c r="D1240" s="1" t="s">
        <v>2447</v>
      </c>
      <c r="E1240" s="4">
        <v>1012182.0</v>
      </c>
      <c r="F1240" s="2" t="s">
        <v>2490</v>
      </c>
      <c r="G1240" s="2" t="s">
        <v>1</v>
      </c>
      <c r="H1240" s="2" t="s">
        <v>37</v>
      </c>
      <c r="I1240" s="2" t="s">
        <v>15</v>
      </c>
      <c r="J1240" s="2" t="s">
        <v>15</v>
      </c>
    </row>
    <row r="1241" ht="15.75" customHeight="1">
      <c r="A1241" s="1" t="s">
        <v>2513</v>
      </c>
      <c r="B1241" s="1" t="s">
        <v>2514</v>
      </c>
      <c r="C1241" s="1" t="s">
        <v>12</v>
      </c>
      <c r="D1241" s="1" t="s">
        <v>2447</v>
      </c>
      <c r="E1241" s="4">
        <v>1012182.0</v>
      </c>
      <c r="F1241" s="2" t="s">
        <v>30</v>
      </c>
      <c r="G1241" s="2" t="s">
        <v>1</v>
      </c>
      <c r="H1241" s="2" t="s">
        <v>37</v>
      </c>
      <c r="I1241" s="2" t="s">
        <v>15</v>
      </c>
      <c r="J1241" s="2" t="s">
        <v>15</v>
      </c>
    </row>
    <row r="1242" ht="15.75" customHeight="1">
      <c r="A1242" s="1" t="s">
        <v>2515</v>
      </c>
      <c r="B1242" s="1" t="s">
        <v>2516</v>
      </c>
      <c r="C1242" s="1" t="s">
        <v>12</v>
      </c>
      <c r="D1242" s="1" t="s">
        <v>2517</v>
      </c>
      <c r="E1242" s="4">
        <v>1012246.0</v>
      </c>
      <c r="F1242" s="2">
        <v>1.0</v>
      </c>
      <c r="G1242" s="2" t="s">
        <v>1</v>
      </c>
      <c r="H1242" s="2" t="s">
        <v>14</v>
      </c>
      <c r="I1242" s="2" t="s">
        <v>15</v>
      </c>
      <c r="J1242" s="2" t="s">
        <v>15</v>
      </c>
    </row>
    <row r="1243" ht="15.75" customHeight="1">
      <c r="A1243" s="1" t="s">
        <v>2518</v>
      </c>
      <c r="B1243" s="1" t="s">
        <v>2519</v>
      </c>
      <c r="C1243" s="1" t="s">
        <v>12</v>
      </c>
      <c r="D1243" s="1" t="s">
        <v>2517</v>
      </c>
      <c r="E1243" s="4">
        <v>1012246.0</v>
      </c>
      <c r="F1243" s="2">
        <v>1.0</v>
      </c>
      <c r="G1243" s="2" t="s">
        <v>1</v>
      </c>
      <c r="H1243" s="2" t="s">
        <v>18</v>
      </c>
      <c r="I1243" s="2" t="s">
        <v>15</v>
      </c>
      <c r="J1243" s="2" t="s">
        <v>15</v>
      </c>
    </row>
    <row r="1244" ht="15.75" customHeight="1">
      <c r="A1244" s="1" t="s">
        <v>2520</v>
      </c>
      <c r="B1244" s="1" t="s">
        <v>2521</v>
      </c>
      <c r="C1244" s="1" t="s">
        <v>12</v>
      </c>
      <c r="D1244" s="1" t="s">
        <v>2517</v>
      </c>
      <c r="E1244" s="4">
        <v>1012246.0</v>
      </c>
      <c r="F1244" s="2">
        <v>2.0</v>
      </c>
      <c r="G1244" s="2" t="s">
        <v>1</v>
      </c>
      <c r="H1244" s="2" t="s">
        <v>14</v>
      </c>
      <c r="I1244" s="2" t="s">
        <v>15</v>
      </c>
      <c r="J1244" s="2" t="s">
        <v>15</v>
      </c>
    </row>
    <row r="1245" ht="15.75" customHeight="1">
      <c r="A1245" s="1" t="s">
        <v>2522</v>
      </c>
      <c r="B1245" s="1" t="s">
        <v>2523</v>
      </c>
      <c r="C1245" s="1" t="s">
        <v>12</v>
      </c>
      <c r="D1245" s="1" t="s">
        <v>2517</v>
      </c>
      <c r="E1245" s="4">
        <v>1012246.0</v>
      </c>
      <c r="F1245" s="2">
        <v>2.0</v>
      </c>
      <c r="G1245" s="2" t="s">
        <v>1</v>
      </c>
      <c r="H1245" s="2" t="s">
        <v>18</v>
      </c>
      <c r="I1245" s="2" t="s">
        <v>15</v>
      </c>
      <c r="J1245" s="2" t="s">
        <v>15</v>
      </c>
    </row>
    <row r="1246" ht="15.75" customHeight="1">
      <c r="A1246" s="1" t="s">
        <v>2524</v>
      </c>
      <c r="B1246" s="1" t="s">
        <v>2525</v>
      </c>
      <c r="C1246" s="1" t="s">
        <v>12</v>
      </c>
      <c r="D1246" s="1" t="s">
        <v>2517</v>
      </c>
      <c r="E1246" s="4">
        <v>1012246.0</v>
      </c>
      <c r="F1246" s="2">
        <v>3.0</v>
      </c>
      <c r="G1246" s="2" t="s">
        <v>1</v>
      </c>
      <c r="H1246" s="2" t="s">
        <v>14</v>
      </c>
      <c r="I1246" s="2" t="s">
        <v>15</v>
      </c>
      <c r="J1246" s="2" t="s">
        <v>15</v>
      </c>
    </row>
    <row r="1247" ht="15.75" customHeight="1">
      <c r="A1247" s="1" t="s">
        <v>2526</v>
      </c>
      <c r="B1247" s="1" t="s">
        <v>2527</v>
      </c>
      <c r="C1247" s="1" t="s">
        <v>12</v>
      </c>
      <c r="D1247" s="1" t="s">
        <v>2517</v>
      </c>
      <c r="E1247" s="4">
        <v>1012246.0</v>
      </c>
      <c r="F1247" s="2">
        <v>3.0</v>
      </c>
      <c r="G1247" s="2" t="s">
        <v>1</v>
      </c>
      <c r="H1247" s="2" t="s">
        <v>18</v>
      </c>
      <c r="I1247" s="2" t="s">
        <v>15</v>
      </c>
      <c r="J1247" s="2" t="s">
        <v>15</v>
      </c>
    </row>
    <row r="1248" ht="15.75" customHeight="1">
      <c r="A1248" s="1" t="s">
        <v>2528</v>
      </c>
      <c r="B1248" s="1" t="s">
        <v>2529</v>
      </c>
      <c r="C1248" s="1" t="s">
        <v>12</v>
      </c>
      <c r="D1248" s="1" t="s">
        <v>2517</v>
      </c>
      <c r="E1248" s="4">
        <v>1012246.0</v>
      </c>
      <c r="F1248" s="2" t="s">
        <v>30</v>
      </c>
      <c r="G1248" s="2" t="s">
        <v>1</v>
      </c>
      <c r="H1248" s="2" t="s">
        <v>14</v>
      </c>
      <c r="I1248" s="2" t="s">
        <v>15</v>
      </c>
      <c r="J1248" s="2" t="s">
        <v>15</v>
      </c>
    </row>
    <row r="1249" ht="15.75" customHeight="1">
      <c r="A1249" s="1" t="s">
        <v>2530</v>
      </c>
      <c r="B1249" s="1" t="s">
        <v>2531</v>
      </c>
      <c r="C1249" s="1" t="s">
        <v>12</v>
      </c>
      <c r="D1249" s="1" t="s">
        <v>2517</v>
      </c>
      <c r="E1249" s="4">
        <v>1012246.0</v>
      </c>
      <c r="F1249" s="2" t="s">
        <v>15</v>
      </c>
      <c r="G1249" s="2" t="s">
        <v>33</v>
      </c>
      <c r="H1249" s="2" t="s">
        <v>15</v>
      </c>
      <c r="I1249" s="2" t="s">
        <v>15</v>
      </c>
      <c r="J1249" s="2" t="s">
        <v>15</v>
      </c>
    </row>
    <row r="1250" ht="15.75" customHeight="1">
      <c r="A1250" s="1" t="s">
        <v>2532</v>
      </c>
      <c r="B1250" s="1" t="s">
        <v>2533</v>
      </c>
      <c r="C1250" s="1" t="s">
        <v>12</v>
      </c>
      <c r="D1250" s="1" t="s">
        <v>2534</v>
      </c>
      <c r="E1250" s="4">
        <v>1012310.0</v>
      </c>
      <c r="F1250" s="2" t="s">
        <v>36</v>
      </c>
      <c r="G1250" s="2" t="s">
        <v>1</v>
      </c>
      <c r="H1250" s="2" t="s">
        <v>14</v>
      </c>
      <c r="I1250" s="2" t="s">
        <v>15</v>
      </c>
      <c r="J1250" s="2" t="s">
        <v>15</v>
      </c>
    </row>
    <row r="1251" ht="15.75" customHeight="1">
      <c r="A1251" s="1" t="s">
        <v>2535</v>
      </c>
      <c r="B1251" s="1" t="s">
        <v>2536</v>
      </c>
      <c r="C1251" s="1" t="s">
        <v>12</v>
      </c>
      <c r="D1251" s="1" t="s">
        <v>2534</v>
      </c>
      <c r="E1251" s="4">
        <v>1012310.0</v>
      </c>
      <c r="F1251" s="2" t="s">
        <v>36</v>
      </c>
      <c r="G1251" s="2" t="s">
        <v>1</v>
      </c>
      <c r="H1251" s="2" t="s">
        <v>18</v>
      </c>
      <c r="I1251" s="2" t="s">
        <v>15</v>
      </c>
      <c r="J1251" s="2" t="s">
        <v>15</v>
      </c>
    </row>
    <row r="1252" ht="15.75" customHeight="1">
      <c r="A1252" s="1" t="s">
        <v>2537</v>
      </c>
      <c r="B1252" s="1" t="s">
        <v>2538</v>
      </c>
      <c r="C1252" s="1" t="s">
        <v>12</v>
      </c>
      <c r="D1252" s="1" t="s">
        <v>2534</v>
      </c>
      <c r="E1252" s="4">
        <v>1012310.0</v>
      </c>
      <c r="F1252" s="2">
        <v>1.0</v>
      </c>
      <c r="G1252" s="2" t="s">
        <v>1</v>
      </c>
      <c r="H1252" s="2" t="s">
        <v>14</v>
      </c>
      <c r="I1252" s="2" t="s">
        <v>15</v>
      </c>
      <c r="J1252" s="2" t="s">
        <v>15</v>
      </c>
    </row>
    <row r="1253" ht="15.75" customHeight="1">
      <c r="A1253" s="1" t="s">
        <v>2539</v>
      </c>
      <c r="B1253" s="1" t="s">
        <v>2540</v>
      </c>
      <c r="C1253" s="1" t="s">
        <v>12</v>
      </c>
      <c r="D1253" s="1" t="s">
        <v>2534</v>
      </c>
      <c r="E1253" s="4">
        <v>1012310.0</v>
      </c>
      <c r="F1253" s="2">
        <v>1.0</v>
      </c>
      <c r="G1253" s="2" t="s">
        <v>1</v>
      </c>
      <c r="H1253" s="2" t="s">
        <v>18</v>
      </c>
      <c r="I1253" s="2" t="s">
        <v>15</v>
      </c>
      <c r="J1253" s="2" t="s">
        <v>15</v>
      </c>
    </row>
    <row r="1254" ht="15.75" customHeight="1">
      <c r="A1254" s="1" t="s">
        <v>2541</v>
      </c>
      <c r="B1254" s="1" t="s">
        <v>2542</v>
      </c>
      <c r="C1254" s="1" t="s">
        <v>12</v>
      </c>
      <c r="D1254" s="1" t="s">
        <v>2534</v>
      </c>
      <c r="E1254" s="4">
        <v>1012310.0</v>
      </c>
      <c r="F1254" s="2">
        <v>2.0</v>
      </c>
      <c r="G1254" s="2" t="s">
        <v>1</v>
      </c>
      <c r="H1254" s="2" t="s">
        <v>14</v>
      </c>
      <c r="I1254" s="2" t="s">
        <v>15</v>
      </c>
      <c r="J1254" s="2" t="s">
        <v>15</v>
      </c>
    </row>
    <row r="1255" ht="15.75" customHeight="1">
      <c r="A1255" s="1" t="s">
        <v>2543</v>
      </c>
      <c r="B1255" s="1" t="s">
        <v>2544</v>
      </c>
      <c r="C1255" s="1" t="s">
        <v>12</v>
      </c>
      <c r="D1255" s="1" t="s">
        <v>2534</v>
      </c>
      <c r="E1255" s="4">
        <v>1012310.0</v>
      </c>
      <c r="F1255" s="2">
        <v>2.0</v>
      </c>
      <c r="G1255" s="2" t="s">
        <v>1</v>
      </c>
      <c r="H1255" s="2" t="s">
        <v>18</v>
      </c>
      <c r="I1255" s="2" t="s">
        <v>15</v>
      </c>
      <c r="J1255" s="2" t="s">
        <v>15</v>
      </c>
    </row>
    <row r="1256" ht="15.75" customHeight="1">
      <c r="A1256" s="1" t="s">
        <v>2545</v>
      </c>
      <c r="B1256" s="1" t="s">
        <v>2546</v>
      </c>
      <c r="C1256" s="1" t="s">
        <v>12</v>
      </c>
      <c r="D1256" s="1" t="s">
        <v>2534</v>
      </c>
      <c r="E1256" s="4">
        <v>1012310.0</v>
      </c>
      <c r="F1256" s="2" t="s">
        <v>30</v>
      </c>
      <c r="G1256" s="2" t="s">
        <v>1</v>
      </c>
      <c r="H1256" s="2" t="s">
        <v>14</v>
      </c>
      <c r="I1256" s="2" t="s">
        <v>15</v>
      </c>
      <c r="J1256" s="2" t="s">
        <v>15</v>
      </c>
    </row>
    <row r="1257" ht="15.75" customHeight="1">
      <c r="A1257" s="1" t="s">
        <v>2547</v>
      </c>
      <c r="B1257" s="1" t="s">
        <v>2548</v>
      </c>
      <c r="C1257" s="1" t="s">
        <v>12</v>
      </c>
      <c r="D1257" s="1" t="s">
        <v>2534</v>
      </c>
      <c r="E1257" s="4">
        <v>1012310.0</v>
      </c>
      <c r="F1257" s="2" t="s">
        <v>15</v>
      </c>
      <c r="G1257" s="2" t="s">
        <v>33</v>
      </c>
      <c r="H1257" s="2" t="s">
        <v>15</v>
      </c>
      <c r="I1257" s="2" t="s">
        <v>15</v>
      </c>
      <c r="J1257" s="2" t="s">
        <v>15</v>
      </c>
    </row>
    <row r="1258" ht="15.75" customHeight="1">
      <c r="A1258" s="1" t="s">
        <v>2549</v>
      </c>
      <c r="B1258" s="1" t="s">
        <v>2550</v>
      </c>
      <c r="C1258" s="1" t="s">
        <v>12</v>
      </c>
      <c r="D1258" s="1" t="s">
        <v>2551</v>
      </c>
      <c r="E1258" s="4">
        <v>1012374.0</v>
      </c>
      <c r="F1258" s="2">
        <v>1.0</v>
      </c>
      <c r="G1258" s="2" t="s">
        <v>1</v>
      </c>
      <c r="H1258" s="2" t="s">
        <v>14</v>
      </c>
      <c r="I1258" s="2" t="s">
        <v>15</v>
      </c>
      <c r="J1258" s="2" t="s">
        <v>15</v>
      </c>
    </row>
    <row r="1259" ht="15.75" customHeight="1">
      <c r="A1259" s="1" t="s">
        <v>2552</v>
      </c>
      <c r="B1259" s="1" t="s">
        <v>2553</v>
      </c>
      <c r="C1259" s="1" t="s">
        <v>12</v>
      </c>
      <c r="D1259" s="1" t="s">
        <v>2551</v>
      </c>
      <c r="E1259" s="4">
        <v>1012374.0</v>
      </c>
      <c r="F1259" s="2">
        <v>1.0</v>
      </c>
      <c r="G1259" s="2" t="s">
        <v>1</v>
      </c>
      <c r="H1259" s="2" t="s">
        <v>18</v>
      </c>
      <c r="I1259" s="2" t="s">
        <v>15</v>
      </c>
      <c r="J1259" s="2" t="s">
        <v>15</v>
      </c>
    </row>
    <row r="1260" ht="15.75" customHeight="1">
      <c r="A1260" s="1" t="s">
        <v>2554</v>
      </c>
      <c r="B1260" s="1" t="s">
        <v>2555</v>
      </c>
      <c r="C1260" s="1" t="s">
        <v>12</v>
      </c>
      <c r="D1260" s="1" t="s">
        <v>2551</v>
      </c>
      <c r="E1260" s="4">
        <v>1012374.0</v>
      </c>
      <c r="F1260" s="2">
        <v>2.0</v>
      </c>
      <c r="G1260" s="2" t="s">
        <v>1</v>
      </c>
      <c r="H1260" s="2" t="s">
        <v>14</v>
      </c>
      <c r="I1260" s="2" t="s">
        <v>15</v>
      </c>
      <c r="J1260" s="2" t="s">
        <v>15</v>
      </c>
    </row>
    <row r="1261" ht="15.75" customHeight="1">
      <c r="A1261" s="1" t="s">
        <v>2556</v>
      </c>
      <c r="B1261" s="1" t="s">
        <v>2557</v>
      </c>
      <c r="C1261" s="1" t="s">
        <v>12</v>
      </c>
      <c r="D1261" s="1" t="s">
        <v>2551</v>
      </c>
      <c r="E1261" s="4">
        <v>1012374.0</v>
      </c>
      <c r="F1261" s="2">
        <v>2.0</v>
      </c>
      <c r="G1261" s="2" t="s">
        <v>1</v>
      </c>
      <c r="H1261" s="2" t="s">
        <v>18</v>
      </c>
      <c r="I1261" s="2" t="s">
        <v>15</v>
      </c>
      <c r="J1261" s="2" t="s">
        <v>15</v>
      </c>
    </row>
    <row r="1262" ht="15.75" customHeight="1">
      <c r="A1262" s="1" t="s">
        <v>2558</v>
      </c>
      <c r="B1262" s="1" t="s">
        <v>2559</v>
      </c>
      <c r="C1262" s="1" t="s">
        <v>12</v>
      </c>
      <c r="D1262" s="1" t="s">
        <v>2551</v>
      </c>
      <c r="E1262" s="4">
        <v>1012374.0</v>
      </c>
      <c r="F1262" s="2">
        <v>3.0</v>
      </c>
      <c r="G1262" s="2" t="s">
        <v>1</v>
      </c>
      <c r="H1262" s="2" t="s">
        <v>14</v>
      </c>
      <c r="I1262" s="2" t="s">
        <v>15</v>
      </c>
      <c r="J1262" s="2" t="s">
        <v>15</v>
      </c>
    </row>
    <row r="1263" ht="15.75" customHeight="1">
      <c r="A1263" s="1" t="s">
        <v>2560</v>
      </c>
      <c r="B1263" s="1" t="s">
        <v>2561</v>
      </c>
      <c r="C1263" s="1" t="s">
        <v>12</v>
      </c>
      <c r="D1263" s="1" t="s">
        <v>2551</v>
      </c>
      <c r="E1263" s="4">
        <v>1012374.0</v>
      </c>
      <c r="F1263" s="2">
        <v>3.0</v>
      </c>
      <c r="G1263" s="2" t="s">
        <v>1</v>
      </c>
      <c r="H1263" s="2" t="s">
        <v>18</v>
      </c>
      <c r="I1263" s="2" t="s">
        <v>15</v>
      </c>
      <c r="J1263" s="2" t="s">
        <v>15</v>
      </c>
    </row>
    <row r="1264" ht="15.75" customHeight="1">
      <c r="A1264" s="1" t="s">
        <v>2562</v>
      </c>
      <c r="B1264" s="1" t="s">
        <v>2563</v>
      </c>
      <c r="C1264" s="1" t="s">
        <v>12</v>
      </c>
      <c r="D1264" s="1" t="s">
        <v>2551</v>
      </c>
      <c r="E1264" s="4">
        <v>1012374.0</v>
      </c>
      <c r="F1264" s="2" t="s">
        <v>30</v>
      </c>
      <c r="G1264" s="2" t="s">
        <v>1</v>
      </c>
      <c r="H1264" s="2" t="s">
        <v>14</v>
      </c>
      <c r="I1264" s="2" t="s">
        <v>15</v>
      </c>
      <c r="J1264" s="2" t="s">
        <v>15</v>
      </c>
    </row>
    <row r="1265" ht="15.75" customHeight="1">
      <c r="A1265" s="1" t="s">
        <v>2564</v>
      </c>
      <c r="B1265" s="1" t="s">
        <v>2565</v>
      </c>
      <c r="C1265" s="1" t="s">
        <v>12</v>
      </c>
      <c r="D1265" s="1" t="s">
        <v>2551</v>
      </c>
      <c r="E1265" s="4">
        <v>1012374.0</v>
      </c>
      <c r="F1265" s="2" t="s">
        <v>15</v>
      </c>
      <c r="G1265" s="2" t="s">
        <v>33</v>
      </c>
      <c r="H1265" s="2" t="s">
        <v>15</v>
      </c>
      <c r="I1265" s="2" t="s">
        <v>15</v>
      </c>
      <c r="J1265" s="2" t="s">
        <v>15</v>
      </c>
    </row>
    <row r="1266" ht="15.75" customHeight="1">
      <c r="A1266" s="1" t="s">
        <v>2566</v>
      </c>
      <c r="B1266" s="1" t="s">
        <v>2567</v>
      </c>
      <c r="C1266" s="1" t="s">
        <v>12</v>
      </c>
      <c r="D1266" s="1" t="s">
        <v>2568</v>
      </c>
      <c r="E1266" s="4">
        <v>1012438.0</v>
      </c>
      <c r="F1266" s="2">
        <v>1.0</v>
      </c>
      <c r="G1266" s="2" t="s">
        <v>1</v>
      </c>
      <c r="H1266" s="2" t="s">
        <v>14</v>
      </c>
      <c r="I1266" s="2" t="s">
        <v>15</v>
      </c>
      <c r="J1266" s="2" t="s">
        <v>15</v>
      </c>
    </row>
    <row r="1267" ht="15.75" customHeight="1">
      <c r="A1267" s="1" t="s">
        <v>2569</v>
      </c>
      <c r="B1267" s="1" t="s">
        <v>2570</v>
      </c>
      <c r="C1267" s="1" t="s">
        <v>12</v>
      </c>
      <c r="D1267" s="1" t="s">
        <v>2568</v>
      </c>
      <c r="E1267" s="4">
        <v>1012438.0</v>
      </c>
      <c r="F1267" s="2">
        <v>1.0</v>
      </c>
      <c r="G1267" s="2" t="s">
        <v>1</v>
      </c>
      <c r="H1267" s="2" t="s">
        <v>18</v>
      </c>
      <c r="I1267" s="2" t="s">
        <v>15</v>
      </c>
      <c r="J1267" s="2" t="s">
        <v>15</v>
      </c>
    </row>
    <row r="1268" ht="15.75" customHeight="1">
      <c r="A1268" s="1" t="s">
        <v>2571</v>
      </c>
      <c r="B1268" s="1" t="s">
        <v>2572</v>
      </c>
      <c r="C1268" s="1" t="s">
        <v>12</v>
      </c>
      <c r="D1268" s="1" t="s">
        <v>2568</v>
      </c>
      <c r="E1268" s="4">
        <v>1012438.0</v>
      </c>
      <c r="F1268" s="2">
        <v>2.0</v>
      </c>
      <c r="G1268" s="2" t="s">
        <v>1</v>
      </c>
      <c r="H1268" s="2" t="s">
        <v>14</v>
      </c>
      <c r="I1268" s="2" t="s">
        <v>15</v>
      </c>
      <c r="J1268" s="2" t="s">
        <v>15</v>
      </c>
    </row>
    <row r="1269" ht="15.75" customHeight="1">
      <c r="A1269" s="1" t="s">
        <v>2573</v>
      </c>
      <c r="B1269" s="1" t="s">
        <v>2574</v>
      </c>
      <c r="C1269" s="1" t="s">
        <v>12</v>
      </c>
      <c r="D1269" s="1" t="s">
        <v>2568</v>
      </c>
      <c r="E1269" s="4">
        <v>1012438.0</v>
      </c>
      <c r="F1269" s="2">
        <v>2.0</v>
      </c>
      <c r="G1269" s="2" t="s">
        <v>1</v>
      </c>
      <c r="H1269" s="2" t="s">
        <v>18</v>
      </c>
      <c r="I1269" s="2" t="s">
        <v>15</v>
      </c>
      <c r="J1269" s="2" t="s">
        <v>15</v>
      </c>
    </row>
    <row r="1270" ht="15.75" customHeight="1">
      <c r="A1270" s="1" t="s">
        <v>2575</v>
      </c>
      <c r="B1270" s="1" t="s">
        <v>2576</v>
      </c>
      <c r="C1270" s="1" t="s">
        <v>12</v>
      </c>
      <c r="D1270" s="1" t="s">
        <v>2568</v>
      </c>
      <c r="E1270" s="4">
        <v>1012438.0</v>
      </c>
      <c r="F1270" s="2" t="s">
        <v>30</v>
      </c>
      <c r="G1270" s="2" t="s">
        <v>1</v>
      </c>
      <c r="H1270" s="2" t="s">
        <v>14</v>
      </c>
      <c r="I1270" s="2" t="s">
        <v>15</v>
      </c>
      <c r="J1270" s="2" t="s">
        <v>15</v>
      </c>
    </row>
    <row r="1271" ht="15.75" customHeight="1">
      <c r="A1271" s="1" t="s">
        <v>2577</v>
      </c>
      <c r="B1271" s="1" t="s">
        <v>2578</v>
      </c>
      <c r="C1271" s="1" t="s">
        <v>12</v>
      </c>
      <c r="D1271" s="1" t="s">
        <v>2568</v>
      </c>
      <c r="E1271" s="4">
        <v>1012438.0</v>
      </c>
      <c r="F1271" s="2" t="s">
        <v>15</v>
      </c>
      <c r="G1271" s="2" t="s">
        <v>33</v>
      </c>
      <c r="H1271" s="2" t="s">
        <v>15</v>
      </c>
      <c r="I1271" s="2" t="s">
        <v>15</v>
      </c>
      <c r="J1271" s="2" t="s">
        <v>15</v>
      </c>
    </row>
    <row r="1272" ht="15.75" customHeight="1">
      <c r="A1272" s="1" t="s">
        <v>2579</v>
      </c>
      <c r="B1272" s="1" t="s">
        <v>2580</v>
      </c>
      <c r="C1272" s="1" t="s">
        <v>12</v>
      </c>
      <c r="D1272" s="1" t="s">
        <v>2581</v>
      </c>
      <c r="E1272" s="4">
        <v>1012502.0</v>
      </c>
      <c r="F1272" s="2">
        <v>1.0</v>
      </c>
      <c r="G1272" s="2" t="s">
        <v>1</v>
      </c>
      <c r="H1272" s="2" t="s">
        <v>14</v>
      </c>
      <c r="I1272" s="2" t="s">
        <v>15</v>
      </c>
      <c r="J1272" s="2" t="s">
        <v>15</v>
      </c>
    </row>
    <row r="1273" ht="15.75" customHeight="1">
      <c r="A1273" s="1" t="s">
        <v>2582</v>
      </c>
      <c r="B1273" s="1" t="s">
        <v>2583</v>
      </c>
      <c r="C1273" s="1" t="s">
        <v>12</v>
      </c>
      <c r="D1273" s="1" t="s">
        <v>2581</v>
      </c>
      <c r="E1273" s="4">
        <v>1012502.0</v>
      </c>
      <c r="F1273" s="2">
        <v>1.0</v>
      </c>
      <c r="G1273" s="2" t="s">
        <v>1</v>
      </c>
      <c r="H1273" s="2" t="s">
        <v>18</v>
      </c>
      <c r="I1273" s="2" t="s">
        <v>15</v>
      </c>
      <c r="J1273" s="2" t="s">
        <v>15</v>
      </c>
    </row>
    <row r="1274" ht="15.75" customHeight="1">
      <c r="A1274" s="1" t="s">
        <v>2584</v>
      </c>
      <c r="B1274" s="1" t="s">
        <v>2585</v>
      </c>
      <c r="C1274" s="1" t="s">
        <v>12</v>
      </c>
      <c r="D1274" s="1" t="s">
        <v>2581</v>
      </c>
      <c r="E1274" s="4">
        <v>1012502.0</v>
      </c>
      <c r="F1274" s="2">
        <v>2.0</v>
      </c>
      <c r="G1274" s="2" t="s">
        <v>1</v>
      </c>
      <c r="H1274" s="2" t="s">
        <v>14</v>
      </c>
      <c r="I1274" s="2" t="s">
        <v>15</v>
      </c>
      <c r="J1274" s="2" t="s">
        <v>15</v>
      </c>
    </row>
    <row r="1275" ht="15.75" customHeight="1">
      <c r="A1275" s="1" t="s">
        <v>2586</v>
      </c>
      <c r="B1275" s="1" t="s">
        <v>2587</v>
      </c>
      <c r="C1275" s="1" t="s">
        <v>12</v>
      </c>
      <c r="D1275" s="1" t="s">
        <v>2581</v>
      </c>
      <c r="E1275" s="4">
        <v>1012502.0</v>
      </c>
      <c r="F1275" s="2">
        <v>2.0</v>
      </c>
      <c r="G1275" s="2" t="s">
        <v>1</v>
      </c>
      <c r="H1275" s="2" t="s">
        <v>18</v>
      </c>
      <c r="I1275" s="2" t="s">
        <v>15</v>
      </c>
      <c r="J1275" s="2" t="s">
        <v>15</v>
      </c>
    </row>
    <row r="1276" ht="15.75" customHeight="1">
      <c r="A1276" s="1" t="s">
        <v>2588</v>
      </c>
      <c r="B1276" s="1" t="s">
        <v>2589</v>
      </c>
      <c r="C1276" s="1" t="s">
        <v>12</v>
      </c>
      <c r="D1276" s="1" t="s">
        <v>2581</v>
      </c>
      <c r="E1276" s="4">
        <v>1012502.0</v>
      </c>
      <c r="F1276" s="2" t="s">
        <v>30</v>
      </c>
      <c r="G1276" s="2" t="s">
        <v>1</v>
      </c>
      <c r="H1276" s="2" t="s">
        <v>14</v>
      </c>
      <c r="I1276" s="2" t="s">
        <v>15</v>
      </c>
      <c r="J1276" s="2" t="s">
        <v>15</v>
      </c>
    </row>
    <row r="1277" ht="15.75" customHeight="1">
      <c r="A1277" s="1" t="s">
        <v>2590</v>
      </c>
      <c r="B1277" s="1" t="s">
        <v>2591</v>
      </c>
      <c r="C1277" s="1" t="s">
        <v>12</v>
      </c>
      <c r="D1277" s="1" t="s">
        <v>2581</v>
      </c>
      <c r="E1277" s="4">
        <v>1012502.0</v>
      </c>
      <c r="F1277" s="2" t="s">
        <v>15</v>
      </c>
      <c r="G1277" s="2" t="s">
        <v>33</v>
      </c>
      <c r="H1277" s="2" t="s">
        <v>15</v>
      </c>
      <c r="I1277" s="2" t="s">
        <v>15</v>
      </c>
      <c r="J1277" s="2" t="s">
        <v>15</v>
      </c>
    </row>
    <row r="1278" ht="15.75" customHeight="1">
      <c r="A1278" s="1" t="s">
        <v>2592</v>
      </c>
      <c r="B1278" s="1" t="s">
        <v>2593</v>
      </c>
      <c r="C1278" s="1" t="s">
        <v>12</v>
      </c>
      <c r="D1278" s="1" t="s">
        <v>2594</v>
      </c>
      <c r="E1278" s="4">
        <v>1012566.0</v>
      </c>
      <c r="F1278" s="2">
        <v>1.0</v>
      </c>
      <c r="G1278" s="2" t="s">
        <v>1</v>
      </c>
      <c r="H1278" s="2" t="s">
        <v>14</v>
      </c>
      <c r="I1278" s="2" t="s">
        <v>15</v>
      </c>
      <c r="J1278" s="2" t="s">
        <v>15</v>
      </c>
    </row>
    <row r="1279" ht="15.75" customHeight="1">
      <c r="A1279" s="1" t="s">
        <v>2595</v>
      </c>
      <c r="B1279" s="1" t="s">
        <v>2596</v>
      </c>
      <c r="C1279" s="1" t="s">
        <v>12</v>
      </c>
      <c r="D1279" s="1" t="s">
        <v>2594</v>
      </c>
      <c r="E1279" s="4">
        <v>1012566.0</v>
      </c>
      <c r="F1279" s="2">
        <v>1.0</v>
      </c>
      <c r="G1279" s="2" t="s">
        <v>1</v>
      </c>
      <c r="H1279" s="2" t="s">
        <v>18</v>
      </c>
      <c r="I1279" s="2" t="s">
        <v>15</v>
      </c>
      <c r="J1279" s="2" t="s">
        <v>15</v>
      </c>
    </row>
    <row r="1280" ht="15.75" customHeight="1">
      <c r="A1280" s="1" t="s">
        <v>2597</v>
      </c>
      <c r="B1280" s="1" t="s">
        <v>2598</v>
      </c>
      <c r="C1280" s="1" t="s">
        <v>12</v>
      </c>
      <c r="D1280" s="1" t="s">
        <v>2594</v>
      </c>
      <c r="E1280" s="4">
        <v>1012566.0</v>
      </c>
      <c r="F1280" s="2">
        <v>2.0</v>
      </c>
      <c r="G1280" s="2" t="s">
        <v>1</v>
      </c>
      <c r="H1280" s="2" t="s">
        <v>14</v>
      </c>
      <c r="I1280" s="2" t="s">
        <v>15</v>
      </c>
      <c r="J1280" s="2" t="s">
        <v>15</v>
      </c>
    </row>
    <row r="1281" ht="15.75" customHeight="1">
      <c r="A1281" s="1" t="s">
        <v>2599</v>
      </c>
      <c r="B1281" s="1" t="s">
        <v>2600</v>
      </c>
      <c r="C1281" s="1" t="s">
        <v>12</v>
      </c>
      <c r="D1281" s="1" t="s">
        <v>2594</v>
      </c>
      <c r="E1281" s="4">
        <v>1012566.0</v>
      </c>
      <c r="F1281" s="2">
        <v>2.0</v>
      </c>
      <c r="G1281" s="2" t="s">
        <v>1</v>
      </c>
      <c r="H1281" s="2" t="s">
        <v>18</v>
      </c>
      <c r="I1281" s="2" t="s">
        <v>15</v>
      </c>
      <c r="J1281" s="2" t="s">
        <v>15</v>
      </c>
    </row>
    <row r="1282" ht="15.75" customHeight="1">
      <c r="A1282" s="1" t="s">
        <v>2601</v>
      </c>
      <c r="B1282" s="1" t="s">
        <v>2602</v>
      </c>
      <c r="C1282" s="1" t="s">
        <v>12</v>
      </c>
      <c r="D1282" s="1" t="s">
        <v>2594</v>
      </c>
      <c r="E1282" s="4">
        <v>1012566.0</v>
      </c>
      <c r="F1282" s="2">
        <v>3.0</v>
      </c>
      <c r="G1282" s="2" t="s">
        <v>1</v>
      </c>
      <c r="H1282" s="2" t="s">
        <v>14</v>
      </c>
      <c r="I1282" s="2" t="s">
        <v>15</v>
      </c>
      <c r="J1282" s="2" t="s">
        <v>15</v>
      </c>
    </row>
    <row r="1283" ht="15.75" customHeight="1">
      <c r="A1283" s="1" t="s">
        <v>2603</v>
      </c>
      <c r="B1283" s="1" t="s">
        <v>2604</v>
      </c>
      <c r="C1283" s="1" t="s">
        <v>12</v>
      </c>
      <c r="D1283" s="1" t="s">
        <v>2594</v>
      </c>
      <c r="E1283" s="4">
        <v>1012566.0</v>
      </c>
      <c r="F1283" s="2">
        <v>3.0</v>
      </c>
      <c r="G1283" s="2" t="s">
        <v>1</v>
      </c>
      <c r="H1283" s="2" t="s">
        <v>18</v>
      </c>
      <c r="I1283" s="2" t="s">
        <v>15</v>
      </c>
      <c r="J1283" s="2" t="s">
        <v>15</v>
      </c>
    </row>
    <row r="1284" ht="15.75" customHeight="1">
      <c r="A1284" s="1" t="s">
        <v>2605</v>
      </c>
      <c r="B1284" s="1" t="s">
        <v>2606</v>
      </c>
      <c r="C1284" s="1" t="s">
        <v>12</v>
      </c>
      <c r="D1284" s="1" t="s">
        <v>2594</v>
      </c>
      <c r="E1284" s="4">
        <v>1012566.0</v>
      </c>
      <c r="F1284" s="2" t="s">
        <v>30</v>
      </c>
      <c r="G1284" s="2" t="s">
        <v>1</v>
      </c>
      <c r="H1284" s="2" t="s">
        <v>14</v>
      </c>
      <c r="I1284" s="2" t="s">
        <v>15</v>
      </c>
      <c r="J1284" s="2" t="s">
        <v>15</v>
      </c>
    </row>
    <row r="1285" ht="15.75" customHeight="1">
      <c r="A1285" s="1" t="s">
        <v>2607</v>
      </c>
      <c r="B1285" s="1" t="s">
        <v>2608</v>
      </c>
      <c r="C1285" s="1" t="s">
        <v>12</v>
      </c>
      <c r="D1285" s="1" t="s">
        <v>2594</v>
      </c>
      <c r="E1285" s="4">
        <v>1012566.0</v>
      </c>
      <c r="F1285" s="2" t="s">
        <v>15</v>
      </c>
      <c r="G1285" s="2" t="s">
        <v>33</v>
      </c>
      <c r="H1285" s="2" t="s">
        <v>15</v>
      </c>
      <c r="I1285" s="2" t="s">
        <v>15</v>
      </c>
      <c r="J1285" s="2" t="s">
        <v>15</v>
      </c>
    </row>
    <row r="1286" ht="15.75" customHeight="1">
      <c r="A1286" s="1" t="s">
        <v>2609</v>
      </c>
      <c r="B1286" s="1" t="s">
        <v>2610</v>
      </c>
      <c r="C1286" s="1" t="s">
        <v>12</v>
      </c>
      <c r="D1286" s="1" t="s">
        <v>2611</v>
      </c>
      <c r="E1286" s="4">
        <v>1012630.0</v>
      </c>
      <c r="F1286" s="2">
        <v>1.0</v>
      </c>
      <c r="G1286" s="2" t="s">
        <v>1</v>
      </c>
      <c r="H1286" s="2" t="s">
        <v>14</v>
      </c>
      <c r="I1286" s="2" t="s">
        <v>15</v>
      </c>
      <c r="J1286" s="2" t="s">
        <v>15</v>
      </c>
    </row>
    <row r="1287" ht="15.75" customHeight="1">
      <c r="A1287" s="1" t="s">
        <v>2612</v>
      </c>
      <c r="B1287" s="1" t="s">
        <v>2613</v>
      </c>
      <c r="C1287" s="1" t="s">
        <v>12</v>
      </c>
      <c r="D1287" s="1" t="s">
        <v>2611</v>
      </c>
      <c r="E1287" s="4">
        <v>1012630.0</v>
      </c>
      <c r="F1287" s="2">
        <v>1.0</v>
      </c>
      <c r="G1287" s="2" t="s">
        <v>1</v>
      </c>
      <c r="H1287" s="2" t="s">
        <v>18</v>
      </c>
      <c r="I1287" s="2" t="s">
        <v>15</v>
      </c>
      <c r="J1287" s="2" t="s">
        <v>15</v>
      </c>
    </row>
    <row r="1288" ht="15.75" customHeight="1">
      <c r="A1288" s="1" t="s">
        <v>2614</v>
      </c>
      <c r="B1288" s="1" t="s">
        <v>2615</v>
      </c>
      <c r="C1288" s="1" t="s">
        <v>12</v>
      </c>
      <c r="D1288" s="1" t="s">
        <v>2611</v>
      </c>
      <c r="E1288" s="4">
        <v>1012630.0</v>
      </c>
      <c r="F1288" s="2">
        <v>2.0</v>
      </c>
      <c r="G1288" s="2" t="s">
        <v>1</v>
      </c>
      <c r="H1288" s="2" t="s">
        <v>14</v>
      </c>
      <c r="I1288" s="2" t="s">
        <v>15</v>
      </c>
      <c r="J1288" s="2" t="s">
        <v>15</v>
      </c>
    </row>
    <row r="1289" ht="15.75" customHeight="1">
      <c r="A1289" s="1" t="s">
        <v>2616</v>
      </c>
      <c r="B1289" s="1" t="s">
        <v>2617</v>
      </c>
      <c r="C1289" s="1" t="s">
        <v>12</v>
      </c>
      <c r="D1289" s="1" t="s">
        <v>2611</v>
      </c>
      <c r="E1289" s="4">
        <v>1012630.0</v>
      </c>
      <c r="F1289" s="2">
        <v>2.0</v>
      </c>
      <c r="G1289" s="2" t="s">
        <v>1</v>
      </c>
      <c r="H1289" s="2" t="s">
        <v>18</v>
      </c>
      <c r="I1289" s="2" t="s">
        <v>15</v>
      </c>
      <c r="J1289" s="2" t="s">
        <v>15</v>
      </c>
    </row>
    <row r="1290" ht="15.75" customHeight="1">
      <c r="A1290" s="1" t="s">
        <v>2618</v>
      </c>
      <c r="B1290" s="1" t="s">
        <v>2619</v>
      </c>
      <c r="C1290" s="1" t="s">
        <v>12</v>
      </c>
      <c r="D1290" s="1" t="s">
        <v>2611</v>
      </c>
      <c r="E1290" s="4">
        <v>1012630.0</v>
      </c>
      <c r="F1290" s="2">
        <v>3.0</v>
      </c>
      <c r="G1290" s="2" t="s">
        <v>1</v>
      </c>
      <c r="H1290" s="2" t="s">
        <v>14</v>
      </c>
      <c r="I1290" s="2" t="s">
        <v>15</v>
      </c>
      <c r="J1290" s="2" t="s">
        <v>15</v>
      </c>
    </row>
    <row r="1291" ht="15.75" customHeight="1">
      <c r="A1291" s="1" t="s">
        <v>2620</v>
      </c>
      <c r="B1291" s="1" t="s">
        <v>2621</v>
      </c>
      <c r="C1291" s="1" t="s">
        <v>12</v>
      </c>
      <c r="D1291" s="1" t="s">
        <v>2611</v>
      </c>
      <c r="E1291" s="4">
        <v>1012630.0</v>
      </c>
      <c r="F1291" s="2">
        <v>3.0</v>
      </c>
      <c r="G1291" s="2" t="s">
        <v>1</v>
      </c>
      <c r="H1291" s="2" t="s">
        <v>18</v>
      </c>
      <c r="I1291" s="2" t="s">
        <v>15</v>
      </c>
      <c r="J1291" s="2" t="s">
        <v>15</v>
      </c>
    </row>
    <row r="1292" ht="15.75" customHeight="1">
      <c r="A1292" s="1" t="s">
        <v>2622</v>
      </c>
      <c r="B1292" s="1" t="s">
        <v>2623</v>
      </c>
      <c r="C1292" s="1" t="s">
        <v>12</v>
      </c>
      <c r="D1292" s="1" t="s">
        <v>2611</v>
      </c>
      <c r="E1292" s="4">
        <v>1012630.0</v>
      </c>
      <c r="F1292" s="2" t="s">
        <v>30</v>
      </c>
      <c r="G1292" s="2" t="s">
        <v>1</v>
      </c>
      <c r="H1292" s="2" t="s">
        <v>14</v>
      </c>
      <c r="I1292" s="2" t="s">
        <v>15</v>
      </c>
      <c r="J1292" s="2" t="s">
        <v>15</v>
      </c>
    </row>
    <row r="1293" ht="15.75" customHeight="1">
      <c r="A1293" s="1" t="s">
        <v>2624</v>
      </c>
      <c r="B1293" s="1" t="s">
        <v>2625</v>
      </c>
      <c r="C1293" s="1" t="s">
        <v>12</v>
      </c>
      <c r="D1293" s="1" t="s">
        <v>2611</v>
      </c>
      <c r="E1293" s="4">
        <v>1012630.0</v>
      </c>
      <c r="F1293" s="2" t="s">
        <v>15</v>
      </c>
      <c r="G1293" s="2" t="s">
        <v>33</v>
      </c>
      <c r="H1293" s="2" t="s">
        <v>15</v>
      </c>
      <c r="I1293" s="2" t="s">
        <v>15</v>
      </c>
      <c r="J1293" s="2" t="s">
        <v>15</v>
      </c>
    </row>
    <row r="1294" ht="15.75" customHeight="1">
      <c r="A1294" s="1" t="s">
        <v>2626</v>
      </c>
      <c r="B1294" s="1" t="s">
        <v>2627</v>
      </c>
      <c r="C1294" s="1" t="s">
        <v>12</v>
      </c>
      <c r="D1294" s="1" t="s">
        <v>2628</v>
      </c>
      <c r="E1294" s="4">
        <v>1012694.0</v>
      </c>
      <c r="F1294" s="2">
        <v>1.0</v>
      </c>
      <c r="G1294" s="2" t="s">
        <v>1</v>
      </c>
      <c r="H1294" s="2" t="s">
        <v>14</v>
      </c>
      <c r="I1294" s="2" t="s">
        <v>15</v>
      </c>
      <c r="J1294" s="2" t="s">
        <v>15</v>
      </c>
    </row>
    <row r="1295" ht="15.75" customHeight="1">
      <c r="A1295" s="1" t="s">
        <v>2629</v>
      </c>
      <c r="B1295" s="1" t="s">
        <v>2630</v>
      </c>
      <c r="C1295" s="1" t="s">
        <v>12</v>
      </c>
      <c r="D1295" s="1" t="s">
        <v>2628</v>
      </c>
      <c r="E1295" s="4">
        <v>1012694.0</v>
      </c>
      <c r="F1295" s="2">
        <v>1.0</v>
      </c>
      <c r="G1295" s="2" t="s">
        <v>1</v>
      </c>
      <c r="H1295" s="2" t="s">
        <v>18</v>
      </c>
      <c r="I1295" s="2" t="s">
        <v>15</v>
      </c>
      <c r="J1295" s="2" t="s">
        <v>15</v>
      </c>
    </row>
    <row r="1296" ht="15.75" customHeight="1">
      <c r="A1296" s="1" t="s">
        <v>2631</v>
      </c>
      <c r="B1296" s="1" t="s">
        <v>2632</v>
      </c>
      <c r="C1296" s="1" t="s">
        <v>12</v>
      </c>
      <c r="D1296" s="1" t="s">
        <v>2628</v>
      </c>
      <c r="E1296" s="4">
        <v>1012694.0</v>
      </c>
      <c r="F1296" s="2">
        <v>2.0</v>
      </c>
      <c r="G1296" s="2" t="s">
        <v>1</v>
      </c>
      <c r="H1296" s="2" t="s">
        <v>14</v>
      </c>
      <c r="I1296" s="2" t="s">
        <v>15</v>
      </c>
      <c r="J1296" s="2" t="s">
        <v>15</v>
      </c>
    </row>
    <row r="1297" ht="15.75" customHeight="1">
      <c r="A1297" s="1" t="s">
        <v>2633</v>
      </c>
      <c r="B1297" s="1" t="s">
        <v>2634</v>
      </c>
      <c r="C1297" s="1" t="s">
        <v>12</v>
      </c>
      <c r="D1297" s="1" t="s">
        <v>2628</v>
      </c>
      <c r="E1297" s="4">
        <v>1012694.0</v>
      </c>
      <c r="F1297" s="2">
        <v>2.0</v>
      </c>
      <c r="G1297" s="2" t="s">
        <v>1</v>
      </c>
      <c r="H1297" s="2" t="s">
        <v>18</v>
      </c>
      <c r="I1297" s="2" t="s">
        <v>15</v>
      </c>
      <c r="J1297" s="2" t="s">
        <v>15</v>
      </c>
    </row>
    <row r="1298" ht="15.75" customHeight="1">
      <c r="A1298" s="1" t="s">
        <v>2635</v>
      </c>
      <c r="B1298" s="1" t="s">
        <v>2636</v>
      </c>
      <c r="C1298" s="1" t="s">
        <v>12</v>
      </c>
      <c r="D1298" s="1" t="s">
        <v>2628</v>
      </c>
      <c r="E1298" s="4">
        <v>1012694.0</v>
      </c>
      <c r="F1298" s="2">
        <v>3.0</v>
      </c>
      <c r="G1298" s="2" t="s">
        <v>1</v>
      </c>
      <c r="H1298" s="2" t="s">
        <v>14</v>
      </c>
      <c r="I1298" s="2" t="s">
        <v>15</v>
      </c>
      <c r="J1298" s="2" t="s">
        <v>15</v>
      </c>
    </row>
    <row r="1299" ht="15.75" customHeight="1">
      <c r="A1299" s="1" t="s">
        <v>2637</v>
      </c>
      <c r="B1299" s="1" t="s">
        <v>2638</v>
      </c>
      <c r="C1299" s="1" t="s">
        <v>12</v>
      </c>
      <c r="D1299" s="1" t="s">
        <v>2628</v>
      </c>
      <c r="E1299" s="4">
        <v>1012694.0</v>
      </c>
      <c r="F1299" s="2">
        <v>3.0</v>
      </c>
      <c r="G1299" s="2" t="s">
        <v>1</v>
      </c>
      <c r="H1299" s="2" t="s">
        <v>18</v>
      </c>
      <c r="I1299" s="2" t="s">
        <v>15</v>
      </c>
      <c r="J1299" s="2" t="s">
        <v>15</v>
      </c>
    </row>
    <row r="1300" ht="15.75" customHeight="1">
      <c r="A1300" s="1" t="s">
        <v>2639</v>
      </c>
      <c r="B1300" s="1" t="s">
        <v>2640</v>
      </c>
      <c r="C1300" s="1" t="s">
        <v>12</v>
      </c>
      <c r="D1300" s="1" t="s">
        <v>2628</v>
      </c>
      <c r="E1300" s="4">
        <v>1012694.0</v>
      </c>
      <c r="F1300" s="2" t="s">
        <v>30</v>
      </c>
      <c r="G1300" s="2" t="s">
        <v>1</v>
      </c>
      <c r="H1300" s="2" t="s">
        <v>14</v>
      </c>
      <c r="I1300" s="2" t="s">
        <v>15</v>
      </c>
      <c r="J1300" s="2" t="s">
        <v>15</v>
      </c>
    </row>
    <row r="1301" ht="15.75" customHeight="1">
      <c r="A1301" s="1" t="s">
        <v>2641</v>
      </c>
      <c r="B1301" s="1" t="s">
        <v>2642</v>
      </c>
      <c r="C1301" s="1" t="s">
        <v>12</v>
      </c>
      <c r="D1301" s="1" t="s">
        <v>2628</v>
      </c>
      <c r="E1301" s="4">
        <v>1012694.0</v>
      </c>
      <c r="F1301" s="2" t="s">
        <v>15</v>
      </c>
      <c r="G1301" s="2" t="s">
        <v>33</v>
      </c>
      <c r="H1301" s="2" t="s">
        <v>15</v>
      </c>
      <c r="I1301" s="2" t="s">
        <v>15</v>
      </c>
      <c r="J1301" s="2" t="s">
        <v>15</v>
      </c>
    </row>
    <row r="1302" ht="15.75" customHeight="1">
      <c r="A1302" s="1" t="s">
        <v>2643</v>
      </c>
      <c r="B1302" s="1" t="s">
        <v>2644</v>
      </c>
      <c r="C1302" s="1" t="s">
        <v>12</v>
      </c>
      <c r="D1302" s="1" t="s">
        <v>2645</v>
      </c>
      <c r="E1302" s="4">
        <v>1012758.0</v>
      </c>
      <c r="F1302" s="2" t="s">
        <v>36</v>
      </c>
      <c r="G1302" s="2" t="s">
        <v>1</v>
      </c>
      <c r="H1302" s="2" t="s">
        <v>14</v>
      </c>
      <c r="I1302" s="2" t="s">
        <v>15</v>
      </c>
      <c r="J1302" s="2" t="s">
        <v>15</v>
      </c>
    </row>
    <row r="1303" ht="15.75" customHeight="1">
      <c r="A1303" s="1" t="s">
        <v>2646</v>
      </c>
      <c r="B1303" s="1" t="s">
        <v>2647</v>
      </c>
      <c r="C1303" s="1" t="s">
        <v>12</v>
      </c>
      <c r="D1303" s="1" t="s">
        <v>2645</v>
      </c>
      <c r="E1303" s="4">
        <v>1012758.0</v>
      </c>
      <c r="F1303" s="2" t="s">
        <v>36</v>
      </c>
      <c r="G1303" s="2" t="s">
        <v>1</v>
      </c>
      <c r="H1303" s="2" t="s">
        <v>18</v>
      </c>
      <c r="I1303" s="2" t="s">
        <v>15</v>
      </c>
      <c r="J1303" s="2" t="s">
        <v>15</v>
      </c>
    </row>
    <row r="1304" ht="15.75" customHeight="1">
      <c r="A1304" s="1" t="s">
        <v>2648</v>
      </c>
      <c r="B1304" s="1" t="s">
        <v>2649</v>
      </c>
      <c r="C1304" s="1" t="s">
        <v>12</v>
      </c>
      <c r="D1304" s="1" t="s">
        <v>2645</v>
      </c>
      <c r="E1304" s="4">
        <v>1012758.0</v>
      </c>
      <c r="F1304" s="2">
        <v>1.0</v>
      </c>
      <c r="G1304" s="2" t="s">
        <v>1</v>
      </c>
      <c r="H1304" s="2" t="s">
        <v>14</v>
      </c>
      <c r="I1304" s="2" t="s">
        <v>15</v>
      </c>
      <c r="J1304" s="2" t="s">
        <v>15</v>
      </c>
    </row>
    <row r="1305" ht="15.75" customHeight="1">
      <c r="A1305" s="1" t="s">
        <v>2650</v>
      </c>
      <c r="B1305" s="1" t="s">
        <v>2651</v>
      </c>
      <c r="C1305" s="1" t="s">
        <v>12</v>
      </c>
      <c r="D1305" s="1" t="s">
        <v>2645</v>
      </c>
      <c r="E1305" s="4">
        <v>1012758.0</v>
      </c>
      <c r="F1305" s="2">
        <v>1.0</v>
      </c>
      <c r="G1305" s="2" t="s">
        <v>1</v>
      </c>
      <c r="H1305" s="2" t="s">
        <v>18</v>
      </c>
      <c r="I1305" s="2" t="s">
        <v>15</v>
      </c>
      <c r="J1305" s="2" t="s">
        <v>15</v>
      </c>
    </row>
    <row r="1306" ht="15.75" customHeight="1">
      <c r="A1306" s="1" t="s">
        <v>2652</v>
      </c>
      <c r="B1306" s="1" t="s">
        <v>2653</v>
      </c>
      <c r="C1306" s="1" t="s">
        <v>12</v>
      </c>
      <c r="D1306" s="1" t="s">
        <v>2645</v>
      </c>
      <c r="E1306" s="4">
        <v>1012758.0</v>
      </c>
      <c r="F1306" s="2">
        <v>2.0</v>
      </c>
      <c r="G1306" s="2" t="s">
        <v>1</v>
      </c>
      <c r="H1306" s="2" t="s">
        <v>14</v>
      </c>
      <c r="I1306" s="2" t="s">
        <v>15</v>
      </c>
      <c r="J1306" s="2" t="s">
        <v>15</v>
      </c>
    </row>
    <row r="1307" ht="15.75" customHeight="1">
      <c r="A1307" s="1" t="s">
        <v>2654</v>
      </c>
      <c r="B1307" s="1" t="s">
        <v>2655</v>
      </c>
      <c r="C1307" s="1" t="s">
        <v>12</v>
      </c>
      <c r="D1307" s="1" t="s">
        <v>2645</v>
      </c>
      <c r="E1307" s="4">
        <v>1012758.0</v>
      </c>
      <c r="F1307" s="2">
        <v>2.0</v>
      </c>
      <c r="G1307" s="2" t="s">
        <v>1</v>
      </c>
      <c r="H1307" s="2" t="s">
        <v>18</v>
      </c>
      <c r="I1307" s="2" t="s">
        <v>15</v>
      </c>
      <c r="J1307" s="2" t="s">
        <v>15</v>
      </c>
    </row>
    <row r="1308" ht="15.75" customHeight="1">
      <c r="A1308" s="1" t="s">
        <v>2656</v>
      </c>
      <c r="B1308" s="1" t="s">
        <v>2657</v>
      </c>
      <c r="C1308" s="1" t="s">
        <v>12</v>
      </c>
      <c r="D1308" s="1" t="s">
        <v>2645</v>
      </c>
      <c r="E1308" s="4">
        <v>1012758.0</v>
      </c>
      <c r="F1308" s="2">
        <v>3.0</v>
      </c>
      <c r="G1308" s="2" t="s">
        <v>1</v>
      </c>
      <c r="H1308" s="2" t="s">
        <v>14</v>
      </c>
      <c r="I1308" s="2" t="s">
        <v>15</v>
      </c>
      <c r="J1308" s="2" t="s">
        <v>15</v>
      </c>
    </row>
    <row r="1309" ht="15.75" customHeight="1">
      <c r="A1309" s="1" t="s">
        <v>2658</v>
      </c>
      <c r="B1309" s="1" t="s">
        <v>2659</v>
      </c>
      <c r="C1309" s="1" t="s">
        <v>12</v>
      </c>
      <c r="D1309" s="1" t="s">
        <v>2645</v>
      </c>
      <c r="E1309" s="4">
        <v>1012758.0</v>
      </c>
      <c r="F1309" s="2">
        <v>3.0</v>
      </c>
      <c r="G1309" s="2" t="s">
        <v>1</v>
      </c>
      <c r="H1309" s="2" t="s">
        <v>18</v>
      </c>
      <c r="I1309" s="2" t="s">
        <v>15</v>
      </c>
      <c r="J1309" s="2" t="s">
        <v>15</v>
      </c>
    </row>
    <row r="1310" ht="15.75" customHeight="1">
      <c r="A1310" s="1" t="s">
        <v>2660</v>
      </c>
      <c r="B1310" s="1" t="s">
        <v>2661</v>
      </c>
      <c r="C1310" s="1" t="s">
        <v>12</v>
      </c>
      <c r="D1310" s="1" t="s">
        <v>2645</v>
      </c>
      <c r="E1310" s="4">
        <v>1012758.0</v>
      </c>
      <c r="F1310" s="2" t="s">
        <v>30</v>
      </c>
      <c r="G1310" s="2" t="s">
        <v>1</v>
      </c>
      <c r="H1310" s="2" t="s">
        <v>14</v>
      </c>
      <c r="I1310" s="2" t="s">
        <v>15</v>
      </c>
      <c r="J1310" s="2" t="s">
        <v>15</v>
      </c>
    </row>
    <row r="1311" ht="15.75" customHeight="1">
      <c r="A1311" s="1" t="s">
        <v>2662</v>
      </c>
      <c r="B1311" s="1" t="s">
        <v>2663</v>
      </c>
      <c r="C1311" s="1" t="s">
        <v>12</v>
      </c>
      <c r="D1311" s="1" t="s">
        <v>2645</v>
      </c>
      <c r="E1311" s="4">
        <v>1012758.0</v>
      </c>
      <c r="F1311" s="2" t="s">
        <v>15</v>
      </c>
      <c r="G1311" s="2" t="s">
        <v>33</v>
      </c>
      <c r="H1311" s="2" t="s">
        <v>15</v>
      </c>
      <c r="I1311" s="2" t="s">
        <v>15</v>
      </c>
      <c r="J1311" s="2" t="s">
        <v>15</v>
      </c>
    </row>
    <row r="1312" ht="15.75" customHeight="1">
      <c r="A1312" s="1" t="s">
        <v>2664</v>
      </c>
      <c r="B1312" s="1" t="s">
        <v>2665</v>
      </c>
      <c r="C1312" s="1" t="s">
        <v>12</v>
      </c>
      <c r="D1312" s="1" t="s">
        <v>2666</v>
      </c>
      <c r="E1312" s="4">
        <v>1012822.0</v>
      </c>
      <c r="F1312" s="2">
        <v>1.0</v>
      </c>
      <c r="G1312" s="2" t="s">
        <v>1</v>
      </c>
      <c r="H1312" s="2" t="s">
        <v>14</v>
      </c>
      <c r="I1312" s="2" t="s">
        <v>15</v>
      </c>
      <c r="J1312" s="2" t="s">
        <v>15</v>
      </c>
    </row>
    <row r="1313" ht="15.75" customHeight="1">
      <c r="A1313" s="1" t="s">
        <v>2667</v>
      </c>
      <c r="B1313" s="1" t="s">
        <v>2668</v>
      </c>
      <c r="C1313" s="1" t="s">
        <v>12</v>
      </c>
      <c r="D1313" s="1" t="s">
        <v>2666</v>
      </c>
      <c r="E1313" s="4">
        <v>1012822.0</v>
      </c>
      <c r="F1313" s="2">
        <v>1.0</v>
      </c>
      <c r="G1313" s="2" t="s">
        <v>1</v>
      </c>
      <c r="H1313" s="2" t="s">
        <v>18</v>
      </c>
      <c r="I1313" s="2" t="s">
        <v>15</v>
      </c>
      <c r="J1313" s="2" t="s">
        <v>15</v>
      </c>
    </row>
    <row r="1314" ht="15.75" customHeight="1">
      <c r="A1314" s="1" t="s">
        <v>2669</v>
      </c>
      <c r="B1314" s="1" t="s">
        <v>2670</v>
      </c>
      <c r="C1314" s="1" t="s">
        <v>12</v>
      </c>
      <c r="D1314" s="1" t="s">
        <v>2666</v>
      </c>
      <c r="E1314" s="4">
        <v>1012822.0</v>
      </c>
      <c r="F1314" s="2">
        <v>1.0</v>
      </c>
      <c r="G1314" s="2" t="s">
        <v>1</v>
      </c>
      <c r="H1314" s="2" t="s">
        <v>21</v>
      </c>
      <c r="I1314" s="2" t="s">
        <v>15</v>
      </c>
      <c r="J1314" s="2" t="s">
        <v>15</v>
      </c>
    </row>
    <row r="1315" ht="15.75" customHeight="1">
      <c r="A1315" s="1" t="s">
        <v>2671</v>
      </c>
      <c r="B1315" s="1" t="s">
        <v>2672</v>
      </c>
      <c r="C1315" s="1" t="s">
        <v>12</v>
      </c>
      <c r="D1315" s="1" t="s">
        <v>2666</v>
      </c>
      <c r="E1315" s="4">
        <v>1012822.0</v>
      </c>
      <c r="F1315" s="2">
        <v>2.0</v>
      </c>
      <c r="G1315" s="2" t="s">
        <v>1</v>
      </c>
      <c r="H1315" s="2" t="s">
        <v>14</v>
      </c>
      <c r="I1315" s="2" t="s">
        <v>15</v>
      </c>
      <c r="J1315" s="2" t="s">
        <v>15</v>
      </c>
    </row>
    <row r="1316" ht="15.75" customHeight="1">
      <c r="A1316" s="1" t="s">
        <v>2673</v>
      </c>
      <c r="B1316" s="1" t="s">
        <v>2674</v>
      </c>
      <c r="C1316" s="1" t="s">
        <v>12</v>
      </c>
      <c r="D1316" s="1" t="s">
        <v>2666</v>
      </c>
      <c r="E1316" s="4">
        <v>1012822.0</v>
      </c>
      <c r="F1316" s="2">
        <v>2.0</v>
      </c>
      <c r="G1316" s="2" t="s">
        <v>1</v>
      </c>
      <c r="H1316" s="2" t="s">
        <v>18</v>
      </c>
      <c r="I1316" s="2" t="s">
        <v>15</v>
      </c>
      <c r="J1316" s="2" t="s">
        <v>15</v>
      </c>
    </row>
    <row r="1317" ht="15.75" customHeight="1">
      <c r="A1317" s="1" t="s">
        <v>2675</v>
      </c>
      <c r="B1317" s="1" t="s">
        <v>2676</v>
      </c>
      <c r="C1317" s="1" t="s">
        <v>12</v>
      </c>
      <c r="D1317" s="1" t="s">
        <v>2666</v>
      </c>
      <c r="E1317" s="4">
        <v>1012822.0</v>
      </c>
      <c r="F1317" s="2">
        <v>2.0</v>
      </c>
      <c r="G1317" s="2" t="s">
        <v>1</v>
      </c>
      <c r="H1317" s="2" t="s">
        <v>21</v>
      </c>
      <c r="I1317" s="2" t="s">
        <v>15</v>
      </c>
      <c r="J1317" s="2" t="s">
        <v>15</v>
      </c>
    </row>
    <row r="1318" ht="15.75" customHeight="1">
      <c r="A1318" s="1" t="s">
        <v>2677</v>
      </c>
      <c r="B1318" s="1" t="s">
        <v>2678</v>
      </c>
      <c r="C1318" s="1" t="s">
        <v>12</v>
      </c>
      <c r="D1318" s="1" t="s">
        <v>2666</v>
      </c>
      <c r="E1318" s="4">
        <v>1012822.0</v>
      </c>
      <c r="F1318" s="2">
        <v>4.0</v>
      </c>
      <c r="G1318" s="2" t="s">
        <v>1</v>
      </c>
      <c r="H1318" s="2" t="s">
        <v>14</v>
      </c>
      <c r="I1318" s="2" t="s">
        <v>15</v>
      </c>
      <c r="J1318" s="2" t="s">
        <v>15</v>
      </c>
    </row>
    <row r="1319" ht="15.75" customHeight="1">
      <c r="A1319" s="1" t="s">
        <v>2679</v>
      </c>
      <c r="B1319" s="1" t="s">
        <v>2680</v>
      </c>
      <c r="C1319" s="1" t="s">
        <v>12</v>
      </c>
      <c r="D1319" s="1" t="s">
        <v>2666</v>
      </c>
      <c r="E1319" s="4">
        <v>1012822.0</v>
      </c>
      <c r="F1319" s="2">
        <v>4.0</v>
      </c>
      <c r="G1319" s="2" t="s">
        <v>1</v>
      </c>
      <c r="H1319" s="2" t="s">
        <v>18</v>
      </c>
      <c r="I1319" s="2" t="s">
        <v>15</v>
      </c>
      <c r="J1319" s="2" t="s">
        <v>15</v>
      </c>
    </row>
    <row r="1320" ht="15.75" customHeight="1">
      <c r="A1320" s="1" t="s">
        <v>2681</v>
      </c>
      <c r="B1320" s="1" t="s">
        <v>2682</v>
      </c>
      <c r="C1320" s="1" t="s">
        <v>12</v>
      </c>
      <c r="D1320" s="1" t="s">
        <v>2666</v>
      </c>
      <c r="E1320" s="4">
        <v>1012822.0</v>
      </c>
      <c r="F1320" s="2">
        <v>4.0</v>
      </c>
      <c r="G1320" s="2" t="s">
        <v>1</v>
      </c>
      <c r="H1320" s="2" t="s">
        <v>21</v>
      </c>
      <c r="I1320" s="2" t="s">
        <v>15</v>
      </c>
      <c r="J1320" s="2" t="s">
        <v>15</v>
      </c>
    </row>
    <row r="1321" ht="15.75" customHeight="1">
      <c r="A1321" s="1" t="s">
        <v>2683</v>
      </c>
      <c r="B1321" s="1" t="s">
        <v>2684</v>
      </c>
      <c r="C1321" s="1" t="s">
        <v>12</v>
      </c>
      <c r="D1321" s="1" t="s">
        <v>2666</v>
      </c>
      <c r="E1321" s="4">
        <v>1012822.0</v>
      </c>
      <c r="F1321" s="2" t="s">
        <v>30</v>
      </c>
      <c r="G1321" s="2" t="s">
        <v>1</v>
      </c>
      <c r="H1321" s="2" t="s">
        <v>14</v>
      </c>
      <c r="I1321" s="2" t="s">
        <v>15</v>
      </c>
      <c r="J1321" s="2" t="s">
        <v>15</v>
      </c>
    </row>
    <row r="1322" ht="15.75" customHeight="1">
      <c r="A1322" s="1" t="s">
        <v>2685</v>
      </c>
      <c r="B1322" s="1" t="s">
        <v>2686</v>
      </c>
      <c r="C1322" s="1" t="s">
        <v>12</v>
      </c>
      <c r="D1322" s="1" t="s">
        <v>2666</v>
      </c>
      <c r="E1322" s="4">
        <v>1012822.0</v>
      </c>
      <c r="F1322" s="2" t="s">
        <v>15</v>
      </c>
      <c r="G1322" s="2" t="s">
        <v>33</v>
      </c>
      <c r="H1322" s="2" t="s">
        <v>15</v>
      </c>
      <c r="I1322" s="2" t="s">
        <v>15</v>
      </c>
      <c r="J1322" s="2" t="s">
        <v>15</v>
      </c>
    </row>
    <row r="1323" ht="15.75" customHeight="1">
      <c r="A1323" s="1" t="s">
        <v>2687</v>
      </c>
      <c r="B1323" s="1" t="s">
        <v>2688</v>
      </c>
      <c r="C1323" s="1" t="s">
        <v>12</v>
      </c>
      <c r="D1323" s="1" t="s">
        <v>2666</v>
      </c>
      <c r="E1323" s="4">
        <v>1012822.0</v>
      </c>
      <c r="F1323" s="2">
        <v>1.0</v>
      </c>
      <c r="G1323" s="2" t="s">
        <v>1</v>
      </c>
      <c r="H1323" s="2" t="s">
        <v>37</v>
      </c>
      <c r="I1323" s="2" t="s">
        <v>15</v>
      </c>
      <c r="J1323" s="2" t="s">
        <v>15</v>
      </c>
    </row>
    <row r="1324" ht="15.75" customHeight="1">
      <c r="A1324" s="1" t="s">
        <v>2689</v>
      </c>
      <c r="B1324" s="1" t="s">
        <v>2690</v>
      </c>
      <c r="C1324" s="1" t="s">
        <v>12</v>
      </c>
      <c r="D1324" s="1" t="s">
        <v>2666</v>
      </c>
      <c r="E1324" s="4">
        <v>1012822.0</v>
      </c>
      <c r="F1324" s="2">
        <v>2.0</v>
      </c>
      <c r="G1324" s="2" t="s">
        <v>1</v>
      </c>
      <c r="H1324" s="2" t="s">
        <v>37</v>
      </c>
      <c r="I1324" s="2" t="s">
        <v>15</v>
      </c>
      <c r="J1324" s="2" t="s">
        <v>15</v>
      </c>
    </row>
    <row r="1325" ht="15.75" customHeight="1">
      <c r="A1325" s="1" t="s">
        <v>2691</v>
      </c>
      <c r="B1325" s="1" t="s">
        <v>2692</v>
      </c>
      <c r="C1325" s="1" t="s">
        <v>12</v>
      </c>
      <c r="D1325" s="1" t="s">
        <v>2666</v>
      </c>
      <c r="E1325" s="4">
        <v>1012822.0</v>
      </c>
      <c r="F1325" s="2">
        <v>3.0</v>
      </c>
      <c r="G1325" s="2" t="s">
        <v>1</v>
      </c>
      <c r="H1325" s="2" t="s">
        <v>37</v>
      </c>
      <c r="I1325" s="2" t="s">
        <v>15</v>
      </c>
      <c r="J1325" s="2" t="s">
        <v>15</v>
      </c>
    </row>
    <row r="1326" ht="15.75" customHeight="1">
      <c r="A1326" s="1" t="s">
        <v>2693</v>
      </c>
      <c r="B1326" s="1" t="s">
        <v>2694</v>
      </c>
      <c r="C1326" s="1" t="s">
        <v>12</v>
      </c>
      <c r="D1326" s="1" t="s">
        <v>2666</v>
      </c>
      <c r="E1326" s="4">
        <v>1012822.0</v>
      </c>
      <c r="F1326" s="2">
        <v>4.0</v>
      </c>
      <c r="G1326" s="2" t="s">
        <v>1</v>
      </c>
      <c r="H1326" s="2" t="s">
        <v>37</v>
      </c>
      <c r="I1326" s="2" t="s">
        <v>15</v>
      </c>
      <c r="J1326" s="2" t="s">
        <v>15</v>
      </c>
    </row>
    <row r="1327" ht="15.75" customHeight="1">
      <c r="A1327" s="1" t="s">
        <v>2695</v>
      </c>
      <c r="B1327" s="1" t="s">
        <v>2696</v>
      </c>
      <c r="C1327" s="1" t="s">
        <v>12</v>
      </c>
      <c r="D1327" s="1" t="s">
        <v>2666</v>
      </c>
      <c r="E1327" s="4">
        <v>1012822.0</v>
      </c>
      <c r="F1327" s="2">
        <v>5.0</v>
      </c>
      <c r="G1327" s="2" t="s">
        <v>1</v>
      </c>
      <c r="H1327" s="2" t="s">
        <v>37</v>
      </c>
      <c r="I1327" s="2" t="s">
        <v>15</v>
      </c>
      <c r="J1327" s="2" t="s">
        <v>15</v>
      </c>
    </row>
    <row r="1328" ht="15.75" customHeight="1">
      <c r="A1328" s="1" t="s">
        <v>2697</v>
      </c>
      <c r="B1328" s="1" t="s">
        <v>2698</v>
      </c>
      <c r="C1328" s="1" t="s">
        <v>12</v>
      </c>
      <c r="D1328" s="1" t="s">
        <v>2666</v>
      </c>
      <c r="E1328" s="4">
        <v>1012822.0</v>
      </c>
      <c r="F1328" s="2" t="s">
        <v>30</v>
      </c>
      <c r="G1328" s="2" t="s">
        <v>1</v>
      </c>
      <c r="H1328" s="2" t="s">
        <v>37</v>
      </c>
      <c r="I1328" s="2" t="s">
        <v>15</v>
      </c>
      <c r="J1328" s="2" t="s">
        <v>15</v>
      </c>
    </row>
    <row r="1329" ht="15.75" customHeight="1">
      <c r="A1329" s="1" t="s">
        <v>2699</v>
      </c>
      <c r="B1329" s="3" t="s">
        <v>2700</v>
      </c>
      <c r="C1329" s="1" t="s">
        <v>12</v>
      </c>
      <c r="D1329" s="1" t="s">
        <v>2701</v>
      </c>
      <c r="E1329" s="4">
        <v>1012886.0</v>
      </c>
      <c r="F1329" s="2" t="s">
        <v>36</v>
      </c>
      <c r="G1329" s="2" t="s">
        <v>1</v>
      </c>
      <c r="H1329" s="2" t="s">
        <v>14</v>
      </c>
      <c r="I1329" s="2" t="s">
        <v>15</v>
      </c>
      <c r="J1329" s="2" t="s">
        <v>15</v>
      </c>
    </row>
    <row r="1330" ht="15.75" customHeight="1">
      <c r="A1330" s="1" t="s">
        <v>2702</v>
      </c>
      <c r="B1330" s="1" t="s">
        <v>2703</v>
      </c>
      <c r="C1330" s="1" t="s">
        <v>12</v>
      </c>
      <c r="D1330" s="1" t="s">
        <v>2701</v>
      </c>
      <c r="E1330" s="4">
        <v>1012886.0</v>
      </c>
      <c r="F1330" s="2" t="s">
        <v>36</v>
      </c>
      <c r="G1330" s="2" t="s">
        <v>1</v>
      </c>
      <c r="H1330" s="2" t="s">
        <v>18</v>
      </c>
      <c r="I1330" s="2" t="s">
        <v>15</v>
      </c>
      <c r="J1330" s="2" t="s">
        <v>15</v>
      </c>
    </row>
    <row r="1331" ht="15.75" customHeight="1">
      <c r="A1331" s="1" t="s">
        <v>2704</v>
      </c>
      <c r="B1331" s="1" t="s">
        <v>2705</v>
      </c>
      <c r="C1331" s="1" t="s">
        <v>12</v>
      </c>
      <c r="D1331" s="1" t="s">
        <v>2701</v>
      </c>
      <c r="E1331" s="4">
        <v>1012886.0</v>
      </c>
      <c r="F1331" s="2" t="s">
        <v>36</v>
      </c>
      <c r="G1331" s="2" t="s">
        <v>1</v>
      </c>
      <c r="H1331" s="2" t="s">
        <v>53</v>
      </c>
      <c r="I1331" s="2" t="s">
        <v>15</v>
      </c>
      <c r="J1331" s="2" t="s">
        <v>15</v>
      </c>
    </row>
    <row r="1332" ht="15.75" customHeight="1">
      <c r="A1332" s="1" t="s">
        <v>2706</v>
      </c>
      <c r="B1332" s="3" t="s">
        <v>2707</v>
      </c>
      <c r="C1332" s="1" t="s">
        <v>12</v>
      </c>
      <c r="D1332" s="1" t="s">
        <v>2701</v>
      </c>
      <c r="E1332" s="4">
        <v>1012886.0</v>
      </c>
      <c r="F1332" s="2">
        <v>1.0</v>
      </c>
      <c r="G1332" s="2" t="s">
        <v>1</v>
      </c>
      <c r="H1332" s="2" t="s">
        <v>14</v>
      </c>
      <c r="I1332" s="5" t="str">
        <f>IFERROR(
  MID(
    SUBSTITUTE(B1332, CHAR(10), ""),
    FIND("_Gross ROI=", SUBSTITUTE(B1332, CHAR(10), "")) + LEN("_Gross ROI="),
    FIND("%", SUBSTITUTE(B1332, CHAR(10), ""), FIND("_Gross ROI=", SUBSTITUTE(B1332, CHAR(10), "")))
      - FIND("_Gross ROI=", SUBSTITUTE(B1332, CHAR(10), "")) - LEN("_Gross ROI=") + 1
  ),
  ""
)</f>
        <v>5.97%</v>
      </c>
      <c r="J1332" s="5" t="str">
        <f>IFERROR(
  MID(
    SUBSTITUTE(B1332, CHAR(10), ""),
    FIND("_Median annual rent=", SUBSTITUTE(B1332, CHAR(10), "")) + LEN("_Median annual rent="),
    FIND("K", SUBSTITUTE(B1332, CHAR(10), ""), FIND("_Median annual rent=", SUBSTITUTE(B1332, CHAR(10), "")))
      - FIND("_Median annual rent=", SUBSTITUTE(B1332, CHAR(10), "")) - LEN("_Median annual rent=") + 1
  ),
  "")</f>
        <v>120K</v>
      </c>
    </row>
    <row r="1333" ht="15.75" customHeight="1">
      <c r="A1333" s="1" t="s">
        <v>2708</v>
      </c>
      <c r="B1333" s="1" t="s">
        <v>2709</v>
      </c>
      <c r="C1333" s="1" t="s">
        <v>12</v>
      </c>
      <c r="D1333" s="1" t="s">
        <v>2701</v>
      </c>
      <c r="E1333" s="4">
        <v>1012886.0</v>
      </c>
      <c r="F1333" s="2">
        <v>1.0</v>
      </c>
      <c r="G1333" s="2" t="s">
        <v>1</v>
      </c>
      <c r="H1333" s="2" t="s">
        <v>18</v>
      </c>
      <c r="I1333" s="2" t="s">
        <v>15</v>
      </c>
      <c r="J1333" s="2" t="s">
        <v>15</v>
      </c>
    </row>
    <row r="1334" ht="15.75" customHeight="1">
      <c r="A1334" s="1" t="s">
        <v>2710</v>
      </c>
      <c r="B1334" s="1" t="s">
        <v>2711</v>
      </c>
      <c r="C1334" s="1" t="s">
        <v>12</v>
      </c>
      <c r="D1334" s="1" t="s">
        <v>2701</v>
      </c>
      <c r="E1334" s="4">
        <v>1012886.0</v>
      </c>
      <c r="F1334" s="2">
        <v>1.0</v>
      </c>
      <c r="G1334" s="2" t="s">
        <v>1</v>
      </c>
      <c r="H1334" s="2" t="s">
        <v>53</v>
      </c>
      <c r="I1334" s="2" t="s">
        <v>15</v>
      </c>
      <c r="J1334" s="2" t="s">
        <v>15</v>
      </c>
    </row>
    <row r="1335" ht="15.75" customHeight="1">
      <c r="A1335" s="1" t="s">
        <v>2712</v>
      </c>
      <c r="B1335" s="1" t="s">
        <v>2713</v>
      </c>
      <c r="C1335" s="1" t="s">
        <v>12</v>
      </c>
      <c r="D1335" s="1" t="s">
        <v>2701</v>
      </c>
      <c r="E1335" s="4">
        <v>1012886.0</v>
      </c>
      <c r="F1335" s="2">
        <v>2.0</v>
      </c>
      <c r="G1335" s="2" t="s">
        <v>1</v>
      </c>
      <c r="H1335" s="2" t="s">
        <v>14</v>
      </c>
      <c r="I1335" s="5" t="str">
        <f>IFERROR(
  MID(
    SUBSTITUTE(B1335, CHAR(10), ""),
    FIND("_Gross ROI=", SUBSTITUTE(B1335, CHAR(10), "")) + LEN("_Gross ROI="),
    FIND("%", SUBSTITUTE(B1335, CHAR(10), ""), FIND("_Gross ROI=", SUBSTITUTE(B1335, CHAR(10), "")))
      - FIND("_Gross ROI=", SUBSTITUTE(B1335, CHAR(10), "")) - LEN("_Gross ROI=") + 1
  ),
  ""
)</f>
        <v>4.67%</v>
      </c>
      <c r="J1335" s="5" t="str">
        <f>IFERROR(
  MID(
    SUBSTITUTE(B1335, CHAR(10), ""),
    FIND("_Median annual rent=", SUBSTITUTE(B1335, CHAR(10), "")) + LEN("_Median annual rent="),
    FIND("K", SUBSTITUTE(B1335, CHAR(10), ""), FIND("_Median annual rent=", SUBSTITUTE(B1335, CHAR(10), "")))
      - FIND("_Median annual rent=", SUBSTITUTE(B1335, CHAR(10), "")) - LEN("_Median annual rent=") + 1
  ),
  "")</f>
        <v>185K</v>
      </c>
    </row>
    <row r="1336" ht="15.75" customHeight="1">
      <c r="A1336" s="1" t="s">
        <v>2714</v>
      </c>
      <c r="B1336" s="1" t="s">
        <v>2715</v>
      </c>
      <c r="C1336" s="1" t="s">
        <v>12</v>
      </c>
      <c r="D1336" s="1" t="s">
        <v>2701</v>
      </c>
      <c r="E1336" s="4">
        <v>1012886.0</v>
      </c>
      <c r="F1336" s="2">
        <v>2.0</v>
      </c>
      <c r="G1336" s="2" t="s">
        <v>1</v>
      </c>
      <c r="H1336" s="2" t="s">
        <v>18</v>
      </c>
      <c r="I1336" s="2" t="s">
        <v>15</v>
      </c>
      <c r="J1336" s="2" t="s">
        <v>15</v>
      </c>
    </row>
    <row r="1337" ht="15.75" customHeight="1">
      <c r="A1337" s="1" t="s">
        <v>2716</v>
      </c>
      <c r="B1337" s="1" t="s">
        <v>2717</v>
      </c>
      <c r="C1337" s="1" t="s">
        <v>12</v>
      </c>
      <c r="D1337" s="1" t="s">
        <v>2701</v>
      </c>
      <c r="E1337" s="4">
        <v>1012886.0</v>
      </c>
      <c r="F1337" s="2">
        <v>2.0</v>
      </c>
      <c r="G1337" s="2" t="s">
        <v>1</v>
      </c>
      <c r="H1337" s="2" t="s">
        <v>53</v>
      </c>
      <c r="I1337" s="2" t="s">
        <v>15</v>
      </c>
      <c r="J1337" s="2" t="s">
        <v>15</v>
      </c>
    </row>
    <row r="1338" ht="15.75" customHeight="1">
      <c r="A1338" s="1" t="s">
        <v>2718</v>
      </c>
      <c r="B1338" s="1" t="s">
        <v>2719</v>
      </c>
      <c r="C1338" s="1" t="s">
        <v>12</v>
      </c>
      <c r="D1338" s="1" t="s">
        <v>2701</v>
      </c>
      <c r="E1338" s="4">
        <v>1012886.0</v>
      </c>
      <c r="F1338" s="2">
        <v>2.0</v>
      </c>
      <c r="G1338" s="2" t="s">
        <v>1</v>
      </c>
      <c r="H1338" s="2" t="s">
        <v>21</v>
      </c>
      <c r="I1338" s="2" t="s">
        <v>15</v>
      </c>
      <c r="J1338" s="2" t="s">
        <v>15</v>
      </c>
    </row>
    <row r="1339" ht="15.75" customHeight="1">
      <c r="A1339" s="1" t="s">
        <v>2720</v>
      </c>
      <c r="B1339" s="3" t="s">
        <v>2721</v>
      </c>
      <c r="C1339" s="1" t="s">
        <v>12</v>
      </c>
      <c r="D1339" s="1" t="s">
        <v>2701</v>
      </c>
      <c r="E1339" s="4">
        <v>1012886.0</v>
      </c>
      <c r="F1339" s="2">
        <v>3.0</v>
      </c>
      <c r="G1339" s="2" t="s">
        <v>1</v>
      </c>
      <c r="H1339" s="2" t="s">
        <v>14</v>
      </c>
      <c r="I1339" s="2" t="s">
        <v>15</v>
      </c>
      <c r="J1339" s="2" t="s">
        <v>15</v>
      </c>
    </row>
    <row r="1340" ht="15.75" customHeight="1">
      <c r="A1340" s="1" t="s">
        <v>2722</v>
      </c>
      <c r="B1340" s="1" t="s">
        <v>2723</v>
      </c>
      <c r="C1340" s="1" t="s">
        <v>12</v>
      </c>
      <c r="D1340" s="1" t="s">
        <v>2701</v>
      </c>
      <c r="E1340" s="4">
        <v>1012886.0</v>
      </c>
      <c r="F1340" s="2">
        <v>3.0</v>
      </c>
      <c r="G1340" s="2" t="s">
        <v>1</v>
      </c>
      <c r="H1340" s="2" t="s">
        <v>18</v>
      </c>
      <c r="I1340" s="2" t="s">
        <v>15</v>
      </c>
      <c r="J1340" s="2" t="s">
        <v>15</v>
      </c>
    </row>
    <row r="1341" ht="15.75" customHeight="1">
      <c r="A1341" s="1" t="s">
        <v>2724</v>
      </c>
      <c r="B1341" s="1" t="s">
        <v>2725</v>
      </c>
      <c r="C1341" s="1" t="s">
        <v>12</v>
      </c>
      <c r="D1341" s="1" t="s">
        <v>2701</v>
      </c>
      <c r="E1341" s="4">
        <v>1012886.0</v>
      </c>
      <c r="F1341" s="2">
        <v>3.0</v>
      </c>
      <c r="G1341" s="2" t="s">
        <v>1</v>
      </c>
      <c r="H1341" s="2" t="s">
        <v>53</v>
      </c>
      <c r="I1341" s="2" t="s">
        <v>15</v>
      </c>
      <c r="J1341" s="2" t="s">
        <v>15</v>
      </c>
    </row>
    <row r="1342" ht="15.75" customHeight="1">
      <c r="A1342" s="1" t="s">
        <v>2726</v>
      </c>
      <c r="B1342" s="1" t="s">
        <v>2727</v>
      </c>
      <c r="C1342" s="1" t="s">
        <v>12</v>
      </c>
      <c r="D1342" s="1" t="s">
        <v>2701</v>
      </c>
      <c r="E1342" s="4">
        <v>1012886.0</v>
      </c>
      <c r="F1342" s="2">
        <v>4.0</v>
      </c>
      <c r="G1342" s="2" t="s">
        <v>1</v>
      </c>
      <c r="H1342" s="2" t="s">
        <v>14</v>
      </c>
      <c r="I1342" s="2" t="s">
        <v>15</v>
      </c>
      <c r="J1342" s="2" t="s">
        <v>15</v>
      </c>
    </row>
    <row r="1343" ht="15.75" customHeight="1">
      <c r="A1343" s="1" t="s">
        <v>2728</v>
      </c>
      <c r="B1343" s="1" t="s">
        <v>2729</v>
      </c>
      <c r="C1343" s="1" t="s">
        <v>12</v>
      </c>
      <c r="D1343" s="1" t="s">
        <v>2701</v>
      </c>
      <c r="E1343" s="4">
        <v>1012886.0</v>
      </c>
      <c r="F1343" s="2">
        <v>4.0</v>
      </c>
      <c r="G1343" s="2" t="s">
        <v>1</v>
      </c>
      <c r="H1343" s="2" t="s">
        <v>18</v>
      </c>
      <c r="I1343" s="2" t="s">
        <v>15</v>
      </c>
      <c r="J1343" s="2" t="s">
        <v>15</v>
      </c>
    </row>
    <row r="1344" ht="15.75" customHeight="1">
      <c r="A1344" s="1" t="s">
        <v>2730</v>
      </c>
      <c r="B1344" s="1" t="s">
        <v>2731</v>
      </c>
      <c r="C1344" s="1" t="s">
        <v>12</v>
      </c>
      <c r="D1344" s="1" t="s">
        <v>2701</v>
      </c>
      <c r="E1344" s="4">
        <v>1012886.0</v>
      </c>
      <c r="F1344" s="2">
        <v>4.0</v>
      </c>
      <c r="G1344" s="2" t="s">
        <v>1</v>
      </c>
      <c r="H1344" s="2" t="s">
        <v>53</v>
      </c>
      <c r="I1344" s="2" t="s">
        <v>15</v>
      </c>
      <c r="J1344" s="2" t="s">
        <v>15</v>
      </c>
    </row>
    <row r="1345" ht="15.75" customHeight="1">
      <c r="A1345" s="1" t="s">
        <v>2732</v>
      </c>
      <c r="B1345" s="1" t="s">
        <v>2733</v>
      </c>
      <c r="C1345" s="1" t="s">
        <v>12</v>
      </c>
      <c r="D1345" s="1" t="s">
        <v>2701</v>
      </c>
      <c r="E1345" s="4">
        <v>1012886.0</v>
      </c>
      <c r="F1345" s="2">
        <v>5.0</v>
      </c>
      <c r="G1345" s="2" t="s">
        <v>1</v>
      </c>
      <c r="H1345" s="2" t="s">
        <v>14</v>
      </c>
      <c r="I1345" s="2" t="s">
        <v>15</v>
      </c>
      <c r="J1345" s="2" t="s">
        <v>15</v>
      </c>
    </row>
    <row r="1346" ht="15.75" customHeight="1">
      <c r="A1346" s="1" t="s">
        <v>2734</v>
      </c>
      <c r="B1346" s="1" t="s">
        <v>2735</v>
      </c>
      <c r="C1346" s="1" t="s">
        <v>12</v>
      </c>
      <c r="D1346" s="1" t="s">
        <v>2701</v>
      </c>
      <c r="E1346" s="4">
        <v>1012886.0</v>
      </c>
      <c r="F1346" s="2">
        <v>5.0</v>
      </c>
      <c r="G1346" s="2" t="s">
        <v>1</v>
      </c>
      <c r="H1346" s="2" t="s">
        <v>18</v>
      </c>
      <c r="I1346" s="2" t="s">
        <v>15</v>
      </c>
      <c r="J1346" s="2" t="s">
        <v>15</v>
      </c>
    </row>
    <row r="1347" ht="15.75" customHeight="1">
      <c r="A1347" s="1" t="s">
        <v>2736</v>
      </c>
      <c r="B1347" s="1" t="s">
        <v>2737</v>
      </c>
      <c r="C1347" s="1" t="s">
        <v>12</v>
      </c>
      <c r="D1347" s="1" t="s">
        <v>2701</v>
      </c>
      <c r="E1347" s="4">
        <v>1012886.0</v>
      </c>
      <c r="F1347" s="2" t="s">
        <v>30</v>
      </c>
      <c r="G1347" s="2" t="s">
        <v>1</v>
      </c>
      <c r="H1347" s="2" t="s">
        <v>53</v>
      </c>
      <c r="I1347" s="2" t="s">
        <v>15</v>
      </c>
      <c r="J1347" s="2" t="s">
        <v>15</v>
      </c>
    </row>
    <row r="1348" ht="15.75" customHeight="1">
      <c r="A1348" s="1" t="s">
        <v>2738</v>
      </c>
      <c r="B1348" s="1" t="s">
        <v>2739</v>
      </c>
      <c r="C1348" s="1" t="s">
        <v>12</v>
      </c>
      <c r="D1348" s="1" t="s">
        <v>2701</v>
      </c>
      <c r="E1348" s="4">
        <v>1012886.0</v>
      </c>
      <c r="F1348" s="2" t="s">
        <v>30</v>
      </c>
      <c r="G1348" s="2" t="s">
        <v>1</v>
      </c>
      <c r="H1348" s="2" t="s">
        <v>14</v>
      </c>
      <c r="I1348" s="2" t="s">
        <v>15</v>
      </c>
      <c r="J1348" s="2" t="s">
        <v>15</v>
      </c>
    </row>
    <row r="1349" ht="15.75" customHeight="1">
      <c r="A1349" s="1" t="s">
        <v>2740</v>
      </c>
      <c r="B1349" s="1" t="s">
        <v>2741</v>
      </c>
      <c r="C1349" s="1" t="s">
        <v>12</v>
      </c>
      <c r="D1349" s="1" t="s">
        <v>2701</v>
      </c>
      <c r="E1349" s="4">
        <v>1012886.0</v>
      </c>
      <c r="F1349" s="2" t="s">
        <v>15</v>
      </c>
      <c r="G1349" s="2" t="s">
        <v>33</v>
      </c>
      <c r="H1349" s="2" t="s">
        <v>15</v>
      </c>
      <c r="I1349" s="2" t="s">
        <v>15</v>
      </c>
      <c r="J1349" s="2" t="s">
        <v>15</v>
      </c>
    </row>
    <row r="1350" ht="15.75" customHeight="1">
      <c r="A1350" s="1" t="s">
        <v>2742</v>
      </c>
      <c r="B1350" s="1" t="s">
        <v>2743</v>
      </c>
      <c r="C1350" s="1" t="s">
        <v>12</v>
      </c>
      <c r="D1350" s="1" t="s">
        <v>2701</v>
      </c>
      <c r="E1350" s="4">
        <v>1012886.0</v>
      </c>
      <c r="F1350" s="2">
        <v>2.0</v>
      </c>
      <c r="G1350" s="2" t="s">
        <v>1</v>
      </c>
      <c r="H1350" s="2" t="s">
        <v>37</v>
      </c>
      <c r="I1350" s="2" t="s">
        <v>15</v>
      </c>
      <c r="J1350" s="2" t="s">
        <v>15</v>
      </c>
    </row>
    <row r="1351" ht="15.75" customHeight="1">
      <c r="A1351" s="1" t="s">
        <v>2744</v>
      </c>
      <c r="B1351" s="1" t="s">
        <v>2745</v>
      </c>
      <c r="C1351" s="1" t="s">
        <v>12</v>
      </c>
      <c r="D1351" s="1" t="s">
        <v>2701</v>
      </c>
      <c r="E1351" s="4">
        <v>1012886.0</v>
      </c>
      <c r="F1351" s="2" t="s">
        <v>30</v>
      </c>
      <c r="G1351" s="2" t="s">
        <v>1</v>
      </c>
      <c r="H1351" s="2" t="s">
        <v>37</v>
      </c>
      <c r="I1351" s="2" t="s">
        <v>15</v>
      </c>
      <c r="J1351" s="2" t="s">
        <v>15</v>
      </c>
    </row>
    <row r="1352" ht="15.75" customHeight="1">
      <c r="A1352" s="1" t="s">
        <v>2746</v>
      </c>
      <c r="B1352" s="1" t="s">
        <v>2747</v>
      </c>
      <c r="C1352" s="1" t="s">
        <v>12</v>
      </c>
      <c r="D1352" s="1" t="s">
        <v>2748</v>
      </c>
      <c r="E1352" s="4">
        <v>1012950.0</v>
      </c>
      <c r="F1352" s="2">
        <v>2.0</v>
      </c>
      <c r="G1352" s="2" t="s">
        <v>1</v>
      </c>
      <c r="H1352" s="2" t="s">
        <v>14</v>
      </c>
      <c r="I1352" s="2" t="s">
        <v>15</v>
      </c>
      <c r="J1352" s="2" t="s">
        <v>15</v>
      </c>
    </row>
    <row r="1353" ht="15.75" customHeight="1">
      <c r="A1353" s="1" t="s">
        <v>2749</v>
      </c>
      <c r="B1353" s="1" t="s">
        <v>2750</v>
      </c>
      <c r="C1353" s="1" t="s">
        <v>12</v>
      </c>
      <c r="D1353" s="1" t="s">
        <v>2748</v>
      </c>
      <c r="E1353" s="4">
        <v>1012950.0</v>
      </c>
      <c r="F1353" s="2">
        <v>2.0</v>
      </c>
      <c r="G1353" s="2" t="s">
        <v>1</v>
      </c>
      <c r="H1353" s="2" t="s">
        <v>18</v>
      </c>
      <c r="I1353" s="2" t="s">
        <v>15</v>
      </c>
      <c r="J1353" s="2" t="s">
        <v>15</v>
      </c>
    </row>
    <row r="1354" ht="15.75" customHeight="1">
      <c r="A1354" s="1" t="s">
        <v>2751</v>
      </c>
      <c r="B1354" s="1" t="s">
        <v>2752</v>
      </c>
      <c r="C1354" s="1" t="s">
        <v>12</v>
      </c>
      <c r="D1354" s="1" t="s">
        <v>2748</v>
      </c>
      <c r="E1354" s="4">
        <v>1012950.0</v>
      </c>
      <c r="F1354" s="2">
        <v>2.0</v>
      </c>
      <c r="G1354" s="2" t="s">
        <v>1</v>
      </c>
      <c r="H1354" s="2" t="s">
        <v>21</v>
      </c>
      <c r="I1354" s="2" t="s">
        <v>15</v>
      </c>
      <c r="J1354" s="2" t="s">
        <v>15</v>
      </c>
    </row>
    <row r="1355" ht="15.75" customHeight="1">
      <c r="A1355" s="1" t="s">
        <v>2753</v>
      </c>
      <c r="B1355" s="1" t="s">
        <v>2754</v>
      </c>
      <c r="C1355" s="1" t="s">
        <v>12</v>
      </c>
      <c r="D1355" s="1" t="s">
        <v>2748</v>
      </c>
      <c r="E1355" s="4">
        <v>1012950.0</v>
      </c>
      <c r="F1355" s="2" t="s">
        <v>15</v>
      </c>
      <c r="G1355" s="2" t="s">
        <v>33</v>
      </c>
      <c r="H1355" s="2" t="s">
        <v>15</v>
      </c>
      <c r="I1355" s="2" t="s">
        <v>15</v>
      </c>
      <c r="J1355" s="2" t="s">
        <v>15</v>
      </c>
    </row>
    <row r="1356" ht="15.75" customHeight="1">
      <c r="A1356" s="1" t="s">
        <v>2755</v>
      </c>
      <c r="B1356" s="1" t="s">
        <v>2756</v>
      </c>
      <c r="C1356" s="1" t="s">
        <v>12</v>
      </c>
      <c r="D1356" s="1" t="s">
        <v>2748</v>
      </c>
      <c r="E1356" s="4">
        <v>1012950.0</v>
      </c>
      <c r="F1356" s="2">
        <v>1.0</v>
      </c>
      <c r="G1356" s="2" t="s">
        <v>1</v>
      </c>
      <c r="H1356" s="2" t="s">
        <v>37</v>
      </c>
      <c r="I1356" s="2" t="s">
        <v>15</v>
      </c>
      <c r="J1356" s="2" t="s">
        <v>15</v>
      </c>
    </row>
    <row r="1357" ht="15.75" customHeight="1">
      <c r="A1357" s="1" t="s">
        <v>2757</v>
      </c>
      <c r="B1357" s="1" t="s">
        <v>2758</v>
      </c>
      <c r="C1357" s="1" t="s">
        <v>12</v>
      </c>
      <c r="D1357" s="1" t="s">
        <v>2748</v>
      </c>
      <c r="E1357" s="4">
        <v>1012950.0</v>
      </c>
      <c r="F1357" s="2">
        <v>2.0</v>
      </c>
      <c r="G1357" s="2" t="s">
        <v>1</v>
      </c>
      <c r="H1357" s="2" t="s">
        <v>37</v>
      </c>
      <c r="I1357" s="2" t="s">
        <v>15</v>
      </c>
      <c r="J1357" s="2" t="s">
        <v>15</v>
      </c>
    </row>
    <row r="1358" ht="15.75" customHeight="1">
      <c r="A1358" s="1" t="s">
        <v>2759</v>
      </c>
      <c r="B1358" s="1" t="s">
        <v>2760</v>
      </c>
      <c r="C1358" s="1" t="s">
        <v>12</v>
      </c>
      <c r="D1358" s="1" t="s">
        <v>2748</v>
      </c>
      <c r="E1358" s="4">
        <v>1012950.0</v>
      </c>
      <c r="F1358" s="2">
        <v>3.0</v>
      </c>
      <c r="G1358" s="2" t="s">
        <v>1</v>
      </c>
      <c r="H1358" s="2" t="s">
        <v>37</v>
      </c>
      <c r="I1358" s="2" t="s">
        <v>15</v>
      </c>
      <c r="J1358" s="2" t="s">
        <v>15</v>
      </c>
    </row>
    <row r="1359" ht="15.75" customHeight="1">
      <c r="A1359" s="1" t="s">
        <v>2761</v>
      </c>
      <c r="B1359" s="1" t="s">
        <v>2762</v>
      </c>
      <c r="C1359" s="1" t="s">
        <v>12</v>
      </c>
      <c r="D1359" s="1" t="s">
        <v>2748</v>
      </c>
      <c r="E1359" s="4">
        <v>1012950.0</v>
      </c>
      <c r="F1359" s="2" t="s">
        <v>30</v>
      </c>
      <c r="G1359" s="2" t="s">
        <v>1</v>
      </c>
      <c r="H1359" s="2" t="s">
        <v>37</v>
      </c>
      <c r="I1359" s="2" t="s">
        <v>15</v>
      </c>
      <c r="J1359" s="2" t="s">
        <v>15</v>
      </c>
    </row>
    <row r="1360" ht="15.75" customHeight="1">
      <c r="A1360" s="1" t="s">
        <v>2763</v>
      </c>
      <c r="B1360" s="1" t="s">
        <v>2764</v>
      </c>
      <c r="C1360" s="1" t="s">
        <v>12</v>
      </c>
      <c r="D1360" s="1" t="s">
        <v>2765</v>
      </c>
      <c r="E1360" s="4">
        <v>1013014.0</v>
      </c>
      <c r="F1360" s="2">
        <v>1.0</v>
      </c>
      <c r="G1360" s="2" t="s">
        <v>1</v>
      </c>
      <c r="H1360" s="2" t="s">
        <v>14</v>
      </c>
      <c r="I1360" s="2" t="s">
        <v>15</v>
      </c>
      <c r="J1360" s="2" t="s">
        <v>15</v>
      </c>
    </row>
    <row r="1361" ht="15.75" customHeight="1">
      <c r="A1361" s="1" t="s">
        <v>2766</v>
      </c>
      <c r="B1361" s="1" t="s">
        <v>2767</v>
      </c>
      <c r="C1361" s="1" t="s">
        <v>12</v>
      </c>
      <c r="D1361" s="1" t="s">
        <v>2765</v>
      </c>
      <c r="E1361" s="4">
        <v>1013014.0</v>
      </c>
      <c r="F1361" s="2">
        <v>1.0</v>
      </c>
      <c r="G1361" s="2" t="s">
        <v>1</v>
      </c>
      <c r="H1361" s="2" t="s">
        <v>18</v>
      </c>
      <c r="I1361" s="2" t="s">
        <v>15</v>
      </c>
      <c r="J1361" s="2" t="s">
        <v>15</v>
      </c>
    </row>
    <row r="1362" ht="15.75" customHeight="1">
      <c r="A1362" s="1" t="s">
        <v>2768</v>
      </c>
      <c r="B1362" s="1" t="s">
        <v>2769</v>
      </c>
      <c r="C1362" s="1" t="s">
        <v>12</v>
      </c>
      <c r="D1362" s="1" t="s">
        <v>2765</v>
      </c>
      <c r="E1362" s="4">
        <v>1013014.0</v>
      </c>
      <c r="F1362" s="2">
        <v>1.0</v>
      </c>
      <c r="G1362" s="2" t="s">
        <v>1</v>
      </c>
      <c r="H1362" s="2" t="s">
        <v>21</v>
      </c>
      <c r="I1362" s="2" t="s">
        <v>15</v>
      </c>
      <c r="J1362" s="2" t="s">
        <v>15</v>
      </c>
    </row>
    <row r="1363" ht="15.75" customHeight="1">
      <c r="A1363" s="1" t="s">
        <v>2770</v>
      </c>
      <c r="B1363" s="1" t="s">
        <v>2771</v>
      </c>
      <c r="C1363" s="1" t="s">
        <v>12</v>
      </c>
      <c r="D1363" s="1" t="s">
        <v>2765</v>
      </c>
      <c r="E1363" s="4">
        <v>1013014.0</v>
      </c>
      <c r="F1363" s="2">
        <v>2.0</v>
      </c>
      <c r="G1363" s="2" t="s">
        <v>1</v>
      </c>
      <c r="H1363" s="2" t="s">
        <v>14</v>
      </c>
      <c r="I1363" s="2" t="s">
        <v>15</v>
      </c>
      <c r="J1363" s="2" t="s">
        <v>15</v>
      </c>
    </row>
    <row r="1364" ht="15.75" customHeight="1">
      <c r="A1364" s="1" t="s">
        <v>2772</v>
      </c>
      <c r="B1364" s="1" t="s">
        <v>2773</v>
      </c>
      <c r="C1364" s="1" t="s">
        <v>12</v>
      </c>
      <c r="D1364" s="1" t="s">
        <v>2765</v>
      </c>
      <c r="E1364" s="4">
        <v>1013014.0</v>
      </c>
      <c r="F1364" s="2">
        <v>2.0</v>
      </c>
      <c r="G1364" s="2" t="s">
        <v>1</v>
      </c>
      <c r="H1364" s="2" t="s">
        <v>18</v>
      </c>
      <c r="I1364" s="2" t="s">
        <v>15</v>
      </c>
      <c r="J1364" s="2" t="s">
        <v>15</v>
      </c>
    </row>
    <row r="1365" ht="15.75" customHeight="1">
      <c r="A1365" s="1" t="s">
        <v>2774</v>
      </c>
      <c r="B1365" s="1" t="s">
        <v>2775</v>
      </c>
      <c r="C1365" s="1" t="s">
        <v>12</v>
      </c>
      <c r="D1365" s="1" t="s">
        <v>2765</v>
      </c>
      <c r="E1365" s="4">
        <v>1013014.0</v>
      </c>
      <c r="F1365" s="2">
        <v>2.0</v>
      </c>
      <c r="G1365" s="2" t="s">
        <v>1</v>
      </c>
      <c r="H1365" s="2" t="s">
        <v>21</v>
      </c>
      <c r="I1365" s="2" t="s">
        <v>15</v>
      </c>
      <c r="J1365" s="2" t="s">
        <v>15</v>
      </c>
    </row>
    <row r="1366" ht="15.75" customHeight="1">
      <c r="A1366" s="1" t="s">
        <v>2776</v>
      </c>
      <c r="B1366" s="1" t="s">
        <v>2777</v>
      </c>
      <c r="C1366" s="1" t="s">
        <v>12</v>
      </c>
      <c r="D1366" s="1" t="s">
        <v>2765</v>
      </c>
      <c r="E1366" s="4">
        <v>1013014.0</v>
      </c>
      <c r="F1366" s="2">
        <v>3.0</v>
      </c>
      <c r="G1366" s="2" t="s">
        <v>1</v>
      </c>
      <c r="H1366" s="2" t="s">
        <v>14</v>
      </c>
      <c r="I1366" s="2" t="s">
        <v>15</v>
      </c>
      <c r="J1366" s="2" t="s">
        <v>15</v>
      </c>
    </row>
    <row r="1367" ht="15.75" customHeight="1">
      <c r="A1367" s="1" t="s">
        <v>2778</v>
      </c>
      <c r="B1367" s="1" t="s">
        <v>2779</v>
      </c>
      <c r="C1367" s="1" t="s">
        <v>12</v>
      </c>
      <c r="D1367" s="1" t="s">
        <v>2765</v>
      </c>
      <c r="E1367" s="4">
        <v>1013014.0</v>
      </c>
      <c r="F1367" s="2">
        <v>3.0</v>
      </c>
      <c r="G1367" s="2" t="s">
        <v>1</v>
      </c>
      <c r="H1367" s="2" t="s">
        <v>18</v>
      </c>
      <c r="I1367" s="2" t="s">
        <v>15</v>
      </c>
      <c r="J1367" s="2" t="s">
        <v>15</v>
      </c>
    </row>
    <row r="1368" ht="15.75" customHeight="1">
      <c r="A1368" s="1" t="s">
        <v>2780</v>
      </c>
      <c r="B1368" s="1" t="s">
        <v>2781</v>
      </c>
      <c r="C1368" s="1" t="s">
        <v>12</v>
      </c>
      <c r="D1368" s="1" t="s">
        <v>2765</v>
      </c>
      <c r="E1368" s="4">
        <v>1013014.0</v>
      </c>
      <c r="F1368" s="2">
        <v>3.0</v>
      </c>
      <c r="G1368" s="2" t="s">
        <v>1</v>
      </c>
      <c r="H1368" s="2" t="s">
        <v>21</v>
      </c>
      <c r="I1368" s="2" t="s">
        <v>15</v>
      </c>
      <c r="J1368" s="2" t="s">
        <v>15</v>
      </c>
    </row>
    <row r="1369" ht="15.75" customHeight="1">
      <c r="A1369" s="1" t="s">
        <v>2782</v>
      </c>
      <c r="B1369" s="1" t="s">
        <v>2783</v>
      </c>
      <c r="C1369" s="1" t="s">
        <v>12</v>
      </c>
      <c r="D1369" s="1" t="s">
        <v>2765</v>
      </c>
      <c r="E1369" s="4">
        <v>1013014.0</v>
      </c>
      <c r="F1369" s="2">
        <v>4.0</v>
      </c>
      <c r="G1369" s="2" t="s">
        <v>1</v>
      </c>
      <c r="H1369" s="2" t="s">
        <v>14</v>
      </c>
      <c r="I1369" s="2" t="s">
        <v>15</v>
      </c>
      <c r="J1369" s="2" t="s">
        <v>15</v>
      </c>
    </row>
    <row r="1370" ht="15.75" customHeight="1">
      <c r="A1370" s="1" t="s">
        <v>2784</v>
      </c>
      <c r="B1370" s="1" t="s">
        <v>2785</v>
      </c>
      <c r="C1370" s="1" t="s">
        <v>12</v>
      </c>
      <c r="D1370" s="1" t="s">
        <v>2765</v>
      </c>
      <c r="E1370" s="4">
        <v>1013014.0</v>
      </c>
      <c r="F1370" s="2">
        <v>4.0</v>
      </c>
      <c r="G1370" s="2" t="s">
        <v>1</v>
      </c>
      <c r="H1370" s="2" t="s">
        <v>18</v>
      </c>
      <c r="I1370" s="2" t="s">
        <v>15</v>
      </c>
      <c r="J1370" s="2" t="s">
        <v>15</v>
      </c>
    </row>
    <row r="1371" ht="15.75" customHeight="1">
      <c r="A1371" s="1" t="s">
        <v>2786</v>
      </c>
      <c r="B1371" s="1" t="s">
        <v>2787</v>
      </c>
      <c r="C1371" s="1" t="s">
        <v>12</v>
      </c>
      <c r="D1371" s="1" t="s">
        <v>2765</v>
      </c>
      <c r="E1371" s="4">
        <v>1013014.0</v>
      </c>
      <c r="F1371" s="2">
        <v>4.0</v>
      </c>
      <c r="G1371" s="2" t="s">
        <v>1</v>
      </c>
      <c r="H1371" s="2" t="s">
        <v>21</v>
      </c>
      <c r="I1371" s="2" t="s">
        <v>15</v>
      </c>
      <c r="J1371" s="2" t="s">
        <v>15</v>
      </c>
    </row>
    <row r="1372" ht="15.75" customHeight="1">
      <c r="A1372" s="1" t="s">
        <v>2788</v>
      </c>
      <c r="B1372" s="1" t="s">
        <v>2789</v>
      </c>
      <c r="C1372" s="1" t="s">
        <v>12</v>
      </c>
      <c r="D1372" s="1" t="s">
        <v>2765</v>
      </c>
      <c r="E1372" s="4">
        <v>1013014.0</v>
      </c>
      <c r="F1372" s="2" t="s">
        <v>30</v>
      </c>
      <c r="G1372" s="2" t="s">
        <v>1</v>
      </c>
      <c r="H1372" s="2" t="s">
        <v>14</v>
      </c>
      <c r="I1372" s="2" t="s">
        <v>15</v>
      </c>
      <c r="J1372" s="2" t="s">
        <v>15</v>
      </c>
    </row>
    <row r="1373" ht="15.75" customHeight="1">
      <c r="A1373" s="1" t="s">
        <v>2790</v>
      </c>
      <c r="B1373" s="1" t="s">
        <v>2791</v>
      </c>
      <c r="C1373" s="1" t="s">
        <v>12</v>
      </c>
      <c r="D1373" s="1" t="s">
        <v>2765</v>
      </c>
      <c r="E1373" s="4">
        <v>1013014.0</v>
      </c>
      <c r="F1373" s="2" t="s">
        <v>15</v>
      </c>
      <c r="G1373" s="2" t="s">
        <v>33</v>
      </c>
      <c r="H1373" s="2" t="s">
        <v>15</v>
      </c>
      <c r="I1373" s="2" t="s">
        <v>15</v>
      </c>
      <c r="J1373" s="2" t="s">
        <v>15</v>
      </c>
    </row>
    <row r="1374" ht="15.75" customHeight="1">
      <c r="A1374" s="1" t="s">
        <v>2792</v>
      </c>
      <c r="B1374" s="1" t="s">
        <v>2793</v>
      </c>
      <c r="C1374" s="1" t="s">
        <v>12</v>
      </c>
      <c r="D1374" s="1" t="s">
        <v>2765</v>
      </c>
      <c r="E1374" s="4">
        <v>1013014.0</v>
      </c>
      <c r="F1374" s="2">
        <v>1.0</v>
      </c>
      <c r="G1374" s="2" t="s">
        <v>1</v>
      </c>
      <c r="H1374" s="2" t="s">
        <v>37</v>
      </c>
      <c r="I1374" s="2" t="s">
        <v>15</v>
      </c>
      <c r="J1374" s="2" t="s">
        <v>15</v>
      </c>
    </row>
    <row r="1375" ht="15.75" customHeight="1">
      <c r="A1375" s="1" t="s">
        <v>2794</v>
      </c>
      <c r="B1375" s="1" t="s">
        <v>2795</v>
      </c>
      <c r="C1375" s="1" t="s">
        <v>12</v>
      </c>
      <c r="D1375" s="1" t="s">
        <v>2765</v>
      </c>
      <c r="E1375" s="4">
        <v>1013014.0</v>
      </c>
      <c r="F1375" s="2">
        <v>2.0</v>
      </c>
      <c r="G1375" s="2" t="s">
        <v>1</v>
      </c>
      <c r="H1375" s="2" t="s">
        <v>37</v>
      </c>
      <c r="I1375" s="2" t="s">
        <v>15</v>
      </c>
      <c r="J1375" s="2" t="s">
        <v>15</v>
      </c>
    </row>
    <row r="1376" ht="15.75" customHeight="1">
      <c r="A1376" s="1" t="s">
        <v>2796</v>
      </c>
      <c r="B1376" s="1" t="s">
        <v>2797</v>
      </c>
      <c r="C1376" s="1" t="s">
        <v>12</v>
      </c>
      <c r="D1376" s="1" t="s">
        <v>2765</v>
      </c>
      <c r="E1376" s="4">
        <v>1013014.0</v>
      </c>
      <c r="F1376" s="2">
        <v>3.0</v>
      </c>
      <c r="G1376" s="2" t="s">
        <v>1</v>
      </c>
      <c r="H1376" s="2" t="s">
        <v>37</v>
      </c>
      <c r="I1376" s="2" t="s">
        <v>15</v>
      </c>
      <c r="J1376" s="2" t="s">
        <v>15</v>
      </c>
    </row>
    <row r="1377" ht="15.75" customHeight="1">
      <c r="A1377" s="1" t="s">
        <v>2798</v>
      </c>
      <c r="B1377" s="1" t="s">
        <v>2799</v>
      </c>
      <c r="C1377" s="1" t="s">
        <v>12</v>
      </c>
      <c r="D1377" s="1" t="s">
        <v>2765</v>
      </c>
      <c r="E1377" s="4">
        <v>1013014.0</v>
      </c>
      <c r="F1377" s="2">
        <v>4.0</v>
      </c>
      <c r="G1377" s="2" t="s">
        <v>1</v>
      </c>
      <c r="H1377" s="2" t="s">
        <v>37</v>
      </c>
      <c r="I1377" s="2" t="s">
        <v>15</v>
      </c>
      <c r="J1377" s="2" t="s">
        <v>15</v>
      </c>
    </row>
    <row r="1378" ht="15.75" customHeight="1">
      <c r="A1378" s="1" t="s">
        <v>2800</v>
      </c>
      <c r="B1378" s="1" t="s">
        <v>2801</v>
      </c>
      <c r="C1378" s="1" t="s">
        <v>12</v>
      </c>
      <c r="D1378" s="1" t="s">
        <v>2765</v>
      </c>
      <c r="E1378" s="4">
        <v>1013014.0</v>
      </c>
      <c r="F1378" s="2" t="s">
        <v>30</v>
      </c>
      <c r="G1378" s="2" t="s">
        <v>1</v>
      </c>
      <c r="H1378" s="2" t="s">
        <v>37</v>
      </c>
      <c r="I1378" s="2" t="s">
        <v>15</v>
      </c>
      <c r="J1378" s="2" t="s">
        <v>15</v>
      </c>
    </row>
    <row r="1379" ht="15.75" customHeight="1">
      <c r="A1379" s="1" t="s">
        <v>2802</v>
      </c>
      <c r="B1379" s="1" t="s">
        <v>2803</v>
      </c>
      <c r="C1379" s="1" t="s">
        <v>12</v>
      </c>
      <c r="D1379" s="1" t="s">
        <v>2804</v>
      </c>
      <c r="E1379" s="4">
        <v>1013078.0</v>
      </c>
      <c r="F1379" s="2">
        <v>1.0</v>
      </c>
      <c r="G1379" s="2" t="s">
        <v>1</v>
      </c>
      <c r="H1379" s="2" t="s">
        <v>14</v>
      </c>
      <c r="I1379" s="2" t="s">
        <v>15</v>
      </c>
      <c r="J1379" s="2" t="s">
        <v>15</v>
      </c>
    </row>
    <row r="1380" ht="15.75" customHeight="1">
      <c r="A1380" s="1" t="s">
        <v>2805</v>
      </c>
      <c r="B1380" s="1" t="s">
        <v>2806</v>
      </c>
      <c r="C1380" s="1" t="s">
        <v>12</v>
      </c>
      <c r="D1380" s="1" t="s">
        <v>2804</v>
      </c>
      <c r="E1380" s="4">
        <v>1013078.0</v>
      </c>
      <c r="F1380" s="2">
        <v>1.0</v>
      </c>
      <c r="G1380" s="2" t="s">
        <v>1</v>
      </c>
      <c r="H1380" s="2" t="s">
        <v>18</v>
      </c>
      <c r="I1380" s="2" t="s">
        <v>15</v>
      </c>
      <c r="J1380" s="2" t="s">
        <v>15</v>
      </c>
    </row>
    <row r="1381" ht="15.75" customHeight="1">
      <c r="A1381" s="1" t="s">
        <v>2807</v>
      </c>
      <c r="B1381" s="1" t="s">
        <v>2808</v>
      </c>
      <c r="C1381" s="1" t="s">
        <v>12</v>
      </c>
      <c r="D1381" s="1" t="s">
        <v>2804</v>
      </c>
      <c r="E1381" s="4">
        <v>1013078.0</v>
      </c>
      <c r="F1381" s="2">
        <v>2.0</v>
      </c>
      <c r="G1381" s="2" t="s">
        <v>1</v>
      </c>
      <c r="H1381" s="2" t="s">
        <v>14</v>
      </c>
      <c r="I1381" s="2" t="s">
        <v>15</v>
      </c>
      <c r="J1381" s="2" t="s">
        <v>15</v>
      </c>
    </row>
    <row r="1382" ht="15.75" customHeight="1">
      <c r="A1382" s="1" t="s">
        <v>2809</v>
      </c>
      <c r="B1382" s="1" t="s">
        <v>2810</v>
      </c>
      <c r="C1382" s="1" t="s">
        <v>12</v>
      </c>
      <c r="D1382" s="1" t="s">
        <v>2804</v>
      </c>
      <c r="E1382" s="4">
        <v>1013078.0</v>
      </c>
      <c r="F1382" s="2">
        <v>2.0</v>
      </c>
      <c r="G1382" s="2" t="s">
        <v>1</v>
      </c>
      <c r="H1382" s="2" t="s">
        <v>18</v>
      </c>
      <c r="I1382" s="2" t="s">
        <v>15</v>
      </c>
      <c r="J1382" s="2" t="s">
        <v>15</v>
      </c>
    </row>
    <row r="1383" ht="15.75" customHeight="1">
      <c r="A1383" s="1" t="s">
        <v>2811</v>
      </c>
      <c r="B1383" s="1" t="s">
        <v>2812</v>
      </c>
      <c r="C1383" s="1" t="s">
        <v>12</v>
      </c>
      <c r="D1383" s="1" t="s">
        <v>2804</v>
      </c>
      <c r="E1383" s="4">
        <v>1013078.0</v>
      </c>
      <c r="F1383" s="2">
        <v>3.0</v>
      </c>
      <c r="G1383" s="2" t="s">
        <v>1</v>
      </c>
      <c r="H1383" s="2" t="s">
        <v>14</v>
      </c>
      <c r="I1383" s="2" t="s">
        <v>15</v>
      </c>
      <c r="J1383" s="2" t="s">
        <v>15</v>
      </c>
    </row>
    <row r="1384" ht="15.75" customHeight="1">
      <c r="A1384" s="1" t="s">
        <v>2813</v>
      </c>
      <c r="B1384" s="1" t="s">
        <v>2814</v>
      </c>
      <c r="C1384" s="1" t="s">
        <v>12</v>
      </c>
      <c r="D1384" s="1" t="s">
        <v>2804</v>
      </c>
      <c r="E1384" s="4">
        <v>1013078.0</v>
      </c>
      <c r="F1384" s="2">
        <v>3.0</v>
      </c>
      <c r="G1384" s="2" t="s">
        <v>1</v>
      </c>
      <c r="H1384" s="2" t="s">
        <v>18</v>
      </c>
      <c r="I1384" s="2" t="s">
        <v>15</v>
      </c>
      <c r="J1384" s="2" t="s">
        <v>15</v>
      </c>
    </row>
    <row r="1385" ht="15.75" customHeight="1">
      <c r="A1385" s="1" t="s">
        <v>2815</v>
      </c>
      <c r="B1385" s="1" t="s">
        <v>2816</v>
      </c>
      <c r="C1385" s="1" t="s">
        <v>12</v>
      </c>
      <c r="D1385" s="1" t="s">
        <v>2804</v>
      </c>
      <c r="E1385" s="4">
        <v>1013078.0</v>
      </c>
      <c r="F1385" s="2" t="s">
        <v>30</v>
      </c>
      <c r="G1385" s="2" t="s">
        <v>1</v>
      </c>
      <c r="H1385" s="2" t="s">
        <v>14</v>
      </c>
      <c r="I1385" s="2" t="s">
        <v>15</v>
      </c>
      <c r="J1385" s="2" t="s">
        <v>15</v>
      </c>
    </row>
    <row r="1386" ht="15.75" customHeight="1">
      <c r="A1386" s="1" t="s">
        <v>2817</v>
      </c>
      <c r="B1386" s="1" t="s">
        <v>2818</v>
      </c>
      <c r="C1386" s="1" t="s">
        <v>12</v>
      </c>
      <c r="D1386" s="1" t="s">
        <v>2804</v>
      </c>
      <c r="E1386" s="4">
        <v>1013078.0</v>
      </c>
      <c r="F1386" s="2" t="s">
        <v>15</v>
      </c>
      <c r="G1386" s="2" t="s">
        <v>33</v>
      </c>
      <c r="H1386" s="2" t="s">
        <v>15</v>
      </c>
      <c r="I1386" s="2" t="s">
        <v>15</v>
      </c>
      <c r="J1386" s="2" t="s">
        <v>15</v>
      </c>
    </row>
    <row r="1387" ht="15.75" customHeight="1">
      <c r="A1387" s="1" t="s">
        <v>2819</v>
      </c>
      <c r="B1387" s="1" t="s">
        <v>2820</v>
      </c>
      <c r="C1387" s="1" t="s">
        <v>12</v>
      </c>
      <c r="D1387" s="1" t="s">
        <v>2821</v>
      </c>
      <c r="E1387" s="4">
        <v>1013142.0</v>
      </c>
      <c r="F1387" s="2">
        <v>1.0</v>
      </c>
      <c r="G1387" s="2" t="s">
        <v>1</v>
      </c>
      <c r="H1387" s="2" t="s">
        <v>14</v>
      </c>
      <c r="I1387" s="2" t="s">
        <v>15</v>
      </c>
      <c r="J1387" s="2" t="s">
        <v>15</v>
      </c>
    </row>
    <row r="1388" ht="15.75" customHeight="1">
      <c r="A1388" s="1" t="s">
        <v>2822</v>
      </c>
      <c r="B1388" s="1" t="s">
        <v>2823</v>
      </c>
      <c r="C1388" s="1" t="s">
        <v>12</v>
      </c>
      <c r="D1388" s="1" t="s">
        <v>2821</v>
      </c>
      <c r="E1388" s="4">
        <v>1013142.0</v>
      </c>
      <c r="F1388" s="2">
        <v>1.0</v>
      </c>
      <c r="G1388" s="2" t="s">
        <v>1</v>
      </c>
      <c r="H1388" s="2" t="s">
        <v>18</v>
      </c>
      <c r="I1388" s="2" t="s">
        <v>15</v>
      </c>
      <c r="J1388" s="2" t="s">
        <v>15</v>
      </c>
    </row>
    <row r="1389" ht="15.75" customHeight="1">
      <c r="A1389" s="1" t="s">
        <v>2824</v>
      </c>
      <c r="B1389" s="1" t="s">
        <v>2825</v>
      </c>
      <c r="C1389" s="1" t="s">
        <v>12</v>
      </c>
      <c r="D1389" s="1" t="s">
        <v>2821</v>
      </c>
      <c r="E1389" s="4">
        <v>1013142.0</v>
      </c>
      <c r="F1389" s="2">
        <v>2.0</v>
      </c>
      <c r="G1389" s="2" t="s">
        <v>1</v>
      </c>
      <c r="H1389" s="2" t="s">
        <v>14</v>
      </c>
      <c r="I1389" s="2" t="s">
        <v>15</v>
      </c>
      <c r="J1389" s="2" t="s">
        <v>15</v>
      </c>
    </row>
    <row r="1390" ht="15.75" customHeight="1">
      <c r="A1390" s="1" t="s">
        <v>2826</v>
      </c>
      <c r="B1390" s="1" t="s">
        <v>2827</v>
      </c>
      <c r="C1390" s="1" t="s">
        <v>12</v>
      </c>
      <c r="D1390" s="1" t="s">
        <v>2821</v>
      </c>
      <c r="E1390" s="4">
        <v>1013142.0</v>
      </c>
      <c r="F1390" s="2">
        <v>2.0</v>
      </c>
      <c r="G1390" s="2" t="s">
        <v>1</v>
      </c>
      <c r="H1390" s="2" t="s">
        <v>18</v>
      </c>
      <c r="I1390" s="2" t="s">
        <v>15</v>
      </c>
      <c r="J1390" s="2" t="s">
        <v>15</v>
      </c>
    </row>
    <row r="1391" ht="15.75" customHeight="1">
      <c r="A1391" s="1" t="s">
        <v>2828</v>
      </c>
      <c r="B1391" s="1" t="s">
        <v>2829</v>
      </c>
      <c r="C1391" s="1" t="s">
        <v>12</v>
      </c>
      <c r="D1391" s="1" t="s">
        <v>2821</v>
      </c>
      <c r="E1391" s="4">
        <v>1013142.0</v>
      </c>
      <c r="F1391" s="2">
        <v>3.0</v>
      </c>
      <c r="G1391" s="2" t="s">
        <v>1</v>
      </c>
      <c r="H1391" s="2" t="s">
        <v>14</v>
      </c>
      <c r="I1391" s="2" t="s">
        <v>15</v>
      </c>
      <c r="J1391" s="2" t="s">
        <v>15</v>
      </c>
    </row>
    <row r="1392" ht="15.75" customHeight="1">
      <c r="A1392" s="1" t="s">
        <v>2830</v>
      </c>
      <c r="B1392" s="1" t="s">
        <v>2831</v>
      </c>
      <c r="C1392" s="1" t="s">
        <v>12</v>
      </c>
      <c r="D1392" s="1" t="s">
        <v>2821</v>
      </c>
      <c r="E1392" s="4">
        <v>1013142.0</v>
      </c>
      <c r="F1392" s="2">
        <v>3.0</v>
      </c>
      <c r="G1392" s="2" t="s">
        <v>1</v>
      </c>
      <c r="H1392" s="2" t="s">
        <v>18</v>
      </c>
      <c r="I1392" s="2" t="s">
        <v>15</v>
      </c>
      <c r="J1392" s="2" t="s">
        <v>15</v>
      </c>
    </row>
    <row r="1393" ht="15.75" customHeight="1">
      <c r="A1393" s="1" t="s">
        <v>2832</v>
      </c>
      <c r="B1393" s="1" t="s">
        <v>2833</v>
      </c>
      <c r="C1393" s="1" t="s">
        <v>12</v>
      </c>
      <c r="D1393" s="1" t="s">
        <v>2821</v>
      </c>
      <c r="E1393" s="4">
        <v>1013142.0</v>
      </c>
      <c r="F1393" s="2" t="s">
        <v>30</v>
      </c>
      <c r="G1393" s="2" t="s">
        <v>1</v>
      </c>
      <c r="H1393" s="2" t="s">
        <v>14</v>
      </c>
      <c r="I1393" s="2" t="s">
        <v>15</v>
      </c>
      <c r="J1393" s="2" t="s">
        <v>15</v>
      </c>
    </row>
    <row r="1394" ht="15.75" customHeight="1">
      <c r="A1394" s="1" t="s">
        <v>2834</v>
      </c>
      <c r="B1394" s="1" t="s">
        <v>2835</v>
      </c>
      <c r="C1394" s="1" t="s">
        <v>12</v>
      </c>
      <c r="D1394" s="1" t="s">
        <v>2821</v>
      </c>
      <c r="E1394" s="4">
        <v>1013142.0</v>
      </c>
      <c r="F1394" s="2" t="s">
        <v>15</v>
      </c>
      <c r="G1394" s="2" t="s">
        <v>33</v>
      </c>
      <c r="H1394" s="2" t="s">
        <v>15</v>
      </c>
      <c r="I1394" s="2" t="s">
        <v>15</v>
      </c>
      <c r="J1394" s="2" t="s">
        <v>15</v>
      </c>
    </row>
    <row r="1395" ht="15.75" customHeight="1">
      <c r="A1395" s="1" t="s">
        <v>2836</v>
      </c>
      <c r="B1395" s="1" t="s">
        <v>2837</v>
      </c>
      <c r="C1395" s="1" t="s">
        <v>12</v>
      </c>
      <c r="D1395" s="1" t="s">
        <v>2838</v>
      </c>
      <c r="E1395" s="4">
        <v>1013206.0</v>
      </c>
      <c r="F1395" s="2" t="s">
        <v>36</v>
      </c>
      <c r="G1395" s="2" t="s">
        <v>1</v>
      </c>
      <c r="H1395" s="2" t="s">
        <v>14</v>
      </c>
      <c r="I1395" s="2" t="s">
        <v>15</v>
      </c>
      <c r="J1395" s="2" t="s">
        <v>15</v>
      </c>
    </row>
    <row r="1396" ht="15.75" customHeight="1">
      <c r="A1396" s="1" t="s">
        <v>2839</v>
      </c>
      <c r="B1396" s="1" t="s">
        <v>2840</v>
      </c>
      <c r="C1396" s="1" t="s">
        <v>12</v>
      </c>
      <c r="D1396" s="1" t="s">
        <v>2838</v>
      </c>
      <c r="E1396" s="4">
        <v>1013206.0</v>
      </c>
      <c r="F1396" s="2" t="s">
        <v>36</v>
      </c>
      <c r="G1396" s="2" t="s">
        <v>1</v>
      </c>
      <c r="H1396" s="2" t="s">
        <v>18</v>
      </c>
      <c r="I1396" s="2" t="s">
        <v>15</v>
      </c>
      <c r="J1396" s="2" t="s">
        <v>15</v>
      </c>
    </row>
    <row r="1397" ht="15.75" customHeight="1">
      <c r="A1397" s="1" t="s">
        <v>2841</v>
      </c>
      <c r="B1397" s="1" t="s">
        <v>2842</v>
      </c>
      <c r="C1397" s="1" t="s">
        <v>12</v>
      </c>
      <c r="D1397" s="1" t="s">
        <v>2838</v>
      </c>
      <c r="E1397" s="4">
        <v>1013206.0</v>
      </c>
      <c r="F1397" s="2">
        <v>1.0</v>
      </c>
      <c r="G1397" s="2" t="s">
        <v>1</v>
      </c>
      <c r="H1397" s="2" t="s">
        <v>14</v>
      </c>
      <c r="I1397" s="2" t="s">
        <v>15</v>
      </c>
      <c r="J1397" s="2" t="s">
        <v>15</v>
      </c>
    </row>
    <row r="1398" ht="15.75" customHeight="1">
      <c r="A1398" s="1" t="s">
        <v>2843</v>
      </c>
      <c r="B1398" s="1" t="s">
        <v>2844</v>
      </c>
      <c r="C1398" s="1" t="s">
        <v>12</v>
      </c>
      <c r="D1398" s="1" t="s">
        <v>2838</v>
      </c>
      <c r="E1398" s="4">
        <v>1013206.0</v>
      </c>
      <c r="F1398" s="2">
        <v>1.0</v>
      </c>
      <c r="G1398" s="2" t="s">
        <v>1</v>
      </c>
      <c r="H1398" s="2" t="s">
        <v>18</v>
      </c>
      <c r="I1398" s="2" t="s">
        <v>15</v>
      </c>
      <c r="J1398" s="2" t="s">
        <v>15</v>
      </c>
    </row>
    <row r="1399" ht="15.75" customHeight="1">
      <c r="A1399" s="1" t="s">
        <v>2845</v>
      </c>
      <c r="B1399" s="1" t="s">
        <v>2846</v>
      </c>
      <c r="C1399" s="1" t="s">
        <v>12</v>
      </c>
      <c r="D1399" s="1" t="s">
        <v>2838</v>
      </c>
      <c r="E1399" s="4">
        <v>1013206.0</v>
      </c>
      <c r="F1399" s="2">
        <v>2.0</v>
      </c>
      <c r="G1399" s="2" t="s">
        <v>1</v>
      </c>
      <c r="H1399" s="2" t="s">
        <v>14</v>
      </c>
      <c r="I1399" s="2" t="s">
        <v>15</v>
      </c>
      <c r="J1399" s="2" t="s">
        <v>15</v>
      </c>
    </row>
    <row r="1400" ht="15.75" customHeight="1">
      <c r="A1400" s="1" t="s">
        <v>2847</v>
      </c>
      <c r="B1400" s="1" t="s">
        <v>2848</v>
      </c>
      <c r="C1400" s="1" t="s">
        <v>12</v>
      </c>
      <c r="D1400" s="1" t="s">
        <v>2838</v>
      </c>
      <c r="E1400" s="4">
        <v>1013206.0</v>
      </c>
      <c r="F1400" s="2">
        <v>2.0</v>
      </c>
      <c r="G1400" s="2" t="s">
        <v>1</v>
      </c>
      <c r="H1400" s="2" t="s">
        <v>18</v>
      </c>
      <c r="I1400" s="2" t="s">
        <v>15</v>
      </c>
      <c r="J1400" s="2" t="s">
        <v>15</v>
      </c>
    </row>
    <row r="1401" ht="15.75" customHeight="1">
      <c r="A1401" s="1" t="s">
        <v>2849</v>
      </c>
      <c r="B1401" s="1" t="s">
        <v>2850</v>
      </c>
      <c r="C1401" s="1" t="s">
        <v>12</v>
      </c>
      <c r="D1401" s="1" t="s">
        <v>2838</v>
      </c>
      <c r="E1401" s="4">
        <v>1013206.0</v>
      </c>
      <c r="F1401" s="2">
        <v>3.0</v>
      </c>
      <c r="G1401" s="2" t="s">
        <v>1</v>
      </c>
      <c r="H1401" s="2" t="s">
        <v>14</v>
      </c>
      <c r="I1401" s="2" t="s">
        <v>15</v>
      </c>
      <c r="J1401" s="2" t="s">
        <v>15</v>
      </c>
    </row>
    <row r="1402" ht="15.75" customHeight="1">
      <c r="A1402" s="1" t="s">
        <v>2851</v>
      </c>
      <c r="B1402" s="1" t="s">
        <v>2852</v>
      </c>
      <c r="C1402" s="1" t="s">
        <v>12</v>
      </c>
      <c r="D1402" s="1" t="s">
        <v>2838</v>
      </c>
      <c r="E1402" s="4">
        <v>1013206.0</v>
      </c>
      <c r="F1402" s="2">
        <v>3.0</v>
      </c>
      <c r="G1402" s="2" t="s">
        <v>1</v>
      </c>
      <c r="H1402" s="2" t="s">
        <v>18</v>
      </c>
      <c r="I1402" s="2" t="s">
        <v>15</v>
      </c>
      <c r="J1402" s="2" t="s">
        <v>15</v>
      </c>
    </row>
    <row r="1403" ht="15.75" customHeight="1">
      <c r="A1403" s="1" t="s">
        <v>2853</v>
      </c>
      <c r="B1403" s="1" t="s">
        <v>2854</v>
      </c>
      <c r="C1403" s="1" t="s">
        <v>12</v>
      </c>
      <c r="D1403" s="1" t="s">
        <v>2838</v>
      </c>
      <c r="E1403" s="4">
        <v>1013206.0</v>
      </c>
      <c r="F1403" s="2" t="s">
        <v>30</v>
      </c>
      <c r="G1403" s="2" t="s">
        <v>1</v>
      </c>
      <c r="H1403" s="2" t="s">
        <v>14</v>
      </c>
      <c r="I1403" s="2" t="s">
        <v>15</v>
      </c>
      <c r="J1403" s="2" t="s">
        <v>15</v>
      </c>
    </row>
    <row r="1404" ht="15.75" customHeight="1">
      <c r="A1404" s="1" t="s">
        <v>2855</v>
      </c>
      <c r="B1404" s="1" t="s">
        <v>2856</v>
      </c>
      <c r="C1404" s="1" t="s">
        <v>12</v>
      </c>
      <c r="D1404" s="1" t="s">
        <v>2838</v>
      </c>
      <c r="E1404" s="4">
        <v>1013206.0</v>
      </c>
      <c r="F1404" s="2" t="s">
        <v>15</v>
      </c>
      <c r="G1404" s="2" t="s">
        <v>33</v>
      </c>
      <c r="H1404" s="2" t="s">
        <v>15</v>
      </c>
      <c r="I1404" s="2" t="s">
        <v>15</v>
      </c>
      <c r="J1404" s="2" t="s">
        <v>15</v>
      </c>
    </row>
    <row r="1405" ht="15.75" customHeight="1">
      <c r="A1405" s="1" t="s">
        <v>2857</v>
      </c>
      <c r="B1405" s="1" t="s">
        <v>2858</v>
      </c>
      <c r="C1405" s="1" t="s">
        <v>12</v>
      </c>
      <c r="D1405" s="1" t="s">
        <v>2859</v>
      </c>
      <c r="E1405" s="4">
        <v>1013270.0</v>
      </c>
      <c r="F1405" s="2" t="s">
        <v>36</v>
      </c>
      <c r="G1405" s="2" t="s">
        <v>1</v>
      </c>
      <c r="H1405" s="2" t="s">
        <v>14</v>
      </c>
      <c r="I1405" s="2" t="s">
        <v>15</v>
      </c>
      <c r="J1405" s="2" t="s">
        <v>15</v>
      </c>
    </row>
    <row r="1406" ht="15.75" customHeight="1">
      <c r="A1406" s="1" t="s">
        <v>2860</v>
      </c>
      <c r="B1406" s="1" t="s">
        <v>2861</v>
      </c>
      <c r="C1406" s="1" t="s">
        <v>12</v>
      </c>
      <c r="D1406" s="1" t="s">
        <v>2859</v>
      </c>
      <c r="E1406" s="4">
        <v>1013270.0</v>
      </c>
      <c r="F1406" s="2" t="s">
        <v>36</v>
      </c>
      <c r="G1406" s="2" t="s">
        <v>1</v>
      </c>
      <c r="H1406" s="2" t="s">
        <v>18</v>
      </c>
      <c r="I1406" s="2" t="s">
        <v>15</v>
      </c>
      <c r="J1406" s="2" t="s">
        <v>15</v>
      </c>
    </row>
    <row r="1407" ht="15.75" customHeight="1">
      <c r="A1407" s="1" t="s">
        <v>2862</v>
      </c>
      <c r="B1407" s="1" t="s">
        <v>2863</v>
      </c>
      <c r="C1407" s="1" t="s">
        <v>12</v>
      </c>
      <c r="D1407" s="1" t="s">
        <v>2859</v>
      </c>
      <c r="E1407" s="4">
        <v>1013270.0</v>
      </c>
      <c r="F1407" s="2">
        <v>1.0</v>
      </c>
      <c r="G1407" s="2" t="s">
        <v>1</v>
      </c>
      <c r="H1407" s="2" t="s">
        <v>14</v>
      </c>
      <c r="I1407" s="2" t="s">
        <v>15</v>
      </c>
      <c r="J1407" s="2" t="s">
        <v>15</v>
      </c>
    </row>
    <row r="1408" ht="15.75" customHeight="1">
      <c r="A1408" s="1" t="s">
        <v>2864</v>
      </c>
      <c r="B1408" s="1" t="s">
        <v>2865</v>
      </c>
      <c r="C1408" s="1" t="s">
        <v>12</v>
      </c>
      <c r="D1408" s="1" t="s">
        <v>2859</v>
      </c>
      <c r="E1408" s="4">
        <v>1013270.0</v>
      </c>
      <c r="F1408" s="2">
        <v>1.0</v>
      </c>
      <c r="G1408" s="2" t="s">
        <v>1</v>
      </c>
      <c r="H1408" s="2" t="s">
        <v>18</v>
      </c>
      <c r="I1408" s="2" t="s">
        <v>15</v>
      </c>
      <c r="J1408" s="2" t="s">
        <v>15</v>
      </c>
    </row>
    <row r="1409" ht="15.75" customHeight="1">
      <c r="A1409" s="1" t="s">
        <v>2866</v>
      </c>
      <c r="B1409" s="1" t="s">
        <v>2867</v>
      </c>
      <c r="C1409" s="1" t="s">
        <v>12</v>
      </c>
      <c r="D1409" s="1" t="s">
        <v>2859</v>
      </c>
      <c r="E1409" s="4">
        <v>1013270.0</v>
      </c>
      <c r="F1409" s="2">
        <v>2.0</v>
      </c>
      <c r="G1409" s="2" t="s">
        <v>1</v>
      </c>
      <c r="H1409" s="2" t="s">
        <v>14</v>
      </c>
      <c r="I1409" s="2" t="s">
        <v>15</v>
      </c>
      <c r="J1409" s="2" t="s">
        <v>15</v>
      </c>
    </row>
    <row r="1410" ht="15.75" customHeight="1">
      <c r="A1410" s="1" t="s">
        <v>2868</v>
      </c>
      <c r="B1410" s="1" t="s">
        <v>2869</v>
      </c>
      <c r="C1410" s="1" t="s">
        <v>12</v>
      </c>
      <c r="D1410" s="1" t="s">
        <v>2859</v>
      </c>
      <c r="E1410" s="4">
        <v>1013270.0</v>
      </c>
      <c r="F1410" s="2">
        <v>2.0</v>
      </c>
      <c r="G1410" s="2" t="s">
        <v>1</v>
      </c>
      <c r="H1410" s="2" t="s">
        <v>18</v>
      </c>
      <c r="I1410" s="2" t="s">
        <v>15</v>
      </c>
      <c r="J1410" s="2" t="s">
        <v>15</v>
      </c>
    </row>
    <row r="1411" ht="15.75" customHeight="1">
      <c r="A1411" s="1" t="s">
        <v>2870</v>
      </c>
      <c r="B1411" s="1" t="s">
        <v>2871</v>
      </c>
      <c r="C1411" s="1" t="s">
        <v>12</v>
      </c>
      <c r="D1411" s="1" t="s">
        <v>2859</v>
      </c>
      <c r="E1411" s="4">
        <v>1013270.0</v>
      </c>
      <c r="F1411" s="2" t="s">
        <v>30</v>
      </c>
      <c r="G1411" s="2" t="s">
        <v>1</v>
      </c>
      <c r="H1411" s="2" t="s">
        <v>14</v>
      </c>
      <c r="I1411" s="2" t="s">
        <v>15</v>
      </c>
      <c r="J1411" s="2" t="s">
        <v>15</v>
      </c>
    </row>
    <row r="1412" ht="15.75" customHeight="1">
      <c r="A1412" s="1" t="s">
        <v>2872</v>
      </c>
      <c r="B1412" s="1" t="s">
        <v>2873</v>
      </c>
      <c r="C1412" s="1" t="s">
        <v>12</v>
      </c>
      <c r="D1412" s="1" t="s">
        <v>2859</v>
      </c>
      <c r="E1412" s="4">
        <v>1013270.0</v>
      </c>
      <c r="F1412" s="2" t="s">
        <v>15</v>
      </c>
      <c r="G1412" s="2" t="s">
        <v>33</v>
      </c>
      <c r="H1412" s="2" t="s">
        <v>15</v>
      </c>
      <c r="I1412" s="2" t="s">
        <v>15</v>
      </c>
      <c r="J1412" s="2" t="s">
        <v>15</v>
      </c>
    </row>
    <row r="1413" ht="15.75" customHeight="1">
      <c r="A1413" s="1" t="s">
        <v>2874</v>
      </c>
      <c r="B1413" s="1" t="s">
        <v>2875</v>
      </c>
      <c r="C1413" s="1" t="s">
        <v>12</v>
      </c>
      <c r="D1413" s="1" t="s">
        <v>2876</v>
      </c>
      <c r="E1413" s="4">
        <v>1013334.0</v>
      </c>
      <c r="F1413" s="2" t="s">
        <v>36</v>
      </c>
      <c r="G1413" s="2" t="s">
        <v>1</v>
      </c>
      <c r="H1413" s="2" t="s">
        <v>14</v>
      </c>
      <c r="I1413" s="2" t="s">
        <v>15</v>
      </c>
      <c r="J1413" s="2" t="s">
        <v>15</v>
      </c>
    </row>
    <row r="1414" ht="15.75" customHeight="1">
      <c r="A1414" s="1" t="s">
        <v>2877</v>
      </c>
      <c r="B1414" s="1" t="s">
        <v>2878</v>
      </c>
      <c r="C1414" s="1" t="s">
        <v>12</v>
      </c>
      <c r="D1414" s="1" t="s">
        <v>2876</v>
      </c>
      <c r="E1414" s="4">
        <v>1013334.0</v>
      </c>
      <c r="F1414" s="2" t="s">
        <v>36</v>
      </c>
      <c r="G1414" s="2" t="s">
        <v>1</v>
      </c>
      <c r="H1414" s="2" t="s">
        <v>18</v>
      </c>
      <c r="I1414" s="2" t="s">
        <v>15</v>
      </c>
      <c r="J1414" s="2" t="s">
        <v>15</v>
      </c>
    </row>
    <row r="1415" ht="15.75" customHeight="1">
      <c r="A1415" s="1" t="s">
        <v>2879</v>
      </c>
      <c r="B1415" s="1" t="s">
        <v>2880</v>
      </c>
      <c r="C1415" s="1" t="s">
        <v>12</v>
      </c>
      <c r="D1415" s="1" t="s">
        <v>2876</v>
      </c>
      <c r="E1415" s="4">
        <v>1013334.0</v>
      </c>
      <c r="F1415" s="2">
        <v>1.0</v>
      </c>
      <c r="G1415" s="2" t="s">
        <v>1</v>
      </c>
      <c r="H1415" s="2" t="s">
        <v>14</v>
      </c>
      <c r="I1415" s="2" t="s">
        <v>15</v>
      </c>
      <c r="J1415" s="2" t="s">
        <v>15</v>
      </c>
    </row>
    <row r="1416" ht="15.75" customHeight="1">
      <c r="A1416" s="1" t="s">
        <v>2881</v>
      </c>
      <c r="B1416" s="1" t="s">
        <v>2882</v>
      </c>
      <c r="C1416" s="1" t="s">
        <v>12</v>
      </c>
      <c r="D1416" s="1" t="s">
        <v>2876</v>
      </c>
      <c r="E1416" s="4">
        <v>1013334.0</v>
      </c>
      <c r="F1416" s="2">
        <v>1.0</v>
      </c>
      <c r="G1416" s="2" t="s">
        <v>1</v>
      </c>
      <c r="H1416" s="2" t="s">
        <v>18</v>
      </c>
      <c r="I1416" s="2" t="s">
        <v>15</v>
      </c>
      <c r="J1416" s="2" t="s">
        <v>15</v>
      </c>
    </row>
    <row r="1417" ht="15.75" customHeight="1">
      <c r="A1417" s="1" t="s">
        <v>2883</v>
      </c>
      <c r="B1417" s="1" t="s">
        <v>2884</v>
      </c>
      <c r="C1417" s="1" t="s">
        <v>12</v>
      </c>
      <c r="D1417" s="1" t="s">
        <v>2876</v>
      </c>
      <c r="E1417" s="4">
        <v>1013334.0</v>
      </c>
      <c r="F1417" s="2">
        <v>1.0</v>
      </c>
      <c r="G1417" s="2" t="s">
        <v>1</v>
      </c>
      <c r="H1417" s="2" t="s">
        <v>21</v>
      </c>
      <c r="I1417" s="2" t="s">
        <v>15</v>
      </c>
      <c r="J1417" s="2" t="s">
        <v>15</v>
      </c>
    </row>
    <row r="1418" ht="15.75" customHeight="1">
      <c r="A1418" s="1" t="s">
        <v>2885</v>
      </c>
      <c r="B1418" s="1" t="s">
        <v>2886</v>
      </c>
      <c r="C1418" s="1" t="s">
        <v>12</v>
      </c>
      <c r="D1418" s="1" t="s">
        <v>2876</v>
      </c>
      <c r="E1418" s="4">
        <v>1013334.0</v>
      </c>
      <c r="F1418" s="2">
        <v>2.0</v>
      </c>
      <c r="G1418" s="2" t="s">
        <v>1</v>
      </c>
      <c r="H1418" s="2" t="s">
        <v>14</v>
      </c>
      <c r="I1418" s="2" t="s">
        <v>15</v>
      </c>
      <c r="J1418" s="2" t="s">
        <v>15</v>
      </c>
    </row>
    <row r="1419" ht="15.75" customHeight="1">
      <c r="A1419" s="1" t="s">
        <v>2887</v>
      </c>
      <c r="B1419" s="1" t="s">
        <v>2888</v>
      </c>
      <c r="C1419" s="1" t="s">
        <v>12</v>
      </c>
      <c r="D1419" s="1" t="s">
        <v>2876</v>
      </c>
      <c r="E1419" s="4">
        <v>1013334.0</v>
      </c>
      <c r="F1419" s="2">
        <v>2.0</v>
      </c>
      <c r="G1419" s="2" t="s">
        <v>1</v>
      </c>
      <c r="H1419" s="2" t="s">
        <v>18</v>
      </c>
      <c r="I1419" s="2" t="s">
        <v>15</v>
      </c>
      <c r="J1419" s="2" t="s">
        <v>15</v>
      </c>
    </row>
    <row r="1420" ht="15.75" customHeight="1">
      <c r="A1420" s="1" t="s">
        <v>2889</v>
      </c>
      <c r="B1420" s="1" t="s">
        <v>2890</v>
      </c>
      <c r="C1420" s="1" t="s">
        <v>12</v>
      </c>
      <c r="D1420" s="1" t="s">
        <v>2876</v>
      </c>
      <c r="E1420" s="4">
        <v>1013334.0</v>
      </c>
      <c r="F1420" s="2">
        <v>3.0</v>
      </c>
      <c r="G1420" s="2" t="s">
        <v>1</v>
      </c>
      <c r="H1420" s="2" t="s">
        <v>14</v>
      </c>
      <c r="I1420" s="2" t="s">
        <v>15</v>
      </c>
      <c r="J1420" s="2" t="s">
        <v>15</v>
      </c>
    </row>
    <row r="1421" ht="15.75" customHeight="1">
      <c r="A1421" s="1" t="s">
        <v>2891</v>
      </c>
      <c r="B1421" s="1" t="s">
        <v>2892</v>
      </c>
      <c r="C1421" s="1" t="s">
        <v>12</v>
      </c>
      <c r="D1421" s="1" t="s">
        <v>2876</v>
      </c>
      <c r="E1421" s="4">
        <v>1013334.0</v>
      </c>
      <c r="F1421" s="2">
        <v>3.0</v>
      </c>
      <c r="G1421" s="2" t="s">
        <v>1</v>
      </c>
      <c r="H1421" s="2" t="s">
        <v>18</v>
      </c>
      <c r="I1421" s="2" t="s">
        <v>15</v>
      </c>
      <c r="J1421" s="2" t="s">
        <v>15</v>
      </c>
    </row>
    <row r="1422" ht="15.75" customHeight="1">
      <c r="A1422" s="1" t="s">
        <v>2893</v>
      </c>
      <c r="B1422" s="1" t="s">
        <v>2894</v>
      </c>
      <c r="C1422" s="1" t="s">
        <v>12</v>
      </c>
      <c r="D1422" s="1" t="s">
        <v>2876</v>
      </c>
      <c r="E1422" s="4">
        <v>1013334.0</v>
      </c>
      <c r="F1422" s="2" t="s">
        <v>30</v>
      </c>
      <c r="G1422" s="2" t="s">
        <v>1</v>
      </c>
      <c r="H1422" s="2" t="s">
        <v>14</v>
      </c>
      <c r="I1422" s="2" t="s">
        <v>15</v>
      </c>
      <c r="J1422" s="2" t="s">
        <v>15</v>
      </c>
    </row>
    <row r="1423" ht="15.75" customHeight="1">
      <c r="A1423" s="1" t="s">
        <v>2895</v>
      </c>
      <c r="B1423" s="1" t="s">
        <v>2896</v>
      </c>
      <c r="C1423" s="1" t="s">
        <v>12</v>
      </c>
      <c r="D1423" s="1" t="s">
        <v>2876</v>
      </c>
      <c r="E1423" s="4">
        <v>1013334.0</v>
      </c>
      <c r="F1423" s="2" t="s">
        <v>15</v>
      </c>
      <c r="G1423" s="2" t="s">
        <v>33</v>
      </c>
      <c r="H1423" s="2" t="s">
        <v>15</v>
      </c>
      <c r="I1423" s="2" t="s">
        <v>15</v>
      </c>
      <c r="J1423" s="2" t="s">
        <v>15</v>
      </c>
    </row>
    <row r="1424" ht="15.75" customHeight="1">
      <c r="A1424" s="1" t="s">
        <v>2897</v>
      </c>
      <c r="B1424" s="1" t="s">
        <v>2898</v>
      </c>
      <c r="C1424" s="1" t="s">
        <v>12</v>
      </c>
      <c r="D1424" s="1" t="s">
        <v>2876</v>
      </c>
      <c r="E1424" s="4">
        <v>1013334.0</v>
      </c>
      <c r="F1424" s="2">
        <v>1.0</v>
      </c>
      <c r="G1424" s="2" t="s">
        <v>1</v>
      </c>
      <c r="H1424" s="2" t="s">
        <v>37</v>
      </c>
      <c r="I1424" s="2" t="s">
        <v>15</v>
      </c>
      <c r="J1424" s="2" t="s">
        <v>15</v>
      </c>
    </row>
    <row r="1425" ht="15.75" customHeight="1">
      <c r="A1425" s="1" t="s">
        <v>2899</v>
      </c>
      <c r="B1425" s="1" t="s">
        <v>2900</v>
      </c>
      <c r="C1425" s="1" t="s">
        <v>12</v>
      </c>
      <c r="D1425" s="1" t="s">
        <v>2876</v>
      </c>
      <c r="E1425" s="4">
        <v>1013334.0</v>
      </c>
      <c r="F1425" s="2" t="s">
        <v>30</v>
      </c>
      <c r="G1425" s="2" t="s">
        <v>1</v>
      </c>
      <c r="H1425" s="2" t="s">
        <v>37</v>
      </c>
      <c r="I1425" s="2" t="s">
        <v>15</v>
      </c>
      <c r="J1425" s="2" t="s">
        <v>15</v>
      </c>
    </row>
    <row r="1426" ht="15.75" customHeight="1">
      <c r="A1426" s="1" t="s">
        <v>2901</v>
      </c>
      <c r="B1426" s="1" t="s">
        <v>2902</v>
      </c>
      <c r="C1426" s="1" t="s">
        <v>12</v>
      </c>
      <c r="D1426" s="1" t="s">
        <v>2903</v>
      </c>
      <c r="E1426" s="4">
        <v>1013398.0</v>
      </c>
      <c r="F1426" s="2">
        <v>1.0</v>
      </c>
      <c r="G1426" s="2" t="s">
        <v>1</v>
      </c>
      <c r="H1426" s="2" t="s">
        <v>14</v>
      </c>
      <c r="I1426" s="2" t="s">
        <v>15</v>
      </c>
      <c r="J1426" s="2" t="s">
        <v>15</v>
      </c>
    </row>
    <row r="1427" ht="15.75" customHeight="1">
      <c r="A1427" s="1" t="s">
        <v>2904</v>
      </c>
      <c r="B1427" s="1" t="s">
        <v>2905</v>
      </c>
      <c r="C1427" s="1" t="s">
        <v>12</v>
      </c>
      <c r="D1427" s="1" t="s">
        <v>2903</v>
      </c>
      <c r="E1427" s="4">
        <v>1013398.0</v>
      </c>
      <c r="F1427" s="2">
        <v>1.0</v>
      </c>
      <c r="G1427" s="2" t="s">
        <v>1</v>
      </c>
      <c r="H1427" s="2" t="s">
        <v>18</v>
      </c>
      <c r="I1427" s="2" t="s">
        <v>15</v>
      </c>
      <c r="J1427" s="2" t="s">
        <v>15</v>
      </c>
    </row>
    <row r="1428" ht="15.75" customHeight="1">
      <c r="A1428" s="1" t="s">
        <v>2906</v>
      </c>
      <c r="B1428" s="1" t="s">
        <v>2907</v>
      </c>
      <c r="C1428" s="1" t="s">
        <v>12</v>
      </c>
      <c r="D1428" s="1" t="s">
        <v>2903</v>
      </c>
      <c r="E1428" s="4">
        <v>1013398.0</v>
      </c>
      <c r="F1428" s="2">
        <v>2.0</v>
      </c>
      <c r="G1428" s="2" t="s">
        <v>1</v>
      </c>
      <c r="H1428" s="2" t="s">
        <v>14</v>
      </c>
      <c r="I1428" s="2" t="s">
        <v>15</v>
      </c>
      <c r="J1428" s="2" t="s">
        <v>15</v>
      </c>
    </row>
    <row r="1429" ht="15.75" customHeight="1">
      <c r="A1429" s="1" t="s">
        <v>2908</v>
      </c>
      <c r="B1429" s="1" t="s">
        <v>2909</v>
      </c>
      <c r="C1429" s="1" t="s">
        <v>12</v>
      </c>
      <c r="D1429" s="1" t="s">
        <v>2903</v>
      </c>
      <c r="E1429" s="4">
        <v>1013398.0</v>
      </c>
      <c r="F1429" s="2">
        <v>2.0</v>
      </c>
      <c r="G1429" s="2" t="s">
        <v>1</v>
      </c>
      <c r="H1429" s="2" t="s">
        <v>18</v>
      </c>
      <c r="I1429" s="2" t="s">
        <v>15</v>
      </c>
      <c r="J1429" s="2" t="s">
        <v>15</v>
      </c>
    </row>
    <row r="1430" ht="15.75" customHeight="1">
      <c r="A1430" s="1" t="s">
        <v>2910</v>
      </c>
      <c r="B1430" s="1" t="s">
        <v>2911</v>
      </c>
      <c r="C1430" s="1" t="s">
        <v>12</v>
      </c>
      <c r="D1430" s="1" t="s">
        <v>2903</v>
      </c>
      <c r="E1430" s="4">
        <v>1013398.0</v>
      </c>
      <c r="F1430" s="2">
        <v>3.0</v>
      </c>
      <c r="G1430" s="2" t="s">
        <v>1</v>
      </c>
      <c r="H1430" s="2" t="s">
        <v>14</v>
      </c>
      <c r="I1430" s="2" t="s">
        <v>15</v>
      </c>
      <c r="J1430" s="2" t="s">
        <v>15</v>
      </c>
    </row>
    <row r="1431" ht="15.75" customHeight="1">
      <c r="A1431" s="1" t="s">
        <v>2912</v>
      </c>
      <c r="B1431" s="1" t="s">
        <v>2913</v>
      </c>
      <c r="C1431" s="1" t="s">
        <v>12</v>
      </c>
      <c r="D1431" s="1" t="s">
        <v>2903</v>
      </c>
      <c r="E1431" s="4">
        <v>1013398.0</v>
      </c>
      <c r="F1431" s="2">
        <v>3.0</v>
      </c>
      <c r="G1431" s="2" t="s">
        <v>1</v>
      </c>
      <c r="H1431" s="2" t="s">
        <v>18</v>
      </c>
      <c r="I1431" s="2" t="s">
        <v>15</v>
      </c>
      <c r="J1431" s="2" t="s">
        <v>15</v>
      </c>
    </row>
    <row r="1432" ht="15.75" customHeight="1">
      <c r="A1432" s="1" t="s">
        <v>2914</v>
      </c>
      <c r="B1432" s="1" t="s">
        <v>2915</v>
      </c>
      <c r="C1432" s="1" t="s">
        <v>12</v>
      </c>
      <c r="D1432" s="1" t="s">
        <v>2903</v>
      </c>
      <c r="E1432" s="4">
        <v>1013398.0</v>
      </c>
      <c r="F1432" s="2" t="s">
        <v>30</v>
      </c>
      <c r="G1432" s="2" t="s">
        <v>1</v>
      </c>
      <c r="H1432" s="2" t="s">
        <v>14</v>
      </c>
      <c r="I1432" s="2" t="s">
        <v>15</v>
      </c>
      <c r="J1432" s="2" t="s">
        <v>15</v>
      </c>
    </row>
    <row r="1433" ht="15.75" customHeight="1">
      <c r="A1433" s="1" t="s">
        <v>2916</v>
      </c>
      <c r="B1433" s="1" t="s">
        <v>2917</v>
      </c>
      <c r="C1433" s="1" t="s">
        <v>12</v>
      </c>
      <c r="D1433" s="1" t="s">
        <v>2903</v>
      </c>
      <c r="E1433" s="4">
        <v>1013398.0</v>
      </c>
      <c r="F1433" s="2" t="s">
        <v>15</v>
      </c>
      <c r="G1433" s="2" t="s">
        <v>33</v>
      </c>
      <c r="H1433" s="2" t="s">
        <v>15</v>
      </c>
      <c r="I1433" s="2" t="s">
        <v>15</v>
      </c>
      <c r="J1433" s="2" t="s">
        <v>15</v>
      </c>
    </row>
    <row r="1434" ht="15.75" customHeight="1">
      <c r="A1434" s="1" t="s">
        <v>2918</v>
      </c>
      <c r="B1434" s="1" t="s">
        <v>2919</v>
      </c>
      <c r="C1434" s="1" t="s">
        <v>12</v>
      </c>
      <c r="D1434" s="1" t="s">
        <v>2920</v>
      </c>
      <c r="E1434" s="4">
        <v>1013462.0</v>
      </c>
      <c r="F1434" s="2">
        <v>3.0</v>
      </c>
      <c r="G1434" s="2" t="s">
        <v>1</v>
      </c>
      <c r="H1434" s="2" t="s">
        <v>14</v>
      </c>
      <c r="I1434" s="2" t="s">
        <v>15</v>
      </c>
      <c r="J1434" s="2" t="s">
        <v>15</v>
      </c>
    </row>
    <row r="1435" ht="15.75" customHeight="1">
      <c r="A1435" s="1" t="s">
        <v>2921</v>
      </c>
      <c r="B1435" s="1" t="s">
        <v>2922</v>
      </c>
      <c r="C1435" s="1" t="s">
        <v>12</v>
      </c>
      <c r="D1435" s="1" t="s">
        <v>2920</v>
      </c>
      <c r="E1435" s="4">
        <v>1013462.0</v>
      </c>
      <c r="F1435" s="2">
        <v>3.0</v>
      </c>
      <c r="G1435" s="2" t="s">
        <v>1</v>
      </c>
      <c r="H1435" s="2" t="s">
        <v>18</v>
      </c>
      <c r="I1435" s="2" t="s">
        <v>15</v>
      </c>
      <c r="J1435" s="2" t="s">
        <v>15</v>
      </c>
    </row>
    <row r="1436" ht="15.75" customHeight="1">
      <c r="A1436" s="1" t="s">
        <v>2923</v>
      </c>
      <c r="B1436" s="1" t="s">
        <v>2924</v>
      </c>
      <c r="C1436" s="1" t="s">
        <v>12</v>
      </c>
      <c r="D1436" s="1" t="s">
        <v>2920</v>
      </c>
      <c r="E1436" s="4">
        <v>1013462.0</v>
      </c>
      <c r="F1436" s="2">
        <v>3.0</v>
      </c>
      <c r="G1436" s="2" t="s">
        <v>1</v>
      </c>
      <c r="H1436" s="2" t="s">
        <v>21</v>
      </c>
      <c r="I1436" s="2" t="s">
        <v>15</v>
      </c>
      <c r="J1436" s="2" t="s">
        <v>15</v>
      </c>
    </row>
    <row r="1437" ht="15.75" customHeight="1">
      <c r="A1437" s="1" t="s">
        <v>2925</v>
      </c>
      <c r="B1437" s="1" t="s">
        <v>2926</v>
      </c>
      <c r="C1437" s="1" t="s">
        <v>12</v>
      </c>
      <c r="D1437" s="1" t="s">
        <v>2920</v>
      </c>
      <c r="E1437" s="4">
        <v>1013462.0</v>
      </c>
      <c r="F1437" s="2" t="s">
        <v>15</v>
      </c>
      <c r="G1437" s="2" t="s">
        <v>33</v>
      </c>
      <c r="H1437" s="2" t="s">
        <v>15</v>
      </c>
      <c r="I1437" s="2" t="s">
        <v>15</v>
      </c>
      <c r="J1437" s="2" t="s">
        <v>15</v>
      </c>
    </row>
    <row r="1438" ht="15.75" customHeight="1">
      <c r="A1438" s="1" t="s">
        <v>2927</v>
      </c>
      <c r="B1438" s="1" t="s">
        <v>2928</v>
      </c>
      <c r="C1438" s="1" t="s">
        <v>12</v>
      </c>
      <c r="D1438" s="1" t="s">
        <v>2920</v>
      </c>
      <c r="E1438" s="4">
        <v>1013462.0</v>
      </c>
      <c r="F1438" s="2">
        <v>3.0</v>
      </c>
      <c r="G1438" s="2" t="s">
        <v>1</v>
      </c>
      <c r="H1438" s="2" t="s">
        <v>37</v>
      </c>
      <c r="I1438" s="2" t="s">
        <v>15</v>
      </c>
      <c r="J1438" s="2" t="s">
        <v>15</v>
      </c>
    </row>
    <row r="1439" ht="15.75" customHeight="1">
      <c r="A1439" s="1" t="s">
        <v>2929</v>
      </c>
      <c r="B1439" s="1" t="s">
        <v>2930</v>
      </c>
      <c r="C1439" s="1" t="s">
        <v>12</v>
      </c>
      <c r="D1439" s="1" t="s">
        <v>2920</v>
      </c>
      <c r="E1439" s="4">
        <v>1013462.0</v>
      </c>
      <c r="F1439" s="2" t="s">
        <v>30</v>
      </c>
      <c r="G1439" s="2" t="s">
        <v>1</v>
      </c>
      <c r="H1439" s="2" t="s">
        <v>37</v>
      </c>
      <c r="I1439" s="2" t="s">
        <v>15</v>
      </c>
      <c r="J1439" s="2" t="s">
        <v>15</v>
      </c>
    </row>
    <row r="1440" ht="15.75" customHeight="1">
      <c r="A1440" s="1" t="s">
        <v>2931</v>
      </c>
      <c r="B1440" s="1" t="s">
        <v>2932</v>
      </c>
      <c r="C1440" s="1" t="s">
        <v>12</v>
      </c>
      <c r="D1440" s="1" t="s">
        <v>2933</v>
      </c>
      <c r="E1440" s="4">
        <v>1013526.0</v>
      </c>
      <c r="F1440" s="2">
        <v>3.0</v>
      </c>
      <c r="G1440" s="2" t="s">
        <v>1</v>
      </c>
      <c r="H1440" s="2" t="s">
        <v>14</v>
      </c>
      <c r="I1440" s="2" t="s">
        <v>15</v>
      </c>
      <c r="J1440" s="2" t="s">
        <v>15</v>
      </c>
    </row>
    <row r="1441" ht="15.75" customHeight="1">
      <c r="A1441" s="1" t="s">
        <v>2934</v>
      </c>
      <c r="B1441" s="1" t="s">
        <v>2935</v>
      </c>
      <c r="C1441" s="1" t="s">
        <v>12</v>
      </c>
      <c r="D1441" s="1" t="s">
        <v>2933</v>
      </c>
      <c r="E1441" s="4">
        <v>1013526.0</v>
      </c>
      <c r="F1441" s="2">
        <v>3.0</v>
      </c>
      <c r="G1441" s="2" t="s">
        <v>1</v>
      </c>
      <c r="H1441" s="2" t="s">
        <v>18</v>
      </c>
      <c r="I1441" s="2" t="s">
        <v>15</v>
      </c>
      <c r="J1441" s="2" t="s">
        <v>15</v>
      </c>
    </row>
    <row r="1442" ht="15.75" customHeight="1">
      <c r="A1442" s="1" t="s">
        <v>2936</v>
      </c>
      <c r="B1442" s="1" t="s">
        <v>2937</v>
      </c>
      <c r="C1442" s="1" t="s">
        <v>12</v>
      </c>
      <c r="D1442" s="1" t="s">
        <v>2933</v>
      </c>
      <c r="E1442" s="4">
        <v>1013526.0</v>
      </c>
      <c r="F1442" s="2">
        <v>4.0</v>
      </c>
      <c r="G1442" s="2" t="s">
        <v>1</v>
      </c>
      <c r="H1442" s="2" t="s">
        <v>14</v>
      </c>
      <c r="I1442" s="2" t="s">
        <v>15</v>
      </c>
      <c r="J1442" s="2" t="s">
        <v>15</v>
      </c>
    </row>
    <row r="1443" ht="15.75" customHeight="1">
      <c r="A1443" s="1" t="s">
        <v>2938</v>
      </c>
      <c r="B1443" s="1" t="s">
        <v>2939</v>
      </c>
      <c r="C1443" s="1" t="s">
        <v>12</v>
      </c>
      <c r="D1443" s="1" t="s">
        <v>2933</v>
      </c>
      <c r="E1443" s="4">
        <v>1013526.0</v>
      </c>
      <c r="F1443" s="2">
        <v>4.0</v>
      </c>
      <c r="G1443" s="2" t="s">
        <v>1</v>
      </c>
      <c r="H1443" s="2" t="s">
        <v>18</v>
      </c>
      <c r="I1443" s="2" t="s">
        <v>15</v>
      </c>
      <c r="J1443" s="2" t="s">
        <v>15</v>
      </c>
    </row>
    <row r="1444" ht="15.75" customHeight="1">
      <c r="A1444" s="1" t="s">
        <v>2940</v>
      </c>
      <c r="B1444" s="1" t="s">
        <v>2941</v>
      </c>
      <c r="C1444" s="1" t="s">
        <v>12</v>
      </c>
      <c r="D1444" s="1" t="s">
        <v>2933</v>
      </c>
      <c r="E1444" s="4">
        <v>1013526.0</v>
      </c>
      <c r="F1444" s="2" t="s">
        <v>2490</v>
      </c>
      <c r="G1444" s="2" t="s">
        <v>1</v>
      </c>
      <c r="H1444" s="2" t="s">
        <v>14</v>
      </c>
      <c r="I1444" s="2" t="s">
        <v>15</v>
      </c>
      <c r="J1444" s="2" t="s">
        <v>15</v>
      </c>
    </row>
    <row r="1445" ht="15.75" customHeight="1">
      <c r="A1445" s="1" t="s">
        <v>2942</v>
      </c>
      <c r="B1445" s="1" t="s">
        <v>2943</v>
      </c>
      <c r="C1445" s="1" t="s">
        <v>12</v>
      </c>
      <c r="D1445" s="1" t="s">
        <v>2933</v>
      </c>
      <c r="E1445" s="4">
        <v>1013526.0</v>
      </c>
      <c r="F1445" s="2" t="s">
        <v>2490</v>
      </c>
      <c r="G1445" s="2" t="s">
        <v>1</v>
      </c>
      <c r="H1445" s="2" t="s">
        <v>18</v>
      </c>
      <c r="I1445" s="2" t="s">
        <v>15</v>
      </c>
      <c r="J1445" s="2" t="s">
        <v>15</v>
      </c>
    </row>
    <row r="1446" ht="15.75" customHeight="1">
      <c r="A1446" s="1" t="s">
        <v>2944</v>
      </c>
      <c r="B1446" s="1" t="s">
        <v>2945</v>
      </c>
      <c r="C1446" s="1" t="s">
        <v>12</v>
      </c>
      <c r="D1446" s="1" t="s">
        <v>2933</v>
      </c>
      <c r="E1446" s="4">
        <v>1013526.0</v>
      </c>
      <c r="F1446" s="2" t="s">
        <v>30</v>
      </c>
      <c r="G1446" s="2" t="s">
        <v>1</v>
      </c>
      <c r="H1446" s="2" t="s">
        <v>14</v>
      </c>
      <c r="I1446" s="2" t="s">
        <v>15</v>
      </c>
      <c r="J1446" s="2" t="s">
        <v>15</v>
      </c>
    </row>
    <row r="1447" ht="15.75" customHeight="1">
      <c r="A1447" s="1" t="s">
        <v>2946</v>
      </c>
      <c r="B1447" s="1" t="s">
        <v>2947</v>
      </c>
      <c r="C1447" s="1" t="s">
        <v>12</v>
      </c>
      <c r="D1447" s="1" t="s">
        <v>2933</v>
      </c>
      <c r="E1447" s="4">
        <v>1013526.0</v>
      </c>
      <c r="F1447" s="2" t="s">
        <v>15</v>
      </c>
      <c r="G1447" s="2" t="s">
        <v>33</v>
      </c>
      <c r="H1447" s="2" t="s">
        <v>15</v>
      </c>
      <c r="I1447" s="2" t="s">
        <v>15</v>
      </c>
      <c r="J1447" s="2" t="s">
        <v>15</v>
      </c>
    </row>
    <row r="1448" ht="15.75" customHeight="1">
      <c r="A1448" s="1" t="s">
        <v>2948</v>
      </c>
      <c r="B1448" s="3" t="s">
        <v>2949</v>
      </c>
      <c r="C1448" s="1" t="s">
        <v>12</v>
      </c>
      <c r="D1448" s="1" t="s">
        <v>2950</v>
      </c>
      <c r="E1448" s="4">
        <v>1013590.0</v>
      </c>
      <c r="F1448" s="2" t="s">
        <v>36</v>
      </c>
      <c r="G1448" s="2" t="s">
        <v>1</v>
      </c>
      <c r="H1448" s="2" t="s">
        <v>14</v>
      </c>
      <c r="I1448" s="5" t="str">
        <f>IFERROR(
  MID(
    SUBSTITUTE(B1448, CHAR(10), ""),
    FIND("_Gross ROI=", SUBSTITUTE(B1448, CHAR(10), "")) + LEN("_Gross ROI="),
    FIND("%", SUBSTITUTE(B1448, CHAR(10), ""), FIND("_Gross ROI=", SUBSTITUTE(B1448, CHAR(10), "")))
      - FIND("_Gross ROI=", SUBSTITUTE(B1448, CHAR(10), "")) - LEN("_Gross ROI=") + 1
  ),
  ""
)</f>
        <v>6.6%</v>
      </c>
      <c r="J1448" s="5" t="str">
        <f>IFERROR(
  MID(
    SUBSTITUTE(B1448, CHAR(10), ""),
    FIND("_Median annual rent=", SUBSTITUTE(B1448, CHAR(10), "")) + LEN("_Median annual rent="),
    FIND("K", SUBSTITUTE(B1448, CHAR(10), ""), FIND("_Median annual rent=", SUBSTITUTE(B1448, CHAR(10), "")))
      - FIND("_Median annual rent=", SUBSTITUTE(B1448, CHAR(10), "")) - LEN("_Median annual rent=") + 1
  ),
  "")</f>
        <v>80K</v>
      </c>
    </row>
    <row r="1449" ht="15.75" customHeight="1">
      <c r="A1449" s="1" t="s">
        <v>2951</v>
      </c>
      <c r="B1449" s="1" t="s">
        <v>2952</v>
      </c>
      <c r="C1449" s="1" t="s">
        <v>12</v>
      </c>
      <c r="D1449" s="1" t="s">
        <v>2950</v>
      </c>
      <c r="E1449" s="4">
        <v>1013590.0</v>
      </c>
      <c r="F1449" s="2" t="s">
        <v>36</v>
      </c>
      <c r="G1449" s="2" t="s">
        <v>1</v>
      </c>
      <c r="H1449" s="2" t="s">
        <v>18</v>
      </c>
      <c r="I1449" s="2" t="s">
        <v>15</v>
      </c>
      <c r="J1449" s="2" t="s">
        <v>15</v>
      </c>
    </row>
    <row r="1450" ht="15.75" customHeight="1">
      <c r="A1450" s="1" t="s">
        <v>2953</v>
      </c>
      <c r="B1450" s="1" t="s">
        <v>2954</v>
      </c>
      <c r="C1450" s="1" t="s">
        <v>12</v>
      </c>
      <c r="D1450" s="1" t="s">
        <v>2950</v>
      </c>
      <c r="E1450" s="4">
        <v>1013590.0</v>
      </c>
      <c r="F1450" s="2" t="s">
        <v>36</v>
      </c>
      <c r="G1450" s="2" t="s">
        <v>1</v>
      </c>
      <c r="H1450" s="2" t="s">
        <v>53</v>
      </c>
      <c r="I1450" s="2" t="s">
        <v>15</v>
      </c>
      <c r="J1450" s="2" t="s">
        <v>15</v>
      </c>
    </row>
    <row r="1451" ht="15.75" customHeight="1">
      <c r="A1451" s="1" t="s">
        <v>2955</v>
      </c>
      <c r="B1451" s="1" t="s">
        <v>2956</v>
      </c>
      <c r="C1451" s="1" t="s">
        <v>12</v>
      </c>
      <c r="D1451" s="1" t="s">
        <v>2950</v>
      </c>
      <c r="E1451" s="4">
        <v>1013590.0</v>
      </c>
      <c r="F1451" s="2">
        <v>1.0</v>
      </c>
      <c r="G1451" s="2" t="s">
        <v>1</v>
      </c>
      <c r="H1451" s="2" t="s">
        <v>14</v>
      </c>
      <c r="I1451" s="5" t="str">
        <f>IFERROR(
  MID(
    SUBSTITUTE(B1451, CHAR(10), ""),
    FIND("_Gross ROI=", SUBSTITUTE(B1451, CHAR(10), "")) + LEN("_Gross ROI="),
    FIND("%", SUBSTITUTE(B1451, CHAR(10), ""), FIND("_Gross ROI=", SUBSTITUTE(B1451, CHAR(10), "")))
      - FIND("_Gross ROI=", SUBSTITUTE(B1451, CHAR(10), "")) - LEN("_Gross ROI=") + 1
  ),
  ""
)</f>
        <v>6.17%</v>
      </c>
      <c r="J1451" s="5" t="str">
        <f>IFERROR(
  MID(
    SUBSTITUTE(B1451, CHAR(10), ""),
    FIND("_Median annual rent=", SUBSTITUTE(B1451, CHAR(10), "")) + LEN("_Median annual rent="),
    FIND("K", SUBSTITUTE(B1451, CHAR(10), ""), FIND("_Median annual rent=", SUBSTITUTE(B1451, CHAR(10), "")))
      - FIND("_Median annual rent=", SUBSTITUTE(B1451, CHAR(10), "")) - LEN("_Median annual rent=") + 1
  ),
  "")</f>
        <v>120K</v>
      </c>
    </row>
    <row r="1452" ht="15.75" customHeight="1">
      <c r="A1452" s="1" t="s">
        <v>2957</v>
      </c>
      <c r="B1452" s="1" t="s">
        <v>2958</v>
      </c>
      <c r="C1452" s="1" t="s">
        <v>12</v>
      </c>
      <c r="D1452" s="1" t="s">
        <v>2950</v>
      </c>
      <c r="E1452" s="4">
        <v>1013590.0</v>
      </c>
      <c r="F1452" s="2">
        <v>1.0</v>
      </c>
      <c r="G1452" s="2" t="s">
        <v>1</v>
      </c>
      <c r="H1452" s="2" t="s">
        <v>18</v>
      </c>
      <c r="I1452" s="2" t="s">
        <v>15</v>
      </c>
      <c r="J1452" s="2" t="s">
        <v>15</v>
      </c>
    </row>
    <row r="1453" ht="15.75" customHeight="1">
      <c r="A1453" s="1" t="s">
        <v>2959</v>
      </c>
      <c r="B1453" s="1" t="s">
        <v>2960</v>
      </c>
      <c r="C1453" s="1" t="s">
        <v>12</v>
      </c>
      <c r="D1453" s="1" t="s">
        <v>2950</v>
      </c>
      <c r="E1453" s="4">
        <v>1013590.0</v>
      </c>
      <c r="F1453" s="2">
        <v>1.0</v>
      </c>
      <c r="G1453" s="2" t="s">
        <v>1</v>
      </c>
      <c r="H1453" s="2" t="s">
        <v>53</v>
      </c>
      <c r="I1453" s="2" t="s">
        <v>15</v>
      </c>
      <c r="J1453" s="2" t="s">
        <v>15</v>
      </c>
    </row>
    <row r="1454" ht="15.75" customHeight="1">
      <c r="A1454" s="1" t="s">
        <v>2961</v>
      </c>
      <c r="B1454" s="1" t="s">
        <v>2962</v>
      </c>
      <c r="C1454" s="1" t="s">
        <v>12</v>
      </c>
      <c r="D1454" s="1" t="s">
        <v>2950</v>
      </c>
      <c r="E1454" s="4">
        <v>1013590.0</v>
      </c>
      <c r="F1454" s="2">
        <v>2.0</v>
      </c>
      <c r="G1454" s="2" t="s">
        <v>1</v>
      </c>
      <c r="H1454" s="2" t="s">
        <v>14</v>
      </c>
      <c r="I1454" s="5" t="str">
        <f>IFERROR(
  MID(
    SUBSTITUTE(B1454, CHAR(10), ""),
    FIND("_Gross ROI=", SUBSTITUTE(B1454, CHAR(10), "")) + LEN("_Gross ROI="),
    FIND("%", SUBSTITUTE(B1454, CHAR(10), ""), FIND("_Gross ROI=", SUBSTITUTE(B1454, CHAR(10), "")))
      - FIND("_Gross ROI=", SUBSTITUTE(B1454, CHAR(10), "")) - LEN("_Gross ROI=") + 1
  ),
  ""
)</f>
        <v>5.74%</v>
      </c>
      <c r="J1454" s="5" t="str">
        <f>IFERROR(
  MID(
    SUBSTITUTE(B1454, CHAR(10), ""),
    FIND("_Median annual rent=", SUBSTITUTE(B1454, CHAR(10), "")) + LEN("_Median annual rent="),
    FIND("K", SUBSTITUTE(B1454, CHAR(10), ""), FIND("_Median annual rent=", SUBSTITUTE(B1454, CHAR(10), "")))
      - FIND("_Median annual rent=", SUBSTITUTE(B1454, CHAR(10), "")) - LEN("_Median annual rent=") + 1
  ),
  "")</f>
        <v>163.5K</v>
      </c>
    </row>
    <row r="1455" ht="15.75" customHeight="1">
      <c r="A1455" s="1" t="s">
        <v>2963</v>
      </c>
      <c r="B1455" s="1" t="s">
        <v>2964</v>
      </c>
      <c r="C1455" s="1" t="s">
        <v>12</v>
      </c>
      <c r="D1455" s="1" t="s">
        <v>2950</v>
      </c>
      <c r="E1455" s="4">
        <v>1013590.0</v>
      </c>
      <c r="F1455" s="2">
        <v>2.0</v>
      </c>
      <c r="G1455" s="2" t="s">
        <v>1</v>
      </c>
      <c r="H1455" s="2" t="s">
        <v>18</v>
      </c>
      <c r="I1455" s="2" t="s">
        <v>15</v>
      </c>
      <c r="J1455" s="2" t="s">
        <v>15</v>
      </c>
    </row>
    <row r="1456" ht="15.75" customHeight="1">
      <c r="A1456" s="1" t="s">
        <v>2965</v>
      </c>
      <c r="B1456" s="1" t="s">
        <v>2966</v>
      </c>
      <c r="C1456" s="1" t="s">
        <v>12</v>
      </c>
      <c r="D1456" s="1" t="s">
        <v>2950</v>
      </c>
      <c r="E1456" s="4">
        <v>1013590.0</v>
      </c>
      <c r="F1456" s="2">
        <v>2.0</v>
      </c>
      <c r="G1456" s="2" t="s">
        <v>1</v>
      </c>
      <c r="H1456" s="2" t="s">
        <v>53</v>
      </c>
      <c r="I1456" s="2" t="s">
        <v>15</v>
      </c>
      <c r="J1456" s="2" t="s">
        <v>15</v>
      </c>
    </row>
    <row r="1457" ht="15.75" customHeight="1">
      <c r="A1457" s="1" t="s">
        <v>2967</v>
      </c>
      <c r="B1457" s="1" t="s">
        <v>2968</v>
      </c>
      <c r="C1457" s="1" t="s">
        <v>12</v>
      </c>
      <c r="D1457" s="1" t="s">
        <v>2950</v>
      </c>
      <c r="E1457" s="4">
        <v>1013590.0</v>
      </c>
      <c r="F1457" s="2">
        <v>3.0</v>
      </c>
      <c r="G1457" s="2" t="s">
        <v>1</v>
      </c>
      <c r="H1457" s="2" t="s">
        <v>14</v>
      </c>
      <c r="I1457" s="2" t="s">
        <v>15</v>
      </c>
      <c r="J1457" s="2" t="s">
        <v>15</v>
      </c>
    </row>
    <row r="1458" ht="15.75" customHeight="1">
      <c r="A1458" s="1" t="s">
        <v>2969</v>
      </c>
      <c r="B1458" s="1" t="s">
        <v>2970</v>
      </c>
      <c r="C1458" s="1" t="s">
        <v>12</v>
      </c>
      <c r="D1458" s="1" t="s">
        <v>2950</v>
      </c>
      <c r="E1458" s="4">
        <v>1013590.0</v>
      </c>
      <c r="F1458" s="2">
        <v>3.0</v>
      </c>
      <c r="G1458" s="2" t="s">
        <v>1</v>
      </c>
      <c r="H1458" s="2" t="s">
        <v>18</v>
      </c>
      <c r="I1458" s="2" t="s">
        <v>15</v>
      </c>
      <c r="J1458" s="2" t="s">
        <v>15</v>
      </c>
    </row>
    <row r="1459" ht="15.75" customHeight="1">
      <c r="A1459" s="1" t="s">
        <v>2971</v>
      </c>
      <c r="B1459" s="1" t="s">
        <v>2972</v>
      </c>
      <c r="C1459" s="1" t="s">
        <v>12</v>
      </c>
      <c r="D1459" s="1" t="s">
        <v>2950</v>
      </c>
      <c r="E1459" s="4">
        <v>1013590.0</v>
      </c>
      <c r="F1459" s="2">
        <v>3.0</v>
      </c>
      <c r="G1459" s="2" t="s">
        <v>1</v>
      </c>
      <c r="H1459" s="2" t="s">
        <v>53</v>
      </c>
      <c r="I1459" s="2" t="s">
        <v>15</v>
      </c>
      <c r="J1459" s="2" t="s">
        <v>15</v>
      </c>
    </row>
    <row r="1460" ht="15.75" customHeight="1">
      <c r="A1460" s="1" t="s">
        <v>2973</v>
      </c>
      <c r="B1460" s="1" t="s">
        <v>2974</v>
      </c>
      <c r="C1460" s="1" t="s">
        <v>12</v>
      </c>
      <c r="D1460" s="1" t="s">
        <v>2950</v>
      </c>
      <c r="E1460" s="4">
        <v>1013590.0</v>
      </c>
      <c r="F1460" s="2" t="s">
        <v>15</v>
      </c>
      <c r="G1460" s="2" t="s">
        <v>1</v>
      </c>
      <c r="H1460" s="2" t="s">
        <v>53</v>
      </c>
      <c r="I1460" s="2" t="s">
        <v>15</v>
      </c>
      <c r="J1460" s="2" t="s">
        <v>15</v>
      </c>
    </row>
    <row r="1461" ht="15.75" customHeight="1">
      <c r="A1461" s="1" t="s">
        <v>2975</v>
      </c>
      <c r="B1461" s="1" t="s">
        <v>2976</v>
      </c>
      <c r="C1461" s="1" t="s">
        <v>12</v>
      </c>
      <c r="D1461" s="1" t="s">
        <v>2950</v>
      </c>
      <c r="E1461" s="4">
        <v>1013590.0</v>
      </c>
      <c r="F1461" s="2" t="s">
        <v>30</v>
      </c>
      <c r="G1461" s="2" t="s">
        <v>1</v>
      </c>
      <c r="H1461" s="2" t="s">
        <v>53</v>
      </c>
      <c r="I1461" s="2" t="s">
        <v>15</v>
      </c>
      <c r="J1461" s="2" t="s">
        <v>15</v>
      </c>
    </row>
    <row r="1462" ht="15.75" customHeight="1">
      <c r="A1462" s="1" t="s">
        <v>2977</v>
      </c>
      <c r="B1462" s="1" t="s">
        <v>2978</v>
      </c>
      <c r="C1462" s="1" t="s">
        <v>12</v>
      </c>
      <c r="D1462" s="1" t="s">
        <v>2950</v>
      </c>
      <c r="E1462" s="4">
        <v>1013590.0</v>
      </c>
      <c r="F1462" s="2" t="s">
        <v>30</v>
      </c>
      <c r="G1462" s="2" t="s">
        <v>1</v>
      </c>
      <c r="H1462" s="2" t="s">
        <v>14</v>
      </c>
      <c r="I1462" s="2" t="s">
        <v>15</v>
      </c>
      <c r="J1462" s="2" t="s">
        <v>15</v>
      </c>
    </row>
    <row r="1463" ht="15.75" customHeight="1">
      <c r="A1463" s="1" t="s">
        <v>2979</v>
      </c>
      <c r="B1463" s="1" t="s">
        <v>2980</v>
      </c>
      <c r="C1463" s="1" t="s">
        <v>12</v>
      </c>
      <c r="D1463" s="1" t="s">
        <v>2950</v>
      </c>
      <c r="E1463" s="4">
        <v>1013590.0</v>
      </c>
      <c r="F1463" s="2" t="s">
        <v>15</v>
      </c>
      <c r="G1463" s="2" t="s">
        <v>33</v>
      </c>
      <c r="H1463" s="2" t="s">
        <v>15</v>
      </c>
      <c r="I1463" s="2" t="s">
        <v>15</v>
      </c>
      <c r="J1463" s="2" t="s">
        <v>15</v>
      </c>
    </row>
    <row r="1464" ht="15.75" customHeight="1">
      <c r="A1464" s="1" t="s">
        <v>2981</v>
      </c>
      <c r="B1464" s="1" t="s">
        <v>2982</v>
      </c>
      <c r="C1464" s="1" t="s">
        <v>12</v>
      </c>
      <c r="D1464" s="1" t="s">
        <v>2983</v>
      </c>
      <c r="E1464" s="4">
        <v>1013654.0</v>
      </c>
      <c r="F1464" s="2" t="s">
        <v>36</v>
      </c>
      <c r="G1464" s="2" t="s">
        <v>1</v>
      </c>
      <c r="H1464" s="2" t="s">
        <v>14</v>
      </c>
      <c r="I1464" s="5" t="str">
        <f>IFERROR(
  MID(
    SUBSTITUTE(B1464, CHAR(10), ""),
    FIND("_Gross ROI=", SUBSTITUTE(B1464, CHAR(10), "")) + LEN("_Gross ROI="),
    FIND("%", SUBSTITUTE(B1464, CHAR(10), ""), FIND("_Gross ROI=", SUBSTITUTE(B1464, CHAR(10), "")))
      - FIND("_Gross ROI=", SUBSTITUTE(B1464, CHAR(10), "")) - LEN("_Gross ROI=") + 1
  ),
  ""
)</f>
        <v>6.67%</v>
      </c>
      <c r="J1464" s="5" t="str">
        <f>IFERROR(
  MID(
    SUBSTITUTE(B1464, CHAR(10), ""),
    FIND("_Median annual rent=", SUBSTITUTE(B1464, CHAR(10), "")) + LEN("_Median annual rent="),
    FIND("K", SUBSTITUTE(B1464, CHAR(10), ""), FIND("_Median annual rent=", SUBSTITUTE(B1464, CHAR(10), "")))
      - FIND("_Median annual rent=", SUBSTITUTE(B1464, CHAR(10), "")) - LEN("_Median annual rent=") + 1
  ),
  "")</f>
        <v>80K</v>
      </c>
    </row>
    <row r="1465" ht="15.75" customHeight="1">
      <c r="A1465" s="1" t="s">
        <v>2984</v>
      </c>
      <c r="B1465" s="1" t="s">
        <v>2985</v>
      </c>
      <c r="C1465" s="1" t="s">
        <v>12</v>
      </c>
      <c r="D1465" s="1" t="s">
        <v>2983</v>
      </c>
      <c r="E1465" s="4">
        <v>1013654.0</v>
      </c>
      <c r="F1465" s="2" t="s">
        <v>36</v>
      </c>
      <c r="G1465" s="2" t="s">
        <v>1</v>
      </c>
      <c r="H1465" s="2" t="s">
        <v>18</v>
      </c>
      <c r="I1465" s="2" t="s">
        <v>15</v>
      </c>
      <c r="J1465" s="2" t="s">
        <v>15</v>
      </c>
    </row>
    <row r="1466" ht="15.75" customHeight="1">
      <c r="A1466" s="1" t="s">
        <v>2986</v>
      </c>
      <c r="B1466" s="1" t="s">
        <v>2954</v>
      </c>
      <c r="C1466" s="1" t="s">
        <v>12</v>
      </c>
      <c r="D1466" s="1" t="s">
        <v>2983</v>
      </c>
      <c r="E1466" s="4">
        <v>1013654.0</v>
      </c>
      <c r="F1466" s="2" t="s">
        <v>36</v>
      </c>
      <c r="G1466" s="2" t="s">
        <v>1</v>
      </c>
      <c r="H1466" s="2" t="s">
        <v>53</v>
      </c>
      <c r="I1466" s="2" t="s">
        <v>15</v>
      </c>
      <c r="J1466" s="2" t="s">
        <v>15</v>
      </c>
    </row>
    <row r="1467" ht="15.75" customHeight="1">
      <c r="A1467" s="1" t="s">
        <v>2987</v>
      </c>
      <c r="B1467" s="1" t="s">
        <v>2988</v>
      </c>
      <c r="C1467" s="1" t="s">
        <v>12</v>
      </c>
      <c r="D1467" s="1" t="s">
        <v>2983</v>
      </c>
      <c r="E1467" s="4">
        <v>1013654.0</v>
      </c>
      <c r="F1467" s="2">
        <v>1.0</v>
      </c>
      <c r="G1467" s="2" t="s">
        <v>1</v>
      </c>
      <c r="H1467" s="2" t="s">
        <v>14</v>
      </c>
      <c r="I1467" s="5" t="str">
        <f>IFERROR(
  MID(
    SUBSTITUTE(B1467, CHAR(10), ""),
    FIND("_Gross ROI=", SUBSTITUTE(B1467, CHAR(10), "")) + LEN("_Gross ROI="),
    FIND("%", SUBSTITUTE(B1467, CHAR(10), ""), FIND("_Gross ROI=", SUBSTITUTE(B1467, CHAR(10), "")))
      - FIND("_Gross ROI=", SUBSTITUTE(B1467, CHAR(10), "")) - LEN("_Gross ROI=") + 1
  ),
  ""
)</f>
        <v>6.49%</v>
      </c>
      <c r="J1467" s="5" t="str">
        <f>IFERROR(
  MID(
    SUBSTITUTE(B1467, CHAR(10), ""),
    FIND("_Median annual rent=", SUBSTITUTE(B1467, CHAR(10), "")) + LEN("_Median annual rent="),
    FIND("K", SUBSTITUTE(B1467, CHAR(10), ""), FIND("_Median annual rent=", SUBSTITUTE(B1467, CHAR(10), "")))
      - FIND("_Median annual rent=", SUBSTITUTE(B1467, CHAR(10), "")) - LEN("_Median annual rent=") + 1
  ),
  "")</f>
        <v>120K</v>
      </c>
    </row>
    <row r="1468" ht="15.75" customHeight="1">
      <c r="A1468" s="1" t="s">
        <v>2989</v>
      </c>
      <c r="B1468" s="1" t="s">
        <v>2990</v>
      </c>
      <c r="C1468" s="1" t="s">
        <v>12</v>
      </c>
      <c r="D1468" s="1" t="s">
        <v>2983</v>
      </c>
      <c r="E1468" s="4">
        <v>1013654.0</v>
      </c>
      <c r="F1468" s="2">
        <v>1.0</v>
      </c>
      <c r="G1468" s="2" t="s">
        <v>1</v>
      </c>
      <c r="H1468" s="2" t="s">
        <v>18</v>
      </c>
      <c r="I1468" s="2" t="s">
        <v>15</v>
      </c>
      <c r="J1468" s="2" t="s">
        <v>15</v>
      </c>
    </row>
    <row r="1469" ht="15.75" customHeight="1">
      <c r="A1469" s="1" t="s">
        <v>2991</v>
      </c>
      <c r="B1469" s="1" t="s">
        <v>2960</v>
      </c>
      <c r="C1469" s="1" t="s">
        <v>12</v>
      </c>
      <c r="D1469" s="1" t="s">
        <v>2983</v>
      </c>
      <c r="E1469" s="4">
        <v>1013654.0</v>
      </c>
      <c r="F1469" s="2">
        <v>1.0</v>
      </c>
      <c r="G1469" s="2" t="s">
        <v>1</v>
      </c>
      <c r="H1469" s="2" t="s">
        <v>53</v>
      </c>
      <c r="I1469" s="2" t="s">
        <v>15</v>
      </c>
      <c r="J1469" s="2" t="s">
        <v>15</v>
      </c>
    </row>
    <row r="1470" ht="15.75" customHeight="1">
      <c r="A1470" s="1" t="s">
        <v>2992</v>
      </c>
      <c r="B1470" s="1" t="s">
        <v>2993</v>
      </c>
      <c r="C1470" s="1" t="s">
        <v>12</v>
      </c>
      <c r="D1470" s="1" t="s">
        <v>2983</v>
      </c>
      <c r="E1470" s="4">
        <v>1013654.0</v>
      </c>
      <c r="F1470" s="2">
        <v>2.0</v>
      </c>
      <c r="G1470" s="2" t="s">
        <v>1</v>
      </c>
      <c r="H1470" s="2" t="s">
        <v>14</v>
      </c>
      <c r="I1470" s="5" t="str">
        <f>IFERROR(
  MID(
    SUBSTITUTE(B1470, CHAR(10), ""),
    FIND("_Gross ROI=", SUBSTITUTE(B1470, CHAR(10), "")) + LEN("_Gross ROI="),
    FIND("%", SUBSTITUTE(B1470, CHAR(10), ""), FIND("_Gross ROI=", SUBSTITUTE(B1470, CHAR(10), "")))
      - FIND("_Gross ROI=", SUBSTITUTE(B1470, CHAR(10), "")) - LEN("_Gross ROI=") + 1
  ),
  ""
)</f>
        <v>6.06%</v>
      </c>
      <c r="J1470" s="5" t="str">
        <f>IFERROR(
  MID(
    SUBSTITUTE(B1470, CHAR(10), ""),
    FIND("_Median annual rent=", SUBSTITUTE(B1470, CHAR(10), "")) + LEN("_Median annual rent="),
    FIND("K", SUBSTITUTE(B1470, CHAR(10), ""), FIND("_Median annual rent=", SUBSTITUTE(B1470, CHAR(10), "")))
      - FIND("_Median annual rent=", SUBSTITUTE(B1470, CHAR(10), "")) - LEN("_Median annual rent=") + 1
  ),
  "")</f>
        <v>163.5K</v>
      </c>
    </row>
    <row r="1471" ht="15.75" customHeight="1">
      <c r="A1471" s="1" t="s">
        <v>2994</v>
      </c>
      <c r="B1471" s="1" t="s">
        <v>2995</v>
      </c>
      <c r="C1471" s="1" t="s">
        <v>12</v>
      </c>
      <c r="D1471" s="1" t="s">
        <v>2983</v>
      </c>
      <c r="E1471" s="4">
        <v>1013654.0</v>
      </c>
      <c r="F1471" s="2">
        <v>2.0</v>
      </c>
      <c r="G1471" s="2" t="s">
        <v>1</v>
      </c>
      <c r="H1471" s="2" t="s">
        <v>18</v>
      </c>
      <c r="I1471" s="2" t="s">
        <v>15</v>
      </c>
      <c r="J1471" s="2" t="s">
        <v>15</v>
      </c>
    </row>
    <row r="1472" ht="15.75" customHeight="1">
      <c r="A1472" s="1" t="s">
        <v>2996</v>
      </c>
      <c r="B1472" s="1" t="s">
        <v>2966</v>
      </c>
      <c r="C1472" s="1" t="s">
        <v>12</v>
      </c>
      <c r="D1472" s="1" t="s">
        <v>2983</v>
      </c>
      <c r="E1472" s="4">
        <v>1013654.0</v>
      </c>
      <c r="F1472" s="2">
        <v>2.0</v>
      </c>
      <c r="G1472" s="2" t="s">
        <v>1</v>
      </c>
      <c r="H1472" s="2" t="s">
        <v>53</v>
      </c>
      <c r="I1472" s="2" t="s">
        <v>15</v>
      </c>
      <c r="J1472" s="2" t="s">
        <v>15</v>
      </c>
    </row>
    <row r="1473" ht="15.75" customHeight="1">
      <c r="A1473" s="1" t="s">
        <v>2997</v>
      </c>
      <c r="B1473" s="1" t="s">
        <v>2998</v>
      </c>
      <c r="C1473" s="1" t="s">
        <v>12</v>
      </c>
      <c r="D1473" s="1" t="s">
        <v>2983</v>
      </c>
      <c r="E1473" s="4">
        <v>1013654.0</v>
      </c>
      <c r="F1473" s="2">
        <v>3.0</v>
      </c>
      <c r="G1473" s="2" t="s">
        <v>1</v>
      </c>
      <c r="H1473" s="2" t="s">
        <v>14</v>
      </c>
      <c r="I1473" s="2" t="s">
        <v>15</v>
      </c>
      <c r="J1473" s="2" t="s">
        <v>15</v>
      </c>
    </row>
    <row r="1474" ht="15.75" customHeight="1">
      <c r="A1474" s="1" t="s">
        <v>2999</v>
      </c>
      <c r="B1474" s="1" t="s">
        <v>3000</v>
      </c>
      <c r="C1474" s="1" t="s">
        <v>12</v>
      </c>
      <c r="D1474" s="1" t="s">
        <v>2983</v>
      </c>
      <c r="E1474" s="4">
        <v>1013654.0</v>
      </c>
      <c r="F1474" s="2">
        <v>3.0</v>
      </c>
      <c r="G1474" s="2" t="s">
        <v>1</v>
      </c>
      <c r="H1474" s="2" t="s">
        <v>18</v>
      </c>
      <c r="I1474" s="2" t="s">
        <v>15</v>
      </c>
      <c r="J1474" s="2" t="s">
        <v>15</v>
      </c>
    </row>
    <row r="1475" ht="15.75" customHeight="1">
      <c r="A1475" s="1" t="s">
        <v>3001</v>
      </c>
      <c r="B1475" s="1" t="s">
        <v>2972</v>
      </c>
      <c r="C1475" s="1" t="s">
        <v>12</v>
      </c>
      <c r="D1475" s="1" t="s">
        <v>2983</v>
      </c>
      <c r="E1475" s="4">
        <v>1013654.0</v>
      </c>
      <c r="F1475" s="2">
        <v>3.0</v>
      </c>
      <c r="G1475" s="2" t="s">
        <v>1</v>
      </c>
      <c r="H1475" s="2" t="s">
        <v>53</v>
      </c>
      <c r="I1475" s="2" t="s">
        <v>15</v>
      </c>
      <c r="J1475" s="2" t="s">
        <v>15</v>
      </c>
    </row>
    <row r="1476" ht="15.75" customHeight="1">
      <c r="A1476" s="1" t="s">
        <v>3002</v>
      </c>
      <c r="B1476" s="1" t="s">
        <v>2974</v>
      </c>
      <c r="C1476" s="1" t="s">
        <v>12</v>
      </c>
      <c r="D1476" s="1" t="s">
        <v>2983</v>
      </c>
      <c r="E1476" s="4">
        <v>1013654.0</v>
      </c>
      <c r="F1476" s="2" t="s">
        <v>15</v>
      </c>
      <c r="G1476" s="2" t="s">
        <v>1</v>
      </c>
      <c r="H1476" s="2" t="s">
        <v>53</v>
      </c>
      <c r="I1476" s="2" t="s">
        <v>15</v>
      </c>
      <c r="J1476" s="2" t="s">
        <v>15</v>
      </c>
    </row>
    <row r="1477" ht="15.75" customHeight="1">
      <c r="A1477" s="1" t="s">
        <v>3003</v>
      </c>
      <c r="B1477" s="1" t="s">
        <v>2976</v>
      </c>
      <c r="C1477" s="1" t="s">
        <v>12</v>
      </c>
      <c r="D1477" s="1" t="s">
        <v>2983</v>
      </c>
      <c r="E1477" s="4">
        <v>1013654.0</v>
      </c>
      <c r="F1477" s="2" t="s">
        <v>30</v>
      </c>
      <c r="G1477" s="2" t="s">
        <v>1</v>
      </c>
      <c r="H1477" s="2" t="s">
        <v>53</v>
      </c>
      <c r="I1477" s="2" t="s">
        <v>15</v>
      </c>
      <c r="J1477" s="2" t="s">
        <v>15</v>
      </c>
    </row>
    <row r="1478" ht="15.75" customHeight="1">
      <c r="A1478" s="1" t="s">
        <v>3004</v>
      </c>
      <c r="B1478" s="1" t="s">
        <v>3005</v>
      </c>
      <c r="C1478" s="1" t="s">
        <v>12</v>
      </c>
      <c r="D1478" s="1" t="s">
        <v>2983</v>
      </c>
      <c r="E1478" s="4">
        <v>1013654.0</v>
      </c>
      <c r="F1478" s="2" t="s">
        <v>30</v>
      </c>
      <c r="G1478" s="2" t="s">
        <v>1</v>
      </c>
      <c r="H1478" s="2" t="s">
        <v>14</v>
      </c>
      <c r="I1478" s="2" t="s">
        <v>15</v>
      </c>
      <c r="J1478" s="2" t="s">
        <v>15</v>
      </c>
    </row>
    <row r="1479" ht="15.75" customHeight="1">
      <c r="A1479" s="1" t="s">
        <v>3006</v>
      </c>
      <c r="B1479" s="1" t="s">
        <v>3007</v>
      </c>
      <c r="C1479" s="1" t="s">
        <v>12</v>
      </c>
      <c r="D1479" s="1" t="s">
        <v>2983</v>
      </c>
      <c r="E1479" s="4">
        <v>1013654.0</v>
      </c>
      <c r="F1479" s="2" t="s">
        <v>15</v>
      </c>
      <c r="G1479" s="2" t="s">
        <v>33</v>
      </c>
      <c r="H1479" s="2" t="s">
        <v>15</v>
      </c>
      <c r="I1479" s="2" t="s">
        <v>15</v>
      </c>
      <c r="J1479" s="2" t="s">
        <v>15</v>
      </c>
    </row>
    <row r="1480" ht="15.75" customHeight="1">
      <c r="A1480" s="1" t="s">
        <v>3008</v>
      </c>
      <c r="B1480" s="3" t="s">
        <v>3009</v>
      </c>
      <c r="C1480" s="1" t="s">
        <v>12</v>
      </c>
      <c r="D1480" s="1" t="s">
        <v>3010</v>
      </c>
      <c r="E1480" s="4">
        <v>1013718.0</v>
      </c>
      <c r="F1480" s="2" t="s">
        <v>36</v>
      </c>
      <c r="G1480" s="2" t="s">
        <v>1</v>
      </c>
      <c r="H1480" s="2" t="s">
        <v>14</v>
      </c>
      <c r="I1480" s="5" t="str">
        <f>IFERROR(
  MID(
    SUBSTITUTE(B1480, CHAR(10), ""),
    FIND("_Gross ROI=", SUBSTITUTE(B1480, CHAR(10), "")) + LEN("_Gross ROI="),
    FIND("%", SUBSTITUTE(B1480, CHAR(10), ""), FIND("_Gross ROI=", SUBSTITUTE(B1480, CHAR(10), "")))
      - FIND("_Gross ROI=", SUBSTITUTE(B1480, CHAR(10), "")) - LEN("_Gross ROI=") + 1
  ),
  ""
)</f>
        <v>6.65%</v>
      </c>
      <c r="J1480" s="5" t="str">
        <f>IFERROR(
  MID(
    SUBSTITUTE(B1480, CHAR(10), ""),
    FIND("_Median annual rent=", SUBSTITUTE(B1480, CHAR(10), "")) + LEN("_Median annual rent="),
    FIND("K", SUBSTITUTE(B1480, CHAR(10), ""), FIND("_Median annual rent=", SUBSTITUTE(B1480, CHAR(10), "")))
      - FIND("_Median annual rent=", SUBSTITUTE(B1480, CHAR(10), "")) - LEN("_Median annual rent=") + 1
  ),
  "")</f>
        <v>80K</v>
      </c>
    </row>
    <row r="1481" ht="15.75" customHeight="1">
      <c r="A1481" s="1" t="s">
        <v>3011</v>
      </c>
      <c r="B1481" s="1" t="s">
        <v>3012</v>
      </c>
      <c r="C1481" s="1" t="s">
        <v>12</v>
      </c>
      <c r="D1481" s="1" t="s">
        <v>3010</v>
      </c>
      <c r="E1481" s="4">
        <v>1013718.0</v>
      </c>
      <c r="F1481" s="2" t="s">
        <v>36</v>
      </c>
      <c r="G1481" s="2" t="s">
        <v>1</v>
      </c>
      <c r="H1481" s="2" t="s">
        <v>18</v>
      </c>
      <c r="I1481" s="2" t="s">
        <v>15</v>
      </c>
      <c r="J1481" s="2" t="s">
        <v>15</v>
      </c>
    </row>
    <row r="1482" ht="15.75" customHeight="1">
      <c r="A1482" s="1" t="s">
        <v>3013</v>
      </c>
      <c r="B1482" s="1" t="s">
        <v>2954</v>
      </c>
      <c r="C1482" s="1" t="s">
        <v>12</v>
      </c>
      <c r="D1482" s="1" t="s">
        <v>3010</v>
      </c>
      <c r="E1482" s="4">
        <v>1013718.0</v>
      </c>
      <c r="F1482" s="2" t="s">
        <v>36</v>
      </c>
      <c r="G1482" s="2" t="s">
        <v>1</v>
      </c>
      <c r="H1482" s="2" t="s">
        <v>53</v>
      </c>
      <c r="I1482" s="2" t="s">
        <v>15</v>
      </c>
      <c r="J1482" s="2" t="s">
        <v>15</v>
      </c>
    </row>
    <row r="1483" ht="15.75" customHeight="1">
      <c r="A1483" s="1" t="s">
        <v>3014</v>
      </c>
      <c r="B1483" s="6" t="s">
        <v>3015</v>
      </c>
      <c r="C1483" s="1" t="s">
        <v>12</v>
      </c>
      <c r="D1483" s="1" t="s">
        <v>3010</v>
      </c>
      <c r="E1483" s="4">
        <v>1013718.0</v>
      </c>
      <c r="F1483" s="2">
        <v>1.0</v>
      </c>
      <c r="G1483" s="2" t="s">
        <v>1</v>
      </c>
      <c r="H1483" s="2" t="s">
        <v>14</v>
      </c>
      <c r="I1483" s="5" t="str">
        <f>IFERROR(
  MID(
    SUBSTITUTE(B1483, CHAR(10), ""),
    FIND("_Gross ROI=", SUBSTITUTE(B1483, CHAR(10), "")) + LEN("_Gross ROI="),
    FIND("%", SUBSTITUTE(B1483, CHAR(10), ""), FIND("_Gross ROI=", SUBSTITUTE(B1483, CHAR(10), "")))
      - FIND("_Gross ROI=", SUBSTITUTE(B1483, CHAR(10), "")) - LEN("_Gross ROI=") + 1
  ),
  ""
)</f>
        <v>6.37%</v>
      </c>
      <c r="J1483" s="5" t="str">
        <f>IFERROR(
  MID(
    SUBSTITUTE(B1483, CHAR(10), ""),
    FIND("_Median annual rent=", SUBSTITUTE(B1483, CHAR(10), "")) + LEN("_Median annual rent="),
    FIND("K", SUBSTITUTE(B1483, CHAR(10), ""), FIND("_Median annual rent=", SUBSTITUTE(B1483, CHAR(10), "")))
      - FIND("_Median annual rent=", SUBSTITUTE(B1483, CHAR(10), "")) - LEN("_Median annual rent=") + 1
  ),
  "")</f>
        <v>120K</v>
      </c>
    </row>
    <row r="1484" ht="15.75" customHeight="1">
      <c r="A1484" s="1" t="s">
        <v>3016</v>
      </c>
      <c r="B1484" s="1" t="s">
        <v>3017</v>
      </c>
      <c r="C1484" s="1" t="s">
        <v>12</v>
      </c>
      <c r="D1484" s="1" t="s">
        <v>3010</v>
      </c>
      <c r="E1484" s="4">
        <v>1013718.0</v>
      </c>
      <c r="F1484" s="2">
        <v>1.0</v>
      </c>
      <c r="G1484" s="2" t="s">
        <v>1</v>
      </c>
      <c r="H1484" s="2" t="s">
        <v>18</v>
      </c>
      <c r="I1484" s="2" t="s">
        <v>15</v>
      </c>
      <c r="J1484" s="2" t="s">
        <v>15</v>
      </c>
    </row>
    <row r="1485" ht="15.75" customHeight="1">
      <c r="A1485" s="1" t="s">
        <v>3018</v>
      </c>
      <c r="B1485" s="1" t="s">
        <v>2960</v>
      </c>
      <c r="C1485" s="1" t="s">
        <v>12</v>
      </c>
      <c r="D1485" s="1" t="s">
        <v>3010</v>
      </c>
      <c r="E1485" s="4">
        <v>1013718.0</v>
      </c>
      <c r="F1485" s="2">
        <v>1.0</v>
      </c>
      <c r="G1485" s="2" t="s">
        <v>1</v>
      </c>
      <c r="H1485" s="2" t="s">
        <v>53</v>
      </c>
      <c r="I1485" s="2" t="s">
        <v>15</v>
      </c>
      <c r="J1485" s="2" t="s">
        <v>15</v>
      </c>
    </row>
    <row r="1486" ht="15.75" customHeight="1">
      <c r="A1486" s="1" t="s">
        <v>3019</v>
      </c>
      <c r="B1486" s="6" t="s">
        <v>3020</v>
      </c>
      <c r="C1486" s="1" t="s">
        <v>12</v>
      </c>
      <c r="D1486" s="1" t="s">
        <v>3010</v>
      </c>
      <c r="E1486" s="4">
        <v>1013718.0</v>
      </c>
      <c r="F1486" s="2">
        <v>2.0</v>
      </c>
      <c r="G1486" s="2" t="s">
        <v>1</v>
      </c>
      <c r="H1486" s="2" t="s">
        <v>14</v>
      </c>
      <c r="I1486" s="5" t="str">
        <f>IFERROR(
  MID(
    SUBSTITUTE(B1486, CHAR(10), ""),
    FIND("_Gross ROI=", SUBSTITUTE(B1486, CHAR(10), "")) + LEN("_Gross ROI="),
    FIND("%", SUBSTITUTE(B1486, CHAR(10), ""), FIND("_Gross ROI=", SUBSTITUTE(B1486, CHAR(10), "")))
      - FIND("_Gross ROI=", SUBSTITUTE(B1486, CHAR(10), "")) - LEN("_Gross ROI=") + 1
  ),
  ""
)</f>
        <v>5.68%</v>
      </c>
      <c r="J1486" s="5" t="str">
        <f>IFERROR(
  MID(
    SUBSTITUTE(B1486, CHAR(10), ""),
    FIND("_Median annual rent=", SUBSTITUTE(B1486, CHAR(10), "")) + LEN("_Median annual rent="),
    FIND("K", SUBSTITUTE(B1486, CHAR(10), ""), FIND("_Median annual rent=", SUBSTITUTE(B1486, CHAR(10), "")))
      - FIND("_Median annual rent=", SUBSTITUTE(B1486, CHAR(10), "")) - LEN("_Median annual rent=") + 1
  ),
  "")</f>
        <v>163.5K</v>
      </c>
    </row>
    <row r="1487" ht="15.75" customHeight="1">
      <c r="A1487" s="1" t="s">
        <v>3021</v>
      </c>
      <c r="B1487" s="1" t="s">
        <v>3022</v>
      </c>
      <c r="C1487" s="1" t="s">
        <v>12</v>
      </c>
      <c r="D1487" s="1" t="s">
        <v>3010</v>
      </c>
      <c r="E1487" s="4">
        <v>1013718.0</v>
      </c>
      <c r="F1487" s="2">
        <v>2.0</v>
      </c>
      <c r="G1487" s="2" t="s">
        <v>1</v>
      </c>
      <c r="H1487" s="2" t="s">
        <v>18</v>
      </c>
      <c r="I1487" s="2" t="s">
        <v>15</v>
      </c>
      <c r="J1487" s="2" t="s">
        <v>15</v>
      </c>
    </row>
    <row r="1488" ht="15.75" customHeight="1">
      <c r="A1488" s="1" t="s">
        <v>3023</v>
      </c>
      <c r="B1488" s="1" t="s">
        <v>2966</v>
      </c>
      <c r="C1488" s="1" t="s">
        <v>12</v>
      </c>
      <c r="D1488" s="1" t="s">
        <v>3010</v>
      </c>
      <c r="E1488" s="4">
        <v>1013718.0</v>
      </c>
      <c r="F1488" s="2">
        <v>2.0</v>
      </c>
      <c r="G1488" s="2" t="s">
        <v>1</v>
      </c>
      <c r="H1488" s="2" t="s">
        <v>53</v>
      </c>
      <c r="I1488" s="2" t="s">
        <v>15</v>
      </c>
      <c r="J1488" s="2" t="s">
        <v>15</v>
      </c>
    </row>
    <row r="1489" ht="15.75" customHeight="1">
      <c r="A1489" s="1" t="s">
        <v>3024</v>
      </c>
      <c r="B1489" s="6" t="s">
        <v>3025</v>
      </c>
      <c r="C1489" s="1" t="s">
        <v>12</v>
      </c>
      <c r="D1489" s="1" t="s">
        <v>3010</v>
      </c>
      <c r="E1489" s="4">
        <v>1013718.0</v>
      </c>
      <c r="F1489" s="2">
        <v>3.0</v>
      </c>
      <c r="G1489" s="2" t="s">
        <v>1</v>
      </c>
      <c r="H1489" s="2" t="s">
        <v>14</v>
      </c>
      <c r="I1489" s="2" t="s">
        <v>15</v>
      </c>
      <c r="J1489" s="2" t="s">
        <v>15</v>
      </c>
    </row>
    <row r="1490" ht="15.75" customHeight="1">
      <c r="A1490" s="1" t="s">
        <v>3026</v>
      </c>
      <c r="B1490" s="1" t="s">
        <v>3027</v>
      </c>
      <c r="C1490" s="1" t="s">
        <v>12</v>
      </c>
      <c r="D1490" s="1" t="s">
        <v>3010</v>
      </c>
      <c r="E1490" s="4">
        <v>1013718.0</v>
      </c>
      <c r="F1490" s="2">
        <v>3.0</v>
      </c>
      <c r="G1490" s="2" t="s">
        <v>1</v>
      </c>
      <c r="H1490" s="2" t="s">
        <v>18</v>
      </c>
      <c r="I1490" s="2" t="s">
        <v>15</v>
      </c>
      <c r="J1490" s="2" t="s">
        <v>15</v>
      </c>
    </row>
    <row r="1491" ht="15.75" customHeight="1">
      <c r="A1491" s="1" t="s">
        <v>3028</v>
      </c>
      <c r="B1491" s="1" t="s">
        <v>2972</v>
      </c>
      <c r="C1491" s="1" t="s">
        <v>12</v>
      </c>
      <c r="D1491" s="1" t="s">
        <v>3010</v>
      </c>
      <c r="E1491" s="4">
        <v>1013718.0</v>
      </c>
      <c r="F1491" s="2">
        <v>3.0</v>
      </c>
      <c r="G1491" s="2" t="s">
        <v>1</v>
      </c>
      <c r="H1491" s="2" t="s">
        <v>53</v>
      </c>
      <c r="I1491" s="2" t="s">
        <v>15</v>
      </c>
      <c r="J1491" s="2" t="s">
        <v>15</v>
      </c>
    </row>
    <row r="1492" ht="15.75" customHeight="1">
      <c r="A1492" s="1" t="s">
        <v>3029</v>
      </c>
      <c r="B1492" s="1" t="s">
        <v>2974</v>
      </c>
      <c r="C1492" s="1" t="s">
        <v>12</v>
      </c>
      <c r="D1492" s="1" t="s">
        <v>3010</v>
      </c>
      <c r="E1492" s="4">
        <v>1013718.0</v>
      </c>
      <c r="F1492" s="2" t="s">
        <v>15</v>
      </c>
      <c r="G1492" s="2" t="s">
        <v>1</v>
      </c>
      <c r="H1492" s="2" t="s">
        <v>53</v>
      </c>
      <c r="I1492" s="2" t="s">
        <v>15</v>
      </c>
      <c r="J1492" s="2" t="s">
        <v>15</v>
      </c>
    </row>
    <row r="1493" ht="15.75" customHeight="1">
      <c r="A1493" s="1" t="s">
        <v>3030</v>
      </c>
      <c r="B1493" s="1" t="s">
        <v>2976</v>
      </c>
      <c r="C1493" s="1" t="s">
        <v>12</v>
      </c>
      <c r="D1493" s="1" t="s">
        <v>3010</v>
      </c>
      <c r="E1493" s="4">
        <v>1013718.0</v>
      </c>
      <c r="F1493" s="2" t="s">
        <v>30</v>
      </c>
      <c r="G1493" s="2" t="s">
        <v>1</v>
      </c>
      <c r="H1493" s="2" t="s">
        <v>53</v>
      </c>
      <c r="I1493" s="2" t="s">
        <v>15</v>
      </c>
      <c r="J1493" s="2" t="s">
        <v>15</v>
      </c>
    </row>
    <row r="1494" ht="15.75" customHeight="1">
      <c r="A1494" s="1" t="s">
        <v>3031</v>
      </c>
      <c r="B1494" s="1" t="s">
        <v>3032</v>
      </c>
      <c r="C1494" s="1" t="s">
        <v>12</v>
      </c>
      <c r="D1494" s="1" t="s">
        <v>3010</v>
      </c>
      <c r="E1494" s="4">
        <v>1013718.0</v>
      </c>
      <c r="F1494" s="2" t="s">
        <v>30</v>
      </c>
      <c r="G1494" s="2" t="s">
        <v>1</v>
      </c>
      <c r="H1494" s="2" t="s">
        <v>14</v>
      </c>
      <c r="I1494" s="2" t="s">
        <v>15</v>
      </c>
      <c r="J1494" s="2" t="s">
        <v>15</v>
      </c>
    </row>
    <row r="1495" ht="15.75" customHeight="1">
      <c r="A1495" s="1" t="s">
        <v>3033</v>
      </c>
      <c r="B1495" s="1" t="s">
        <v>3034</v>
      </c>
      <c r="C1495" s="1" t="s">
        <v>12</v>
      </c>
      <c r="D1495" s="1" t="s">
        <v>3010</v>
      </c>
      <c r="E1495" s="4">
        <v>1013718.0</v>
      </c>
      <c r="F1495" s="2" t="s">
        <v>15</v>
      </c>
      <c r="G1495" s="2" t="s">
        <v>33</v>
      </c>
      <c r="H1495" s="2" t="s">
        <v>15</v>
      </c>
      <c r="I1495" s="2" t="s">
        <v>15</v>
      </c>
      <c r="J1495" s="2" t="s">
        <v>15</v>
      </c>
    </row>
    <row r="1496" ht="15.75" customHeight="1">
      <c r="A1496" s="1" t="s">
        <v>3035</v>
      </c>
      <c r="B1496" s="1" t="s">
        <v>3036</v>
      </c>
      <c r="C1496" s="1" t="s">
        <v>12</v>
      </c>
      <c r="D1496" s="1" t="s">
        <v>3037</v>
      </c>
      <c r="E1496" s="4">
        <v>1013782.0</v>
      </c>
      <c r="F1496" s="2">
        <v>4.0</v>
      </c>
      <c r="G1496" s="2" t="s">
        <v>1</v>
      </c>
      <c r="H1496" s="2" t="s">
        <v>14</v>
      </c>
      <c r="I1496" s="2" t="s">
        <v>15</v>
      </c>
      <c r="J1496" s="2" t="s">
        <v>15</v>
      </c>
    </row>
    <row r="1497" ht="15.75" customHeight="1">
      <c r="A1497" s="1" t="s">
        <v>3038</v>
      </c>
      <c r="B1497" s="1" t="s">
        <v>3039</v>
      </c>
      <c r="C1497" s="1" t="s">
        <v>12</v>
      </c>
      <c r="D1497" s="1" t="s">
        <v>3037</v>
      </c>
      <c r="E1497" s="4">
        <v>1013782.0</v>
      </c>
      <c r="F1497" s="2">
        <v>4.0</v>
      </c>
      <c r="G1497" s="2" t="s">
        <v>1</v>
      </c>
      <c r="H1497" s="2" t="s">
        <v>18</v>
      </c>
      <c r="I1497" s="2" t="s">
        <v>15</v>
      </c>
      <c r="J1497" s="2" t="s">
        <v>15</v>
      </c>
    </row>
    <row r="1498" ht="15.75" customHeight="1">
      <c r="A1498" s="1" t="s">
        <v>3040</v>
      </c>
      <c r="B1498" s="1" t="s">
        <v>3041</v>
      </c>
      <c r="C1498" s="1" t="s">
        <v>12</v>
      </c>
      <c r="D1498" s="1" t="s">
        <v>3037</v>
      </c>
      <c r="E1498" s="4">
        <v>1013782.0</v>
      </c>
      <c r="F1498" s="2">
        <v>4.0</v>
      </c>
      <c r="G1498" s="2" t="s">
        <v>1</v>
      </c>
      <c r="H1498" s="2" t="s">
        <v>53</v>
      </c>
      <c r="I1498" s="2" t="s">
        <v>15</v>
      </c>
      <c r="J1498" s="2" t="s">
        <v>15</v>
      </c>
    </row>
    <row r="1499" ht="15.75" customHeight="1">
      <c r="A1499" s="1" t="s">
        <v>3042</v>
      </c>
      <c r="B1499" s="1" t="s">
        <v>3043</v>
      </c>
      <c r="C1499" s="1" t="s">
        <v>12</v>
      </c>
      <c r="D1499" s="1" t="s">
        <v>3037</v>
      </c>
      <c r="E1499" s="4">
        <v>1013782.0</v>
      </c>
      <c r="F1499" s="2">
        <v>4.0</v>
      </c>
      <c r="G1499" s="2" t="s">
        <v>1</v>
      </c>
      <c r="H1499" s="2" t="s">
        <v>21</v>
      </c>
      <c r="I1499" s="2" t="s">
        <v>15</v>
      </c>
      <c r="J1499" s="2" t="s">
        <v>15</v>
      </c>
    </row>
    <row r="1500" ht="15.75" customHeight="1">
      <c r="A1500" s="1" t="s">
        <v>3044</v>
      </c>
      <c r="B1500" s="1" t="s">
        <v>3045</v>
      </c>
      <c r="C1500" s="1" t="s">
        <v>12</v>
      </c>
      <c r="D1500" s="1" t="s">
        <v>3037</v>
      </c>
      <c r="E1500" s="4">
        <v>1013782.0</v>
      </c>
      <c r="F1500" s="2">
        <v>5.0</v>
      </c>
      <c r="G1500" s="2" t="s">
        <v>1</v>
      </c>
      <c r="H1500" s="2" t="s">
        <v>14</v>
      </c>
      <c r="I1500" s="2" t="s">
        <v>15</v>
      </c>
      <c r="J1500" s="2" t="s">
        <v>15</v>
      </c>
    </row>
    <row r="1501" ht="15.75" customHeight="1">
      <c r="A1501" s="1" t="s">
        <v>3046</v>
      </c>
      <c r="B1501" s="1" t="s">
        <v>3047</v>
      </c>
      <c r="C1501" s="1" t="s">
        <v>12</v>
      </c>
      <c r="D1501" s="1" t="s">
        <v>3037</v>
      </c>
      <c r="E1501" s="4">
        <v>1013782.0</v>
      </c>
      <c r="F1501" s="2">
        <v>5.0</v>
      </c>
      <c r="G1501" s="2" t="s">
        <v>1</v>
      </c>
      <c r="H1501" s="2" t="s">
        <v>18</v>
      </c>
      <c r="I1501" s="2" t="s">
        <v>15</v>
      </c>
      <c r="J1501" s="2" t="s">
        <v>15</v>
      </c>
    </row>
    <row r="1502" ht="15.75" customHeight="1">
      <c r="A1502" s="1" t="s">
        <v>3048</v>
      </c>
      <c r="B1502" s="1" t="s">
        <v>3049</v>
      </c>
      <c r="C1502" s="1" t="s">
        <v>12</v>
      </c>
      <c r="D1502" s="1" t="s">
        <v>3037</v>
      </c>
      <c r="E1502" s="4">
        <v>1013782.0</v>
      </c>
      <c r="F1502" s="2" t="s">
        <v>30</v>
      </c>
      <c r="G1502" s="2" t="s">
        <v>1</v>
      </c>
      <c r="H1502" s="2" t="s">
        <v>53</v>
      </c>
      <c r="I1502" s="2" t="s">
        <v>15</v>
      </c>
      <c r="J1502" s="2" t="s">
        <v>15</v>
      </c>
    </row>
    <row r="1503" ht="15.75" customHeight="1">
      <c r="A1503" s="1" t="s">
        <v>3050</v>
      </c>
      <c r="B1503" s="1" t="s">
        <v>3051</v>
      </c>
      <c r="C1503" s="1" t="s">
        <v>12</v>
      </c>
      <c r="D1503" s="1" t="s">
        <v>3037</v>
      </c>
      <c r="E1503" s="4">
        <v>1013782.0</v>
      </c>
      <c r="F1503" s="2" t="s">
        <v>30</v>
      </c>
      <c r="G1503" s="2" t="s">
        <v>1</v>
      </c>
      <c r="H1503" s="2" t="s">
        <v>14</v>
      </c>
      <c r="I1503" s="2" t="s">
        <v>15</v>
      </c>
      <c r="J1503" s="2" t="s">
        <v>15</v>
      </c>
    </row>
    <row r="1504" ht="15.75" customHeight="1">
      <c r="A1504" s="1" t="s">
        <v>3052</v>
      </c>
      <c r="B1504" s="1" t="s">
        <v>3053</v>
      </c>
      <c r="C1504" s="1" t="s">
        <v>12</v>
      </c>
      <c r="D1504" s="1" t="s">
        <v>3037</v>
      </c>
      <c r="E1504" s="4">
        <v>1013782.0</v>
      </c>
      <c r="F1504" s="2" t="s">
        <v>15</v>
      </c>
      <c r="G1504" s="2" t="s">
        <v>33</v>
      </c>
      <c r="H1504" s="2" t="s">
        <v>15</v>
      </c>
      <c r="I1504" s="2" t="s">
        <v>15</v>
      </c>
      <c r="J1504" s="2" t="s">
        <v>15</v>
      </c>
    </row>
    <row r="1505" ht="15.75" customHeight="1">
      <c r="A1505" s="1" t="s">
        <v>3054</v>
      </c>
      <c r="B1505" s="1" t="s">
        <v>3055</v>
      </c>
      <c r="C1505" s="1" t="s">
        <v>12</v>
      </c>
      <c r="D1505" s="1" t="s">
        <v>3037</v>
      </c>
      <c r="E1505" s="4">
        <v>1013782.0</v>
      </c>
      <c r="F1505" s="2">
        <v>4.0</v>
      </c>
      <c r="G1505" s="2" t="s">
        <v>1</v>
      </c>
      <c r="H1505" s="2" t="s">
        <v>37</v>
      </c>
      <c r="I1505" s="2" t="s">
        <v>15</v>
      </c>
      <c r="J1505" s="2" t="s">
        <v>15</v>
      </c>
    </row>
    <row r="1506" ht="15.75" customHeight="1">
      <c r="A1506" s="1" t="s">
        <v>3056</v>
      </c>
      <c r="B1506" s="1" t="s">
        <v>3057</v>
      </c>
      <c r="C1506" s="1" t="s">
        <v>12</v>
      </c>
      <c r="D1506" s="1" t="s">
        <v>3037</v>
      </c>
      <c r="E1506" s="4">
        <v>1013782.0</v>
      </c>
      <c r="F1506" s="2" t="s">
        <v>30</v>
      </c>
      <c r="G1506" s="2" t="s">
        <v>1</v>
      </c>
      <c r="H1506" s="2" t="s">
        <v>37</v>
      </c>
      <c r="I1506" s="2" t="s">
        <v>15</v>
      </c>
      <c r="J1506" s="2" t="s">
        <v>15</v>
      </c>
    </row>
    <row r="1507" ht="15.75" customHeight="1">
      <c r="A1507" s="1" t="s">
        <v>3058</v>
      </c>
      <c r="B1507" s="1" t="s">
        <v>3059</v>
      </c>
      <c r="C1507" s="1" t="s">
        <v>12</v>
      </c>
      <c r="D1507" s="1" t="s">
        <v>3060</v>
      </c>
      <c r="E1507" s="4">
        <v>1013846.0</v>
      </c>
      <c r="F1507" s="2">
        <v>1.0</v>
      </c>
      <c r="G1507" s="2" t="s">
        <v>1</v>
      </c>
      <c r="H1507" s="2" t="s">
        <v>14</v>
      </c>
      <c r="I1507" s="2" t="s">
        <v>15</v>
      </c>
      <c r="J1507" s="2" t="s">
        <v>15</v>
      </c>
    </row>
    <row r="1508" ht="15.75" customHeight="1">
      <c r="A1508" s="1" t="s">
        <v>3061</v>
      </c>
      <c r="B1508" s="1" t="s">
        <v>3062</v>
      </c>
      <c r="C1508" s="1" t="s">
        <v>12</v>
      </c>
      <c r="D1508" s="1" t="s">
        <v>3060</v>
      </c>
      <c r="E1508" s="4">
        <v>1013846.0</v>
      </c>
      <c r="F1508" s="2">
        <v>1.0</v>
      </c>
      <c r="G1508" s="2" t="s">
        <v>1</v>
      </c>
      <c r="H1508" s="2" t="s">
        <v>18</v>
      </c>
      <c r="I1508" s="2" t="s">
        <v>15</v>
      </c>
      <c r="J1508" s="2" t="s">
        <v>15</v>
      </c>
    </row>
    <row r="1509" ht="15.75" customHeight="1">
      <c r="A1509" s="1" t="s">
        <v>3063</v>
      </c>
      <c r="B1509" s="1" t="s">
        <v>3064</v>
      </c>
      <c r="C1509" s="1" t="s">
        <v>12</v>
      </c>
      <c r="D1509" s="1" t="s">
        <v>3060</v>
      </c>
      <c r="E1509" s="4">
        <v>1013846.0</v>
      </c>
      <c r="F1509" s="2">
        <v>2.0</v>
      </c>
      <c r="G1509" s="2" t="s">
        <v>1</v>
      </c>
      <c r="H1509" s="2" t="s">
        <v>14</v>
      </c>
      <c r="I1509" s="2" t="s">
        <v>15</v>
      </c>
      <c r="J1509" s="2" t="s">
        <v>15</v>
      </c>
    </row>
    <row r="1510" ht="15.75" customHeight="1">
      <c r="A1510" s="1" t="s">
        <v>3065</v>
      </c>
      <c r="B1510" s="1" t="s">
        <v>3066</v>
      </c>
      <c r="C1510" s="1" t="s">
        <v>12</v>
      </c>
      <c r="D1510" s="1" t="s">
        <v>3060</v>
      </c>
      <c r="E1510" s="4">
        <v>1013846.0</v>
      </c>
      <c r="F1510" s="2">
        <v>2.0</v>
      </c>
      <c r="G1510" s="2" t="s">
        <v>1</v>
      </c>
      <c r="H1510" s="2" t="s">
        <v>18</v>
      </c>
      <c r="I1510" s="2" t="s">
        <v>15</v>
      </c>
      <c r="J1510" s="2" t="s">
        <v>15</v>
      </c>
    </row>
    <row r="1511" ht="15.75" customHeight="1">
      <c r="A1511" s="1" t="s">
        <v>3067</v>
      </c>
      <c r="B1511" s="1" t="s">
        <v>3068</v>
      </c>
      <c r="C1511" s="1" t="s">
        <v>12</v>
      </c>
      <c r="D1511" s="1" t="s">
        <v>3060</v>
      </c>
      <c r="E1511" s="4">
        <v>1013846.0</v>
      </c>
      <c r="F1511" s="2">
        <v>3.0</v>
      </c>
      <c r="G1511" s="2" t="s">
        <v>1</v>
      </c>
      <c r="H1511" s="2" t="s">
        <v>14</v>
      </c>
      <c r="I1511" s="2" t="s">
        <v>15</v>
      </c>
      <c r="J1511" s="2" t="s">
        <v>15</v>
      </c>
    </row>
    <row r="1512" ht="15.75" customHeight="1">
      <c r="A1512" s="1" t="s">
        <v>3069</v>
      </c>
      <c r="B1512" s="1" t="s">
        <v>3070</v>
      </c>
      <c r="C1512" s="1" t="s">
        <v>12</v>
      </c>
      <c r="D1512" s="1" t="s">
        <v>3060</v>
      </c>
      <c r="E1512" s="4">
        <v>1013846.0</v>
      </c>
      <c r="F1512" s="2">
        <v>3.0</v>
      </c>
      <c r="G1512" s="2" t="s">
        <v>1</v>
      </c>
      <c r="H1512" s="2" t="s">
        <v>18</v>
      </c>
      <c r="I1512" s="2" t="s">
        <v>15</v>
      </c>
      <c r="J1512" s="2" t="s">
        <v>15</v>
      </c>
    </row>
    <row r="1513" ht="15.75" customHeight="1">
      <c r="A1513" s="1" t="s">
        <v>3071</v>
      </c>
      <c r="B1513" s="1" t="s">
        <v>3072</v>
      </c>
      <c r="C1513" s="1" t="s">
        <v>12</v>
      </c>
      <c r="D1513" s="1" t="s">
        <v>3060</v>
      </c>
      <c r="E1513" s="4">
        <v>1013846.0</v>
      </c>
      <c r="F1513" s="2">
        <v>4.0</v>
      </c>
      <c r="G1513" s="2" t="s">
        <v>1</v>
      </c>
      <c r="H1513" s="2" t="s">
        <v>14</v>
      </c>
      <c r="I1513" s="2" t="s">
        <v>15</v>
      </c>
      <c r="J1513" s="2" t="s">
        <v>15</v>
      </c>
    </row>
    <row r="1514" ht="15.75" customHeight="1">
      <c r="A1514" s="1" t="s">
        <v>3073</v>
      </c>
      <c r="B1514" s="1" t="s">
        <v>3074</v>
      </c>
      <c r="C1514" s="1" t="s">
        <v>12</v>
      </c>
      <c r="D1514" s="1" t="s">
        <v>3060</v>
      </c>
      <c r="E1514" s="4">
        <v>1013846.0</v>
      </c>
      <c r="F1514" s="2">
        <v>4.0</v>
      </c>
      <c r="G1514" s="2" t="s">
        <v>1</v>
      </c>
      <c r="H1514" s="2" t="s">
        <v>18</v>
      </c>
      <c r="I1514" s="2" t="s">
        <v>15</v>
      </c>
      <c r="J1514" s="2" t="s">
        <v>15</v>
      </c>
    </row>
    <row r="1515" ht="15.75" customHeight="1">
      <c r="A1515" s="1" t="s">
        <v>3075</v>
      </c>
      <c r="B1515" s="1" t="s">
        <v>3076</v>
      </c>
      <c r="C1515" s="1" t="s">
        <v>12</v>
      </c>
      <c r="D1515" s="1" t="s">
        <v>3060</v>
      </c>
      <c r="E1515" s="4">
        <v>1013846.0</v>
      </c>
      <c r="F1515" s="2" t="s">
        <v>30</v>
      </c>
      <c r="G1515" s="2" t="s">
        <v>1</v>
      </c>
      <c r="H1515" s="2" t="s">
        <v>53</v>
      </c>
      <c r="I1515" s="2" t="s">
        <v>15</v>
      </c>
      <c r="J1515" s="2" t="s">
        <v>15</v>
      </c>
    </row>
    <row r="1516" ht="15.75" customHeight="1">
      <c r="A1516" s="1" t="s">
        <v>3077</v>
      </c>
      <c r="B1516" s="1" t="s">
        <v>3078</v>
      </c>
      <c r="C1516" s="1" t="s">
        <v>12</v>
      </c>
      <c r="D1516" s="1" t="s">
        <v>3060</v>
      </c>
      <c r="E1516" s="4">
        <v>1013846.0</v>
      </c>
      <c r="F1516" s="2" t="s">
        <v>30</v>
      </c>
      <c r="G1516" s="2" t="s">
        <v>1</v>
      </c>
      <c r="H1516" s="2" t="s">
        <v>14</v>
      </c>
      <c r="I1516" s="2" t="s">
        <v>15</v>
      </c>
      <c r="J1516" s="2" t="s">
        <v>15</v>
      </c>
    </row>
    <row r="1517" ht="15.75" customHeight="1">
      <c r="A1517" s="1" t="s">
        <v>3079</v>
      </c>
      <c r="B1517" s="1" t="s">
        <v>3080</v>
      </c>
      <c r="C1517" s="1" t="s">
        <v>12</v>
      </c>
      <c r="D1517" s="1" t="s">
        <v>3060</v>
      </c>
      <c r="E1517" s="4">
        <v>1013846.0</v>
      </c>
      <c r="F1517" s="2" t="s">
        <v>15</v>
      </c>
      <c r="G1517" s="2" t="s">
        <v>33</v>
      </c>
      <c r="H1517" s="2" t="s">
        <v>15</v>
      </c>
      <c r="I1517" s="2" t="s">
        <v>15</v>
      </c>
      <c r="J1517" s="2" t="s">
        <v>15</v>
      </c>
    </row>
    <row r="1518" ht="15.75" customHeight="1">
      <c r="A1518" s="1" t="s">
        <v>3081</v>
      </c>
      <c r="B1518" s="1" t="s">
        <v>3082</v>
      </c>
      <c r="C1518" s="1" t="s">
        <v>12</v>
      </c>
      <c r="D1518" s="1" t="s">
        <v>3083</v>
      </c>
      <c r="E1518" s="4">
        <v>1013910.0</v>
      </c>
      <c r="F1518" s="2">
        <v>1.0</v>
      </c>
      <c r="G1518" s="2" t="s">
        <v>1</v>
      </c>
      <c r="H1518" s="2" t="s">
        <v>14</v>
      </c>
      <c r="I1518" s="2" t="s">
        <v>15</v>
      </c>
      <c r="J1518" s="2" t="s">
        <v>15</v>
      </c>
    </row>
    <row r="1519" ht="15.75" customHeight="1">
      <c r="A1519" s="1" t="s">
        <v>3084</v>
      </c>
      <c r="B1519" s="1" t="s">
        <v>3085</v>
      </c>
      <c r="C1519" s="1" t="s">
        <v>12</v>
      </c>
      <c r="D1519" s="1" t="s">
        <v>3083</v>
      </c>
      <c r="E1519" s="4">
        <v>1013910.0</v>
      </c>
      <c r="F1519" s="2">
        <v>1.0</v>
      </c>
      <c r="G1519" s="2" t="s">
        <v>1</v>
      </c>
      <c r="H1519" s="2" t="s">
        <v>18</v>
      </c>
      <c r="I1519" s="2" t="s">
        <v>15</v>
      </c>
      <c r="J1519" s="2" t="s">
        <v>15</v>
      </c>
    </row>
    <row r="1520" ht="15.75" customHeight="1">
      <c r="A1520" s="1" t="s">
        <v>3086</v>
      </c>
      <c r="B1520" s="1" t="s">
        <v>3087</v>
      </c>
      <c r="C1520" s="1" t="s">
        <v>12</v>
      </c>
      <c r="D1520" s="1" t="s">
        <v>3083</v>
      </c>
      <c r="E1520" s="4">
        <v>1013910.0</v>
      </c>
      <c r="F1520" s="2">
        <v>1.0</v>
      </c>
      <c r="G1520" s="2" t="s">
        <v>1</v>
      </c>
      <c r="H1520" s="2" t="s">
        <v>53</v>
      </c>
      <c r="I1520" s="2" t="s">
        <v>15</v>
      </c>
      <c r="J1520" s="2" t="s">
        <v>15</v>
      </c>
    </row>
    <row r="1521" ht="15.75" customHeight="1">
      <c r="A1521" s="1" t="s">
        <v>3088</v>
      </c>
      <c r="B1521" s="1" t="s">
        <v>3089</v>
      </c>
      <c r="C1521" s="1" t="s">
        <v>12</v>
      </c>
      <c r="D1521" s="1" t="s">
        <v>3083</v>
      </c>
      <c r="E1521" s="4">
        <v>1013910.0</v>
      </c>
      <c r="F1521" s="2">
        <v>2.0</v>
      </c>
      <c r="G1521" s="2" t="s">
        <v>1</v>
      </c>
      <c r="H1521" s="2" t="s">
        <v>14</v>
      </c>
      <c r="I1521" s="2" t="s">
        <v>15</v>
      </c>
      <c r="J1521" s="2" t="s">
        <v>15</v>
      </c>
    </row>
    <row r="1522" ht="15.75" customHeight="1">
      <c r="A1522" s="1" t="s">
        <v>3090</v>
      </c>
      <c r="B1522" s="1" t="s">
        <v>3091</v>
      </c>
      <c r="C1522" s="1" t="s">
        <v>12</v>
      </c>
      <c r="D1522" s="1" t="s">
        <v>3083</v>
      </c>
      <c r="E1522" s="4">
        <v>1013910.0</v>
      </c>
      <c r="F1522" s="2">
        <v>2.0</v>
      </c>
      <c r="G1522" s="2" t="s">
        <v>1</v>
      </c>
      <c r="H1522" s="2" t="s">
        <v>18</v>
      </c>
      <c r="I1522" s="2" t="s">
        <v>15</v>
      </c>
      <c r="J1522" s="2" t="s">
        <v>15</v>
      </c>
    </row>
    <row r="1523" ht="15.75" customHeight="1">
      <c r="A1523" s="1" t="s">
        <v>3092</v>
      </c>
      <c r="B1523" s="1" t="s">
        <v>3093</v>
      </c>
      <c r="C1523" s="1" t="s">
        <v>12</v>
      </c>
      <c r="D1523" s="1" t="s">
        <v>3083</v>
      </c>
      <c r="E1523" s="4">
        <v>1013910.0</v>
      </c>
      <c r="F1523" s="2">
        <v>3.0</v>
      </c>
      <c r="G1523" s="2" t="s">
        <v>1</v>
      </c>
      <c r="H1523" s="2" t="s">
        <v>14</v>
      </c>
      <c r="I1523" s="2" t="s">
        <v>15</v>
      </c>
      <c r="J1523" s="2" t="s">
        <v>15</v>
      </c>
    </row>
    <row r="1524" ht="15.75" customHeight="1">
      <c r="A1524" s="1" t="s">
        <v>3094</v>
      </c>
      <c r="B1524" s="1" t="s">
        <v>3095</v>
      </c>
      <c r="C1524" s="1" t="s">
        <v>12</v>
      </c>
      <c r="D1524" s="1" t="s">
        <v>3083</v>
      </c>
      <c r="E1524" s="4">
        <v>1013910.0</v>
      </c>
      <c r="F1524" s="2">
        <v>3.0</v>
      </c>
      <c r="G1524" s="2" t="s">
        <v>1</v>
      </c>
      <c r="H1524" s="2" t="s">
        <v>18</v>
      </c>
      <c r="I1524" s="2" t="s">
        <v>15</v>
      </c>
      <c r="J1524" s="2" t="s">
        <v>15</v>
      </c>
    </row>
    <row r="1525" ht="15.75" customHeight="1">
      <c r="A1525" s="1" t="s">
        <v>3096</v>
      </c>
      <c r="B1525" s="1" t="s">
        <v>3097</v>
      </c>
      <c r="C1525" s="1" t="s">
        <v>12</v>
      </c>
      <c r="D1525" s="1" t="s">
        <v>3083</v>
      </c>
      <c r="E1525" s="4">
        <v>1013910.0</v>
      </c>
      <c r="F1525" s="2">
        <v>3.0</v>
      </c>
      <c r="G1525" s="2" t="s">
        <v>1</v>
      </c>
      <c r="H1525" s="2" t="s">
        <v>53</v>
      </c>
      <c r="I1525" s="2" t="s">
        <v>15</v>
      </c>
      <c r="J1525" s="2" t="s">
        <v>15</v>
      </c>
    </row>
    <row r="1526" ht="15.75" customHeight="1">
      <c r="A1526" s="1" t="s">
        <v>3098</v>
      </c>
      <c r="B1526" s="1" t="s">
        <v>3099</v>
      </c>
      <c r="C1526" s="1" t="s">
        <v>12</v>
      </c>
      <c r="D1526" s="1" t="s">
        <v>3083</v>
      </c>
      <c r="E1526" s="4">
        <v>1013910.0</v>
      </c>
      <c r="F1526" s="2">
        <v>4.0</v>
      </c>
      <c r="G1526" s="2" t="s">
        <v>1</v>
      </c>
      <c r="H1526" s="2" t="s">
        <v>14</v>
      </c>
      <c r="I1526" s="2" t="s">
        <v>15</v>
      </c>
      <c r="J1526" s="2" t="s">
        <v>15</v>
      </c>
    </row>
    <row r="1527" ht="15.75" customHeight="1">
      <c r="A1527" s="1" t="s">
        <v>3100</v>
      </c>
      <c r="B1527" s="1" t="s">
        <v>3101</v>
      </c>
      <c r="C1527" s="1" t="s">
        <v>12</v>
      </c>
      <c r="D1527" s="1" t="s">
        <v>3083</v>
      </c>
      <c r="E1527" s="4">
        <v>1013910.0</v>
      </c>
      <c r="F1527" s="2">
        <v>4.0</v>
      </c>
      <c r="G1527" s="2" t="s">
        <v>1</v>
      </c>
      <c r="H1527" s="2" t="s">
        <v>18</v>
      </c>
      <c r="I1527" s="2" t="s">
        <v>15</v>
      </c>
      <c r="J1527" s="2" t="s">
        <v>15</v>
      </c>
    </row>
    <row r="1528" ht="15.75" customHeight="1">
      <c r="A1528" s="1" t="s">
        <v>3102</v>
      </c>
      <c r="B1528" s="1" t="s">
        <v>3103</v>
      </c>
      <c r="C1528" s="1" t="s">
        <v>12</v>
      </c>
      <c r="D1528" s="1" t="s">
        <v>3083</v>
      </c>
      <c r="E1528" s="4">
        <v>1013910.0</v>
      </c>
      <c r="F1528" s="2" t="s">
        <v>30</v>
      </c>
      <c r="G1528" s="2" t="s">
        <v>1</v>
      </c>
      <c r="H1528" s="2" t="s">
        <v>53</v>
      </c>
      <c r="I1528" s="2" t="s">
        <v>15</v>
      </c>
      <c r="J1528" s="2" t="s">
        <v>15</v>
      </c>
    </row>
    <row r="1529" ht="15.75" customHeight="1">
      <c r="A1529" s="1" t="s">
        <v>3104</v>
      </c>
      <c r="B1529" s="1" t="s">
        <v>3105</v>
      </c>
      <c r="C1529" s="1" t="s">
        <v>12</v>
      </c>
      <c r="D1529" s="1" t="s">
        <v>3083</v>
      </c>
      <c r="E1529" s="4">
        <v>1013910.0</v>
      </c>
      <c r="F1529" s="2" t="s">
        <v>30</v>
      </c>
      <c r="G1529" s="2" t="s">
        <v>1</v>
      </c>
      <c r="H1529" s="2" t="s">
        <v>14</v>
      </c>
      <c r="I1529" s="2" t="s">
        <v>15</v>
      </c>
      <c r="J1529" s="2" t="s">
        <v>15</v>
      </c>
    </row>
    <row r="1530" ht="15.75" customHeight="1">
      <c r="A1530" s="1" t="s">
        <v>3106</v>
      </c>
      <c r="B1530" s="1" t="s">
        <v>3107</v>
      </c>
      <c r="C1530" s="1" t="s">
        <v>12</v>
      </c>
      <c r="D1530" s="1" t="s">
        <v>3083</v>
      </c>
      <c r="E1530" s="4">
        <v>1013910.0</v>
      </c>
      <c r="F1530" s="2" t="s">
        <v>15</v>
      </c>
      <c r="G1530" s="2" t="s">
        <v>33</v>
      </c>
      <c r="H1530" s="2" t="s">
        <v>15</v>
      </c>
      <c r="I1530" s="2" t="s">
        <v>15</v>
      </c>
      <c r="J1530" s="2" t="s">
        <v>15</v>
      </c>
    </row>
    <row r="1531" ht="15.75" customHeight="1">
      <c r="A1531" s="1" t="s">
        <v>3108</v>
      </c>
      <c r="B1531" s="1" t="s">
        <v>3109</v>
      </c>
      <c r="C1531" s="1" t="s">
        <v>12</v>
      </c>
      <c r="D1531" s="1" t="s">
        <v>3110</v>
      </c>
      <c r="E1531" s="4">
        <v>1013974.0</v>
      </c>
      <c r="F1531" s="2" t="s">
        <v>36</v>
      </c>
      <c r="G1531" s="2" t="s">
        <v>1</v>
      </c>
      <c r="H1531" s="2" t="s">
        <v>14</v>
      </c>
      <c r="I1531" s="2" t="s">
        <v>15</v>
      </c>
      <c r="J1531" s="2" t="s">
        <v>15</v>
      </c>
    </row>
    <row r="1532" ht="15.75" customHeight="1">
      <c r="A1532" s="1" t="s">
        <v>3111</v>
      </c>
      <c r="B1532" s="1" t="s">
        <v>3112</v>
      </c>
      <c r="C1532" s="1" t="s">
        <v>12</v>
      </c>
      <c r="D1532" s="1" t="s">
        <v>3110</v>
      </c>
      <c r="E1532" s="4">
        <v>1013974.0</v>
      </c>
      <c r="F1532" s="2" t="s">
        <v>36</v>
      </c>
      <c r="G1532" s="2" t="s">
        <v>1</v>
      </c>
      <c r="H1532" s="2" t="s">
        <v>18</v>
      </c>
      <c r="I1532" s="2" t="s">
        <v>15</v>
      </c>
      <c r="J1532" s="2" t="s">
        <v>15</v>
      </c>
    </row>
    <row r="1533" ht="15.75" customHeight="1">
      <c r="A1533" s="1" t="s">
        <v>3113</v>
      </c>
      <c r="B1533" s="1" t="s">
        <v>3114</v>
      </c>
      <c r="C1533" s="1" t="s">
        <v>12</v>
      </c>
      <c r="D1533" s="1" t="s">
        <v>3110</v>
      </c>
      <c r="E1533" s="4">
        <v>1013974.0</v>
      </c>
      <c r="F1533" s="2" t="s">
        <v>36</v>
      </c>
      <c r="G1533" s="2" t="s">
        <v>1</v>
      </c>
      <c r="H1533" s="2" t="s">
        <v>53</v>
      </c>
      <c r="I1533" s="2" t="s">
        <v>15</v>
      </c>
      <c r="J1533" s="2" t="s">
        <v>15</v>
      </c>
    </row>
    <row r="1534" ht="15.75" customHeight="1">
      <c r="A1534" s="1" t="s">
        <v>3115</v>
      </c>
      <c r="B1534" s="1" t="s">
        <v>3116</v>
      </c>
      <c r="C1534" s="1" t="s">
        <v>12</v>
      </c>
      <c r="D1534" s="1" t="s">
        <v>3110</v>
      </c>
      <c r="E1534" s="4">
        <v>1013974.0</v>
      </c>
      <c r="F1534" s="2" t="s">
        <v>36</v>
      </c>
      <c r="G1534" s="2" t="s">
        <v>1</v>
      </c>
      <c r="H1534" s="2" t="s">
        <v>21</v>
      </c>
      <c r="I1534" s="2" t="s">
        <v>15</v>
      </c>
      <c r="J1534" s="2" t="s">
        <v>15</v>
      </c>
    </row>
    <row r="1535" ht="15.75" customHeight="1">
      <c r="A1535" s="1" t="s">
        <v>3117</v>
      </c>
      <c r="B1535" s="1" t="s">
        <v>3118</v>
      </c>
      <c r="C1535" s="1" t="s">
        <v>12</v>
      </c>
      <c r="D1535" s="1" t="s">
        <v>3110</v>
      </c>
      <c r="E1535" s="4">
        <v>1013974.0</v>
      </c>
      <c r="F1535" s="2">
        <v>1.0</v>
      </c>
      <c r="G1535" s="2" t="s">
        <v>1</v>
      </c>
      <c r="H1535" s="2" t="s">
        <v>14</v>
      </c>
      <c r="I1535" s="5" t="str">
        <f>IFERROR(
  MID(
    SUBSTITUTE(B1535, CHAR(10), ""),
    FIND("_Gross ROI=", SUBSTITUTE(B1535, CHAR(10), "")) + LEN("_Gross ROI="),
    FIND("%", SUBSTITUTE(B1535, CHAR(10), ""), FIND("_Gross ROI=", SUBSTITUTE(B1535, CHAR(10), "")))
      - FIND("_Gross ROI=", SUBSTITUTE(B1535, CHAR(10), "")) - LEN("_Gross ROI=") + 1
  ),
  ""
)</f>
        <v>6.7%</v>
      </c>
      <c r="J1535" s="5" t="str">
        <f>IFERROR(
  MID(
    SUBSTITUTE(B1535, CHAR(10), ""),
    FIND("_Median annual rent=", SUBSTITUTE(B1535, CHAR(10), "")) + LEN("_Median annual rent="),
    FIND("K", SUBSTITUTE(B1535, CHAR(10), ""), FIND("_Median annual rent=", SUBSTITUTE(B1535, CHAR(10), "")))
      - FIND("_Median annual rent=", SUBSTITUTE(B1535, CHAR(10), "")) - LEN("_Median annual rent=") + 1
  ),
  "")</f>
        <v>187.5K</v>
      </c>
    </row>
    <row r="1536" ht="15.75" customHeight="1">
      <c r="A1536" s="1" t="s">
        <v>3119</v>
      </c>
      <c r="B1536" s="1" t="s">
        <v>3120</v>
      </c>
      <c r="C1536" s="1" t="s">
        <v>12</v>
      </c>
      <c r="D1536" s="1" t="s">
        <v>3110</v>
      </c>
      <c r="E1536" s="4">
        <v>1013974.0</v>
      </c>
      <c r="F1536" s="2">
        <v>1.0</v>
      </c>
      <c r="G1536" s="2" t="s">
        <v>1</v>
      </c>
      <c r="H1536" s="2" t="s">
        <v>18</v>
      </c>
      <c r="I1536" s="2" t="s">
        <v>15</v>
      </c>
      <c r="J1536" s="2" t="s">
        <v>15</v>
      </c>
    </row>
    <row r="1537" ht="15.75" customHeight="1">
      <c r="A1537" s="1" t="s">
        <v>3121</v>
      </c>
      <c r="B1537" s="1" t="s">
        <v>3122</v>
      </c>
      <c r="C1537" s="1" t="s">
        <v>12</v>
      </c>
      <c r="D1537" s="1" t="s">
        <v>3110</v>
      </c>
      <c r="E1537" s="4">
        <v>1013974.0</v>
      </c>
      <c r="F1537" s="2">
        <v>1.0</v>
      </c>
      <c r="G1537" s="2" t="s">
        <v>1</v>
      </c>
      <c r="H1537" s="2" t="s">
        <v>53</v>
      </c>
      <c r="I1537" s="2" t="s">
        <v>15</v>
      </c>
      <c r="J1537" s="2" t="s">
        <v>15</v>
      </c>
    </row>
    <row r="1538" ht="15.75" customHeight="1">
      <c r="A1538" s="1" t="s">
        <v>3123</v>
      </c>
      <c r="B1538" s="1" t="s">
        <v>3124</v>
      </c>
      <c r="C1538" s="1" t="s">
        <v>12</v>
      </c>
      <c r="D1538" s="1" t="s">
        <v>3110</v>
      </c>
      <c r="E1538" s="4">
        <v>1013974.0</v>
      </c>
      <c r="F1538" s="2">
        <v>1.0</v>
      </c>
      <c r="G1538" s="2" t="s">
        <v>1</v>
      </c>
      <c r="H1538" s="2" t="s">
        <v>21</v>
      </c>
      <c r="I1538" s="2" t="s">
        <v>15</v>
      </c>
      <c r="J1538" s="2" t="s">
        <v>15</v>
      </c>
    </row>
    <row r="1539" ht="15.75" customHeight="1">
      <c r="A1539" s="1" t="s">
        <v>3125</v>
      </c>
      <c r="B1539" s="1" t="s">
        <v>3126</v>
      </c>
      <c r="C1539" s="1" t="s">
        <v>12</v>
      </c>
      <c r="D1539" s="1" t="s">
        <v>3110</v>
      </c>
      <c r="E1539" s="4">
        <v>1013974.0</v>
      </c>
      <c r="F1539" s="2">
        <v>2.0</v>
      </c>
      <c r="G1539" s="2" t="s">
        <v>1</v>
      </c>
      <c r="H1539" s="2" t="s">
        <v>14</v>
      </c>
      <c r="I1539" s="2" t="s">
        <v>15</v>
      </c>
      <c r="J1539" s="2" t="s">
        <v>15</v>
      </c>
    </row>
    <row r="1540" ht="15.75" customHeight="1">
      <c r="A1540" s="1" t="s">
        <v>3127</v>
      </c>
      <c r="B1540" s="1" t="s">
        <v>3128</v>
      </c>
      <c r="C1540" s="1" t="s">
        <v>12</v>
      </c>
      <c r="D1540" s="1" t="s">
        <v>3110</v>
      </c>
      <c r="E1540" s="4">
        <v>1013974.0</v>
      </c>
      <c r="F1540" s="2">
        <v>2.0</v>
      </c>
      <c r="G1540" s="2" t="s">
        <v>1</v>
      </c>
      <c r="H1540" s="2" t="s">
        <v>18</v>
      </c>
      <c r="I1540" s="2" t="s">
        <v>15</v>
      </c>
      <c r="J1540" s="2" t="s">
        <v>15</v>
      </c>
    </row>
    <row r="1541" ht="15.75" customHeight="1">
      <c r="A1541" s="1" t="s">
        <v>3129</v>
      </c>
      <c r="B1541" s="1" t="s">
        <v>3130</v>
      </c>
      <c r="C1541" s="1" t="s">
        <v>12</v>
      </c>
      <c r="D1541" s="1" t="s">
        <v>3110</v>
      </c>
      <c r="E1541" s="4">
        <v>1013974.0</v>
      </c>
      <c r="F1541" s="2">
        <v>2.0</v>
      </c>
      <c r="G1541" s="2" t="s">
        <v>1</v>
      </c>
      <c r="H1541" s="2" t="s">
        <v>53</v>
      </c>
      <c r="I1541" s="2" t="s">
        <v>15</v>
      </c>
      <c r="J1541" s="2" t="s">
        <v>15</v>
      </c>
    </row>
    <row r="1542" ht="15.75" customHeight="1">
      <c r="A1542" s="1" t="s">
        <v>3131</v>
      </c>
      <c r="B1542" s="1" t="s">
        <v>3132</v>
      </c>
      <c r="C1542" s="1" t="s">
        <v>12</v>
      </c>
      <c r="D1542" s="1" t="s">
        <v>3110</v>
      </c>
      <c r="E1542" s="4">
        <v>1013974.0</v>
      </c>
      <c r="F1542" s="2">
        <v>2.0</v>
      </c>
      <c r="G1542" s="2" t="s">
        <v>1</v>
      </c>
      <c r="H1542" s="2" t="s">
        <v>21</v>
      </c>
      <c r="I1542" s="2" t="s">
        <v>15</v>
      </c>
      <c r="J1542" s="2" t="s">
        <v>15</v>
      </c>
    </row>
    <row r="1543" ht="15.75" customHeight="1">
      <c r="A1543" s="1" t="s">
        <v>3133</v>
      </c>
      <c r="B1543" s="1" t="s">
        <v>3134</v>
      </c>
      <c r="C1543" s="1" t="s">
        <v>12</v>
      </c>
      <c r="D1543" s="1" t="s">
        <v>3110</v>
      </c>
      <c r="E1543" s="4">
        <v>1013974.0</v>
      </c>
      <c r="F1543" s="2">
        <v>3.0</v>
      </c>
      <c r="G1543" s="2" t="s">
        <v>1</v>
      </c>
      <c r="H1543" s="2" t="s">
        <v>14</v>
      </c>
      <c r="I1543" s="2" t="s">
        <v>15</v>
      </c>
      <c r="J1543" s="2" t="s">
        <v>15</v>
      </c>
    </row>
    <row r="1544" ht="15.75" customHeight="1">
      <c r="A1544" s="1" t="s">
        <v>3135</v>
      </c>
      <c r="B1544" s="1" t="s">
        <v>3136</v>
      </c>
      <c r="C1544" s="1" t="s">
        <v>12</v>
      </c>
      <c r="D1544" s="1" t="s">
        <v>3110</v>
      </c>
      <c r="E1544" s="4">
        <v>1013974.0</v>
      </c>
      <c r="F1544" s="2">
        <v>3.0</v>
      </c>
      <c r="G1544" s="2" t="s">
        <v>1</v>
      </c>
      <c r="H1544" s="2" t="s">
        <v>18</v>
      </c>
      <c r="I1544" s="2" t="s">
        <v>15</v>
      </c>
      <c r="J1544" s="2" t="s">
        <v>15</v>
      </c>
    </row>
    <row r="1545" ht="15.75" customHeight="1">
      <c r="A1545" s="1" t="s">
        <v>3137</v>
      </c>
      <c r="B1545" s="1" t="s">
        <v>3138</v>
      </c>
      <c r="C1545" s="1" t="s">
        <v>12</v>
      </c>
      <c r="D1545" s="1" t="s">
        <v>3110</v>
      </c>
      <c r="E1545" s="4">
        <v>1013974.0</v>
      </c>
      <c r="F1545" s="2">
        <v>3.0</v>
      </c>
      <c r="G1545" s="2" t="s">
        <v>1</v>
      </c>
      <c r="H1545" s="2" t="s">
        <v>53</v>
      </c>
      <c r="I1545" s="2" t="s">
        <v>15</v>
      </c>
      <c r="J1545" s="2" t="s">
        <v>15</v>
      </c>
    </row>
    <row r="1546" ht="15.75" customHeight="1">
      <c r="A1546" s="1" t="s">
        <v>3139</v>
      </c>
      <c r="B1546" s="1" t="s">
        <v>3140</v>
      </c>
      <c r="C1546" s="1" t="s">
        <v>12</v>
      </c>
      <c r="D1546" s="1" t="s">
        <v>3110</v>
      </c>
      <c r="E1546" s="4">
        <v>1013974.0</v>
      </c>
      <c r="F1546" s="2">
        <v>3.0</v>
      </c>
      <c r="G1546" s="2" t="s">
        <v>1</v>
      </c>
      <c r="H1546" s="2" t="s">
        <v>21</v>
      </c>
      <c r="I1546" s="2" t="s">
        <v>15</v>
      </c>
      <c r="J1546" s="2" t="s">
        <v>15</v>
      </c>
    </row>
    <row r="1547" ht="15.75" customHeight="1">
      <c r="A1547" s="1" t="s">
        <v>3141</v>
      </c>
      <c r="B1547" s="1" t="s">
        <v>3142</v>
      </c>
      <c r="C1547" s="1" t="s">
        <v>12</v>
      </c>
      <c r="D1547" s="1" t="s">
        <v>3110</v>
      </c>
      <c r="E1547" s="4">
        <v>1013974.0</v>
      </c>
      <c r="F1547" s="2">
        <v>4.0</v>
      </c>
      <c r="G1547" s="2" t="s">
        <v>1</v>
      </c>
      <c r="H1547" s="2" t="s">
        <v>14</v>
      </c>
      <c r="I1547" s="2" t="s">
        <v>15</v>
      </c>
      <c r="J1547" s="2" t="s">
        <v>15</v>
      </c>
    </row>
    <row r="1548" ht="15.75" customHeight="1">
      <c r="A1548" s="1" t="s">
        <v>3143</v>
      </c>
      <c r="B1548" s="1" t="s">
        <v>3144</v>
      </c>
      <c r="C1548" s="1" t="s">
        <v>12</v>
      </c>
      <c r="D1548" s="1" t="s">
        <v>3110</v>
      </c>
      <c r="E1548" s="4">
        <v>1013974.0</v>
      </c>
      <c r="F1548" s="2">
        <v>4.0</v>
      </c>
      <c r="G1548" s="2" t="s">
        <v>1</v>
      </c>
      <c r="H1548" s="2" t="s">
        <v>18</v>
      </c>
      <c r="I1548" s="2" t="s">
        <v>15</v>
      </c>
      <c r="J1548" s="2" t="s">
        <v>15</v>
      </c>
    </row>
    <row r="1549" ht="15.75" customHeight="1">
      <c r="A1549" s="1" t="s">
        <v>3145</v>
      </c>
      <c r="B1549" s="1" t="s">
        <v>3146</v>
      </c>
      <c r="C1549" s="1" t="s">
        <v>12</v>
      </c>
      <c r="D1549" s="1" t="s">
        <v>3110</v>
      </c>
      <c r="E1549" s="4">
        <v>1013974.0</v>
      </c>
      <c r="F1549" s="2">
        <v>4.0</v>
      </c>
      <c r="G1549" s="2" t="s">
        <v>1</v>
      </c>
      <c r="H1549" s="2" t="s">
        <v>21</v>
      </c>
      <c r="I1549" s="2" t="s">
        <v>15</v>
      </c>
      <c r="J1549" s="2" t="s">
        <v>15</v>
      </c>
    </row>
    <row r="1550" ht="15.75" customHeight="1">
      <c r="A1550" s="1" t="s">
        <v>3147</v>
      </c>
      <c r="B1550" s="1" t="s">
        <v>3148</v>
      </c>
      <c r="C1550" s="1" t="s">
        <v>12</v>
      </c>
      <c r="D1550" s="1" t="s">
        <v>3110</v>
      </c>
      <c r="E1550" s="4">
        <v>1013974.0</v>
      </c>
      <c r="F1550" s="2">
        <v>5.0</v>
      </c>
      <c r="G1550" s="2" t="s">
        <v>1</v>
      </c>
      <c r="H1550" s="2" t="s">
        <v>14</v>
      </c>
      <c r="I1550" s="2" t="s">
        <v>15</v>
      </c>
      <c r="J1550" s="2" t="s">
        <v>15</v>
      </c>
    </row>
    <row r="1551" ht="15.75" customHeight="1">
      <c r="A1551" s="1" t="s">
        <v>3149</v>
      </c>
      <c r="B1551" s="1" t="s">
        <v>3150</v>
      </c>
      <c r="C1551" s="1" t="s">
        <v>12</v>
      </c>
      <c r="D1551" s="1" t="s">
        <v>3110</v>
      </c>
      <c r="E1551" s="4">
        <v>1013974.0</v>
      </c>
      <c r="F1551" s="2">
        <v>5.0</v>
      </c>
      <c r="G1551" s="2" t="s">
        <v>1</v>
      </c>
      <c r="H1551" s="2" t="s">
        <v>18</v>
      </c>
      <c r="I1551" s="2" t="s">
        <v>15</v>
      </c>
      <c r="J1551" s="2" t="s">
        <v>15</v>
      </c>
    </row>
    <row r="1552" ht="15.75" customHeight="1">
      <c r="A1552" s="1" t="s">
        <v>3151</v>
      </c>
      <c r="B1552" s="1" t="s">
        <v>3152</v>
      </c>
      <c r="C1552" s="1" t="s">
        <v>12</v>
      </c>
      <c r="D1552" s="1" t="s">
        <v>3110</v>
      </c>
      <c r="E1552" s="4">
        <v>1013974.0</v>
      </c>
      <c r="F1552" s="2">
        <v>5.0</v>
      </c>
      <c r="G1552" s="2" t="s">
        <v>1</v>
      </c>
      <c r="H1552" s="2" t="s">
        <v>21</v>
      </c>
      <c r="I1552" s="2" t="s">
        <v>15</v>
      </c>
      <c r="J1552" s="2" t="s">
        <v>15</v>
      </c>
    </row>
    <row r="1553" ht="15.75" customHeight="1">
      <c r="A1553" s="1" t="s">
        <v>3153</v>
      </c>
      <c r="B1553" s="1" t="s">
        <v>3154</v>
      </c>
      <c r="C1553" s="1" t="s">
        <v>12</v>
      </c>
      <c r="D1553" s="1" t="s">
        <v>3110</v>
      </c>
      <c r="E1553" s="4">
        <v>1013974.0</v>
      </c>
      <c r="F1553" s="2" t="s">
        <v>15</v>
      </c>
      <c r="G1553" s="2" t="s">
        <v>1</v>
      </c>
      <c r="H1553" s="2" t="s">
        <v>53</v>
      </c>
      <c r="I1553" s="2" t="s">
        <v>15</v>
      </c>
      <c r="J1553" s="2" t="s">
        <v>15</v>
      </c>
    </row>
    <row r="1554" ht="15.75" customHeight="1">
      <c r="A1554" s="1" t="s">
        <v>3155</v>
      </c>
      <c r="B1554" s="1" t="s">
        <v>3156</v>
      </c>
      <c r="C1554" s="1" t="s">
        <v>12</v>
      </c>
      <c r="D1554" s="1" t="s">
        <v>3110</v>
      </c>
      <c r="E1554" s="4">
        <v>1013974.0</v>
      </c>
      <c r="F1554" s="2" t="s">
        <v>30</v>
      </c>
      <c r="G1554" s="2" t="s">
        <v>1</v>
      </c>
      <c r="H1554" s="2" t="s">
        <v>53</v>
      </c>
      <c r="I1554" s="2" t="s">
        <v>15</v>
      </c>
      <c r="J1554" s="2" t="s">
        <v>15</v>
      </c>
    </row>
    <row r="1555" ht="15.75" customHeight="1">
      <c r="A1555" s="1" t="s">
        <v>3157</v>
      </c>
      <c r="B1555" s="1" t="s">
        <v>3158</v>
      </c>
      <c r="C1555" s="1" t="s">
        <v>12</v>
      </c>
      <c r="D1555" s="1" t="s">
        <v>3110</v>
      </c>
      <c r="E1555" s="4">
        <v>1013974.0</v>
      </c>
      <c r="F1555" s="2" t="s">
        <v>30</v>
      </c>
      <c r="G1555" s="2" t="s">
        <v>1</v>
      </c>
      <c r="H1555" s="2" t="s">
        <v>14</v>
      </c>
      <c r="I1555" s="2" t="s">
        <v>15</v>
      </c>
      <c r="J1555" s="2" t="s">
        <v>15</v>
      </c>
    </row>
    <row r="1556" ht="15.75" customHeight="1">
      <c r="A1556" s="1" t="s">
        <v>3159</v>
      </c>
      <c r="B1556" s="1" t="s">
        <v>3160</v>
      </c>
      <c r="C1556" s="1" t="s">
        <v>12</v>
      </c>
      <c r="D1556" s="1" t="s">
        <v>3110</v>
      </c>
      <c r="E1556" s="4">
        <v>1013974.0</v>
      </c>
      <c r="F1556" s="2" t="s">
        <v>15</v>
      </c>
      <c r="G1556" s="2" t="s">
        <v>33</v>
      </c>
      <c r="H1556" s="2" t="s">
        <v>15</v>
      </c>
      <c r="I1556" s="2" t="s">
        <v>15</v>
      </c>
      <c r="J1556" s="2" t="s">
        <v>15</v>
      </c>
    </row>
    <row r="1557" ht="15.75" customHeight="1">
      <c r="A1557" s="1" t="s">
        <v>3161</v>
      </c>
      <c r="B1557" s="3" t="s">
        <v>3162</v>
      </c>
      <c r="C1557" s="1" t="s">
        <v>12</v>
      </c>
      <c r="D1557" s="1" t="s">
        <v>3110</v>
      </c>
      <c r="E1557" s="4">
        <v>1013974.0</v>
      </c>
      <c r="F1557" s="2" t="s">
        <v>36</v>
      </c>
      <c r="G1557" s="2" t="s">
        <v>1</v>
      </c>
      <c r="H1557" s="2" t="s">
        <v>37</v>
      </c>
      <c r="I1557" s="2" t="s">
        <v>15</v>
      </c>
      <c r="J1557" s="2" t="s">
        <v>15</v>
      </c>
    </row>
    <row r="1558" ht="15.75" customHeight="1">
      <c r="A1558" s="1" t="s">
        <v>3163</v>
      </c>
      <c r="B1558" s="1" t="s">
        <v>3164</v>
      </c>
      <c r="C1558" s="1" t="s">
        <v>12</v>
      </c>
      <c r="D1558" s="1" t="s">
        <v>3110</v>
      </c>
      <c r="E1558" s="4">
        <v>1013974.0</v>
      </c>
      <c r="F1558" s="2">
        <v>1.0</v>
      </c>
      <c r="G1558" s="2" t="s">
        <v>1</v>
      </c>
      <c r="H1558" s="2" t="s">
        <v>37</v>
      </c>
      <c r="I1558" s="2" t="s">
        <v>15</v>
      </c>
      <c r="J1558" s="2" t="s">
        <v>15</v>
      </c>
    </row>
    <row r="1559" ht="15.75" customHeight="1">
      <c r="A1559" s="1" t="s">
        <v>3165</v>
      </c>
      <c r="B1559" s="3" t="s">
        <v>3166</v>
      </c>
      <c r="C1559" s="1" t="s">
        <v>12</v>
      </c>
      <c r="D1559" s="1" t="s">
        <v>3110</v>
      </c>
      <c r="E1559" s="4">
        <v>1013974.0</v>
      </c>
      <c r="F1559" s="2">
        <v>2.0</v>
      </c>
      <c r="G1559" s="2" t="s">
        <v>1</v>
      </c>
      <c r="H1559" s="2" t="s">
        <v>37</v>
      </c>
      <c r="I1559" s="2" t="s">
        <v>15</v>
      </c>
      <c r="J1559" s="2" t="s">
        <v>15</v>
      </c>
    </row>
    <row r="1560" ht="15.75" customHeight="1">
      <c r="A1560" s="1" t="s">
        <v>3167</v>
      </c>
      <c r="B1560" s="3" t="s">
        <v>3168</v>
      </c>
      <c r="C1560" s="1" t="s">
        <v>12</v>
      </c>
      <c r="D1560" s="1" t="s">
        <v>3110</v>
      </c>
      <c r="E1560" s="4">
        <v>1013974.0</v>
      </c>
      <c r="F1560" s="2">
        <v>3.0</v>
      </c>
      <c r="G1560" s="2" t="s">
        <v>1</v>
      </c>
      <c r="H1560" s="2" t="s">
        <v>37</v>
      </c>
      <c r="I1560" s="2" t="s">
        <v>15</v>
      </c>
      <c r="J1560" s="2" t="s">
        <v>15</v>
      </c>
    </row>
    <row r="1561" ht="15.75" customHeight="1">
      <c r="A1561" s="1" t="s">
        <v>3169</v>
      </c>
      <c r="B1561" s="3" t="s">
        <v>3170</v>
      </c>
      <c r="C1561" s="1" t="s">
        <v>12</v>
      </c>
      <c r="D1561" s="1" t="s">
        <v>3110</v>
      </c>
      <c r="E1561" s="4">
        <v>1013974.0</v>
      </c>
      <c r="F1561" s="2">
        <v>4.0</v>
      </c>
      <c r="G1561" s="2" t="s">
        <v>1</v>
      </c>
      <c r="H1561" s="2" t="s">
        <v>37</v>
      </c>
      <c r="I1561" s="2" t="s">
        <v>15</v>
      </c>
      <c r="J1561" s="2" t="s">
        <v>15</v>
      </c>
    </row>
    <row r="1562" ht="15.75" customHeight="1">
      <c r="A1562" s="1" t="s">
        <v>3171</v>
      </c>
      <c r="B1562" s="3" t="s">
        <v>3172</v>
      </c>
      <c r="C1562" s="1" t="s">
        <v>12</v>
      </c>
      <c r="D1562" s="1" t="s">
        <v>3110</v>
      </c>
      <c r="E1562" s="4">
        <v>1013974.0</v>
      </c>
      <c r="F1562" s="2">
        <v>5.0</v>
      </c>
      <c r="G1562" s="2" t="s">
        <v>1</v>
      </c>
      <c r="H1562" s="2" t="s">
        <v>37</v>
      </c>
      <c r="I1562" s="2" t="s">
        <v>15</v>
      </c>
      <c r="J1562" s="2" t="s">
        <v>15</v>
      </c>
    </row>
    <row r="1563" ht="15.75" customHeight="1">
      <c r="A1563" s="1" t="s">
        <v>3173</v>
      </c>
      <c r="B1563" s="3" t="s">
        <v>3174</v>
      </c>
      <c r="C1563" s="1" t="s">
        <v>12</v>
      </c>
      <c r="D1563" s="1" t="s">
        <v>3110</v>
      </c>
      <c r="E1563" s="4">
        <v>1013974.0</v>
      </c>
      <c r="F1563" s="2" t="s">
        <v>30</v>
      </c>
      <c r="G1563" s="2" t="s">
        <v>1</v>
      </c>
      <c r="H1563" s="2" t="s">
        <v>37</v>
      </c>
      <c r="I1563" s="2" t="s">
        <v>15</v>
      </c>
      <c r="J1563" s="2" t="s">
        <v>15</v>
      </c>
    </row>
    <row r="1564" ht="15.75" customHeight="1">
      <c r="A1564" s="1" t="s">
        <v>3175</v>
      </c>
      <c r="B1564" s="1" t="s">
        <v>3176</v>
      </c>
      <c r="C1564" s="1" t="s">
        <v>12</v>
      </c>
      <c r="D1564" s="1" t="s">
        <v>3177</v>
      </c>
      <c r="E1564" s="4">
        <v>1014038.0</v>
      </c>
      <c r="F1564" s="2" t="s">
        <v>36</v>
      </c>
      <c r="G1564" s="2" t="s">
        <v>1</v>
      </c>
      <c r="H1564" s="2" t="s">
        <v>14</v>
      </c>
      <c r="I1564" s="2" t="s">
        <v>15</v>
      </c>
      <c r="J1564" s="2" t="s">
        <v>15</v>
      </c>
    </row>
    <row r="1565" ht="15.75" customHeight="1">
      <c r="A1565" s="1" t="s">
        <v>3178</v>
      </c>
      <c r="B1565" s="1" t="s">
        <v>3179</v>
      </c>
      <c r="C1565" s="1" t="s">
        <v>12</v>
      </c>
      <c r="D1565" s="1" t="s">
        <v>3177</v>
      </c>
      <c r="E1565" s="4">
        <v>1014038.0</v>
      </c>
      <c r="F1565" s="2" t="s">
        <v>36</v>
      </c>
      <c r="G1565" s="2" t="s">
        <v>1</v>
      </c>
      <c r="H1565" s="2" t="s">
        <v>18</v>
      </c>
      <c r="I1565" s="2" t="s">
        <v>15</v>
      </c>
      <c r="J1565" s="2" t="s">
        <v>15</v>
      </c>
    </row>
    <row r="1566" ht="15.75" customHeight="1">
      <c r="A1566" s="1" t="s">
        <v>3180</v>
      </c>
      <c r="B1566" s="1" t="s">
        <v>3181</v>
      </c>
      <c r="C1566" s="1" t="s">
        <v>12</v>
      </c>
      <c r="D1566" s="1" t="s">
        <v>3177</v>
      </c>
      <c r="E1566" s="4">
        <v>1014038.0</v>
      </c>
      <c r="F1566" s="2">
        <v>1.0</v>
      </c>
      <c r="G1566" s="2" t="s">
        <v>1</v>
      </c>
      <c r="H1566" s="2" t="s">
        <v>14</v>
      </c>
      <c r="I1566" s="2" t="s">
        <v>15</v>
      </c>
      <c r="J1566" s="2" t="s">
        <v>15</v>
      </c>
    </row>
    <row r="1567" ht="15.75" customHeight="1">
      <c r="A1567" s="1" t="s">
        <v>3182</v>
      </c>
      <c r="B1567" s="1" t="s">
        <v>3183</v>
      </c>
      <c r="C1567" s="1" t="s">
        <v>12</v>
      </c>
      <c r="D1567" s="1" t="s">
        <v>3177</v>
      </c>
      <c r="E1567" s="4">
        <v>1014038.0</v>
      </c>
      <c r="F1567" s="2">
        <v>1.0</v>
      </c>
      <c r="G1567" s="2" t="s">
        <v>1</v>
      </c>
      <c r="H1567" s="2" t="s">
        <v>18</v>
      </c>
      <c r="I1567" s="2" t="s">
        <v>15</v>
      </c>
      <c r="J1567" s="2" t="s">
        <v>15</v>
      </c>
    </row>
    <row r="1568" ht="15.75" customHeight="1">
      <c r="A1568" s="1" t="s">
        <v>3184</v>
      </c>
      <c r="B1568" s="1" t="s">
        <v>3185</v>
      </c>
      <c r="C1568" s="1" t="s">
        <v>12</v>
      </c>
      <c r="D1568" s="1" t="s">
        <v>3177</v>
      </c>
      <c r="E1568" s="4">
        <v>1014038.0</v>
      </c>
      <c r="F1568" s="2">
        <v>2.0</v>
      </c>
      <c r="G1568" s="2" t="s">
        <v>1</v>
      </c>
      <c r="H1568" s="2" t="s">
        <v>14</v>
      </c>
      <c r="I1568" s="2" t="s">
        <v>15</v>
      </c>
      <c r="J1568" s="2" t="s">
        <v>15</v>
      </c>
    </row>
    <row r="1569" ht="15.75" customHeight="1">
      <c r="A1569" s="1" t="s">
        <v>3186</v>
      </c>
      <c r="B1569" s="1" t="s">
        <v>3187</v>
      </c>
      <c r="C1569" s="1" t="s">
        <v>12</v>
      </c>
      <c r="D1569" s="1" t="s">
        <v>3177</v>
      </c>
      <c r="E1569" s="4">
        <v>1014038.0</v>
      </c>
      <c r="F1569" s="2">
        <v>2.0</v>
      </c>
      <c r="G1569" s="2" t="s">
        <v>1</v>
      </c>
      <c r="H1569" s="2" t="s">
        <v>18</v>
      </c>
      <c r="I1569" s="2" t="s">
        <v>15</v>
      </c>
      <c r="J1569" s="2" t="s">
        <v>15</v>
      </c>
    </row>
    <row r="1570" ht="15.75" customHeight="1">
      <c r="A1570" s="1" t="s">
        <v>3188</v>
      </c>
      <c r="B1570" s="1" t="s">
        <v>3189</v>
      </c>
      <c r="C1570" s="1" t="s">
        <v>12</v>
      </c>
      <c r="D1570" s="1" t="s">
        <v>3177</v>
      </c>
      <c r="E1570" s="4">
        <v>1014038.0</v>
      </c>
      <c r="F1570" s="2">
        <v>3.0</v>
      </c>
      <c r="G1570" s="2" t="s">
        <v>1</v>
      </c>
      <c r="H1570" s="2" t="s">
        <v>14</v>
      </c>
      <c r="I1570" s="2" t="s">
        <v>15</v>
      </c>
      <c r="J1570" s="2" t="s">
        <v>15</v>
      </c>
    </row>
    <row r="1571" ht="15.75" customHeight="1">
      <c r="A1571" s="1" t="s">
        <v>3190</v>
      </c>
      <c r="B1571" s="1" t="s">
        <v>3191</v>
      </c>
      <c r="C1571" s="1" t="s">
        <v>12</v>
      </c>
      <c r="D1571" s="1" t="s">
        <v>3177</v>
      </c>
      <c r="E1571" s="4">
        <v>1014038.0</v>
      </c>
      <c r="F1571" s="2">
        <v>3.0</v>
      </c>
      <c r="G1571" s="2" t="s">
        <v>1</v>
      </c>
      <c r="H1571" s="2" t="s">
        <v>18</v>
      </c>
      <c r="I1571" s="2" t="s">
        <v>15</v>
      </c>
      <c r="J1571" s="2" t="s">
        <v>15</v>
      </c>
    </row>
    <row r="1572" ht="15.75" customHeight="1">
      <c r="A1572" s="1" t="s">
        <v>3192</v>
      </c>
      <c r="B1572" s="1" t="s">
        <v>3193</v>
      </c>
      <c r="C1572" s="1" t="s">
        <v>12</v>
      </c>
      <c r="D1572" s="1" t="s">
        <v>3177</v>
      </c>
      <c r="E1572" s="4">
        <v>1014038.0</v>
      </c>
      <c r="F1572" s="2" t="s">
        <v>30</v>
      </c>
      <c r="G1572" s="2" t="s">
        <v>1</v>
      </c>
      <c r="H1572" s="2" t="s">
        <v>14</v>
      </c>
      <c r="I1572" s="2" t="s">
        <v>15</v>
      </c>
      <c r="J1572" s="2" t="s">
        <v>15</v>
      </c>
    </row>
    <row r="1573" ht="15.75" customHeight="1">
      <c r="A1573" s="1" t="s">
        <v>3194</v>
      </c>
      <c r="B1573" s="1" t="s">
        <v>3195</v>
      </c>
      <c r="C1573" s="1" t="s">
        <v>12</v>
      </c>
      <c r="D1573" s="1" t="s">
        <v>3177</v>
      </c>
      <c r="E1573" s="4">
        <v>1014038.0</v>
      </c>
      <c r="F1573" s="2" t="s">
        <v>15</v>
      </c>
      <c r="G1573" s="2" t="s">
        <v>33</v>
      </c>
      <c r="H1573" s="2" t="s">
        <v>15</v>
      </c>
      <c r="I1573" s="2" t="s">
        <v>15</v>
      </c>
      <c r="J1573" s="2" t="s">
        <v>15</v>
      </c>
    </row>
    <row r="1574" ht="15.75" customHeight="1">
      <c r="A1574" s="1" t="s">
        <v>3196</v>
      </c>
      <c r="B1574" s="3" t="s">
        <v>3197</v>
      </c>
      <c r="C1574" s="1" t="s">
        <v>12</v>
      </c>
      <c r="D1574" s="1" t="s">
        <v>3198</v>
      </c>
      <c r="E1574" s="4">
        <v>1014102.0</v>
      </c>
      <c r="F1574" s="2">
        <v>1.0</v>
      </c>
      <c r="G1574" s="2" t="s">
        <v>1</v>
      </c>
      <c r="H1574" s="2" t="s">
        <v>14</v>
      </c>
      <c r="I1574" s="5" t="str">
        <f>IFERROR(
  MID(
    SUBSTITUTE(B1574, CHAR(10), ""),
    FIND("_Gross ROI=", SUBSTITUTE(B1574, CHAR(10), "")) + LEN("_Gross ROI="),
    FIND("%", SUBSTITUTE(B1574, CHAR(10), ""), FIND("_Gross ROI=", SUBSTITUTE(B1574, CHAR(10), "")))
      - FIND("_Gross ROI=", SUBSTITUTE(B1574, CHAR(10), "")) - LEN("_Gross ROI=") + 1
  ),
  ""
)</f>
        <v>6.52%</v>
      </c>
      <c r="J1574" s="5" t="str">
        <f>IFERROR(
  MID(
    SUBSTITUTE(B1574, CHAR(10), ""),
    FIND("_Median annual rent=", SUBSTITUTE(B1574, CHAR(10), "")) + LEN("_Median annual rent="),
    FIND("K", SUBSTITUTE(B1574, CHAR(10), ""), FIND("_Median annual rent=", SUBSTITUTE(B1574, CHAR(10), "")))
      - FIND("_Median annual rent=", SUBSTITUTE(B1574, CHAR(10), "")) - LEN("_Median annual rent=") + 1
  ),
  "")</f>
        <v>200K</v>
      </c>
    </row>
    <row r="1575" ht="15.75" customHeight="1">
      <c r="A1575" s="1" t="s">
        <v>3199</v>
      </c>
      <c r="B1575" s="1" t="s">
        <v>3200</v>
      </c>
      <c r="C1575" s="1" t="s">
        <v>12</v>
      </c>
      <c r="D1575" s="1" t="s">
        <v>3198</v>
      </c>
      <c r="E1575" s="4">
        <v>1014102.0</v>
      </c>
      <c r="F1575" s="2">
        <v>1.0</v>
      </c>
      <c r="G1575" s="2" t="s">
        <v>1</v>
      </c>
      <c r="H1575" s="2" t="s">
        <v>18</v>
      </c>
      <c r="I1575" s="2" t="s">
        <v>15</v>
      </c>
      <c r="J1575" s="2" t="s">
        <v>15</v>
      </c>
    </row>
    <row r="1576" ht="15.75" customHeight="1">
      <c r="A1576" s="1" t="s">
        <v>3201</v>
      </c>
      <c r="B1576" s="1" t="s">
        <v>3202</v>
      </c>
      <c r="C1576" s="1" t="s">
        <v>12</v>
      </c>
      <c r="D1576" s="1" t="s">
        <v>3198</v>
      </c>
      <c r="E1576" s="4">
        <v>1014102.0</v>
      </c>
      <c r="F1576" s="2">
        <v>1.0</v>
      </c>
      <c r="G1576" s="2" t="s">
        <v>1</v>
      </c>
      <c r="H1576" s="2" t="s">
        <v>53</v>
      </c>
      <c r="I1576" s="2" t="s">
        <v>15</v>
      </c>
      <c r="J1576" s="2" t="s">
        <v>15</v>
      </c>
    </row>
    <row r="1577" ht="15.75" customHeight="1">
      <c r="A1577" s="1" t="s">
        <v>3203</v>
      </c>
      <c r="B1577" s="1" t="s">
        <v>3204</v>
      </c>
      <c r="C1577" s="1" t="s">
        <v>12</v>
      </c>
      <c r="D1577" s="1" t="s">
        <v>3198</v>
      </c>
      <c r="E1577" s="4">
        <v>1014102.0</v>
      </c>
      <c r="F1577" s="2">
        <v>1.0</v>
      </c>
      <c r="G1577" s="2" t="s">
        <v>1</v>
      </c>
      <c r="H1577" s="2" t="s">
        <v>21</v>
      </c>
      <c r="I1577" s="2" t="s">
        <v>15</v>
      </c>
      <c r="J1577" s="2" t="s">
        <v>15</v>
      </c>
    </row>
    <row r="1578" ht="15.75" customHeight="1">
      <c r="A1578" s="1" t="s">
        <v>3205</v>
      </c>
      <c r="B1578" s="1" t="s">
        <v>3206</v>
      </c>
      <c r="C1578" s="1" t="s">
        <v>12</v>
      </c>
      <c r="D1578" s="1" t="s">
        <v>3198</v>
      </c>
      <c r="E1578" s="4">
        <v>1014102.0</v>
      </c>
      <c r="F1578" s="2">
        <v>2.0</v>
      </c>
      <c r="G1578" s="2" t="s">
        <v>1</v>
      </c>
      <c r="H1578" s="2" t="s">
        <v>14</v>
      </c>
      <c r="I1578" s="5" t="str">
        <f>IFERROR(
  MID(
    SUBSTITUTE(B1578, CHAR(10), ""),
    FIND("_Gross ROI=", SUBSTITUTE(B1578, CHAR(10), "")) + LEN("_Gross ROI="),
    FIND("%", SUBSTITUTE(B1578, CHAR(10), ""), FIND("_Gross ROI=", SUBSTITUTE(B1578, CHAR(10), "")))
      - FIND("_Gross ROI=", SUBSTITUTE(B1578, CHAR(10), "")) - LEN("_Gross ROI=") + 1
  ),
  ""
)</f>
        <v>5.82%</v>
      </c>
      <c r="J1578" s="5" t="str">
        <f>IFERROR(
  MID(
    SUBSTITUTE(B1578, CHAR(10), ""),
    FIND("_Median annual rent=", SUBSTITUTE(B1578, CHAR(10), "")) + LEN("_Median annual rent="),
    FIND("K", SUBSTITUTE(B1578, CHAR(10), ""), FIND("_Median annual rent=", SUBSTITUTE(B1578, CHAR(10), "")))
      - FIND("_Median annual rent=", SUBSTITUTE(B1578, CHAR(10), "")) - LEN("_Median annual rent=") + 1
  ),
  "")</f>
        <v>255K</v>
      </c>
    </row>
    <row r="1579" ht="15.75" customHeight="1">
      <c r="A1579" s="1" t="s">
        <v>3207</v>
      </c>
      <c r="B1579" s="1" t="s">
        <v>3208</v>
      </c>
      <c r="C1579" s="1" t="s">
        <v>12</v>
      </c>
      <c r="D1579" s="1" t="s">
        <v>3198</v>
      </c>
      <c r="E1579" s="4">
        <v>1014102.0</v>
      </c>
      <c r="F1579" s="2">
        <v>2.0</v>
      </c>
      <c r="G1579" s="2" t="s">
        <v>1</v>
      </c>
      <c r="H1579" s="2" t="s">
        <v>18</v>
      </c>
      <c r="I1579" s="2" t="s">
        <v>15</v>
      </c>
      <c r="J1579" s="2" t="s">
        <v>15</v>
      </c>
    </row>
    <row r="1580" ht="15.75" customHeight="1">
      <c r="A1580" s="1" t="s">
        <v>3209</v>
      </c>
      <c r="B1580" s="1" t="s">
        <v>3210</v>
      </c>
      <c r="C1580" s="1" t="s">
        <v>12</v>
      </c>
      <c r="D1580" s="1" t="s">
        <v>3198</v>
      </c>
      <c r="E1580" s="4">
        <v>1014102.0</v>
      </c>
      <c r="F1580" s="2">
        <v>2.0</v>
      </c>
      <c r="G1580" s="2" t="s">
        <v>1</v>
      </c>
      <c r="H1580" s="2" t="s">
        <v>53</v>
      </c>
      <c r="I1580" s="2" t="s">
        <v>15</v>
      </c>
      <c r="J1580" s="2" t="s">
        <v>15</v>
      </c>
    </row>
    <row r="1581" ht="15.75" customHeight="1">
      <c r="A1581" s="1" t="s">
        <v>3211</v>
      </c>
      <c r="B1581" s="1" t="s">
        <v>3212</v>
      </c>
      <c r="C1581" s="1" t="s">
        <v>12</v>
      </c>
      <c r="D1581" s="1" t="s">
        <v>3198</v>
      </c>
      <c r="E1581" s="4">
        <v>1014102.0</v>
      </c>
      <c r="F1581" s="2">
        <v>2.0</v>
      </c>
      <c r="G1581" s="2" t="s">
        <v>1</v>
      </c>
      <c r="H1581" s="2" t="s">
        <v>21</v>
      </c>
      <c r="I1581" s="2" t="s">
        <v>15</v>
      </c>
      <c r="J1581" s="2" t="s">
        <v>15</v>
      </c>
    </row>
    <row r="1582" ht="15.75" customHeight="1">
      <c r="A1582" s="1" t="s">
        <v>3213</v>
      </c>
      <c r="B1582" s="1" t="s">
        <v>3214</v>
      </c>
      <c r="C1582" s="1" t="s">
        <v>12</v>
      </c>
      <c r="D1582" s="1" t="s">
        <v>3198</v>
      </c>
      <c r="E1582" s="4">
        <v>1014102.0</v>
      </c>
      <c r="F1582" s="2">
        <v>3.0</v>
      </c>
      <c r="G1582" s="2" t="s">
        <v>1</v>
      </c>
      <c r="H1582" s="2" t="s">
        <v>14</v>
      </c>
      <c r="I1582" s="5" t="str">
        <f>IFERROR(
  MID(
    SUBSTITUTE(B1582, CHAR(10), ""),
    FIND("_Gross ROI=", SUBSTITUTE(B1582, CHAR(10), "")) + LEN("_Gross ROI="),
    FIND("%", SUBSTITUTE(B1582, CHAR(10), ""), FIND("_Gross ROI=", SUBSTITUTE(B1582, CHAR(10), "")))
      - FIND("_Gross ROI=", SUBSTITUTE(B1582, CHAR(10), "")) - LEN("_Gross ROI=") + 1
  ),
  ""
)</f>
        <v>4.26%</v>
      </c>
      <c r="J1582" s="5" t="str">
        <f>IFERROR(
  MID(
    SUBSTITUTE(B1582, CHAR(10), ""),
    FIND("_Median annual rent=", SUBSTITUTE(B1582, CHAR(10), "")) + LEN("_Median annual rent="),
    FIND("K", SUBSTITUTE(B1582, CHAR(10), ""), FIND("_Median annual rent=", SUBSTITUTE(B1582, CHAR(10), "")))
      - FIND("_Median annual rent=", SUBSTITUTE(B1582, CHAR(10), "")) - LEN("_Median annual rent=") + 1
  ),
  "")</f>
        <v>400K</v>
      </c>
    </row>
    <row r="1583" ht="15.75" customHeight="1">
      <c r="A1583" s="1" t="s">
        <v>3215</v>
      </c>
      <c r="B1583" s="1" t="s">
        <v>3216</v>
      </c>
      <c r="C1583" s="1" t="s">
        <v>12</v>
      </c>
      <c r="D1583" s="1" t="s">
        <v>3198</v>
      </c>
      <c r="E1583" s="4">
        <v>1014102.0</v>
      </c>
      <c r="F1583" s="2">
        <v>3.0</v>
      </c>
      <c r="G1583" s="2" t="s">
        <v>1</v>
      </c>
      <c r="H1583" s="2" t="s">
        <v>18</v>
      </c>
      <c r="I1583" s="2" t="s">
        <v>15</v>
      </c>
      <c r="J1583" s="2" t="s">
        <v>15</v>
      </c>
    </row>
    <row r="1584" ht="15.75" customHeight="1">
      <c r="A1584" s="1" t="s">
        <v>3217</v>
      </c>
      <c r="B1584" s="1" t="s">
        <v>3218</v>
      </c>
      <c r="C1584" s="1" t="s">
        <v>12</v>
      </c>
      <c r="D1584" s="1" t="s">
        <v>3198</v>
      </c>
      <c r="E1584" s="4">
        <v>1014102.0</v>
      </c>
      <c r="F1584" s="2">
        <v>3.0</v>
      </c>
      <c r="G1584" s="2" t="s">
        <v>1</v>
      </c>
      <c r="H1584" s="2" t="s">
        <v>53</v>
      </c>
      <c r="I1584" s="2" t="s">
        <v>15</v>
      </c>
      <c r="J1584" s="2" t="s">
        <v>15</v>
      </c>
    </row>
    <row r="1585" ht="15.75" customHeight="1">
      <c r="A1585" s="1" t="s">
        <v>3219</v>
      </c>
      <c r="B1585" s="1" t="s">
        <v>3220</v>
      </c>
      <c r="C1585" s="1" t="s">
        <v>12</v>
      </c>
      <c r="D1585" s="1" t="s">
        <v>3198</v>
      </c>
      <c r="E1585" s="4">
        <v>1014102.0</v>
      </c>
      <c r="F1585" s="2">
        <v>3.0</v>
      </c>
      <c r="G1585" s="2" t="s">
        <v>1</v>
      </c>
      <c r="H1585" s="2" t="s">
        <v>21</v>
      </c>
      <c r="I1585" s="2" t="s">
        <v>15</v>
      </c>
      <c r="J1585" s="2" t="s">
        <v>15</v>
      </c>
    </row>
    <row r="1586" ht="15.75" customHeight="1">
      <c r="A1586" s="1" t="s">
        <v>3221</v>
      </c>
      <c r="B1586" s="1" t="s">
        <v>3222</v>
      </c>
      <c r="C1586" s="1" t="s">
        <v>12</v>
      </c>
      <c r="D1586" s="1" t="s">
        <v>3198</v>
      </c>
      <c r="E1586" s="4">
        <v>1014102.0</v>
      </c>
      <c r="F1586" s="2">
        <v>4.0</v>
      </c>
      <c r="G1586" s="2" t="s">
        <v>1</v>
      </c>
      <c r="H1586" s="2" t="s">
        <v>14</v>
      </c>
      <c r="I1586" s="2" t="s">
        <v>15</v>
      </c>
      <c r="J1586" s="2" t="s">
        <v>15</v>
      </c>
    </row>
    <row r="1587" ht="15.75" customHeight="1">
      <c r="A1587" s="1" t="s">
        <v>3223</v>
      </c>
      <c r="B1587" s="1" t="s">
        <v>3224</v>
      </c>
      <c r="C1587" s="1" t="s">
        <v>12</v>
      </c>
      <c r="D1587" s="1" t="s">
        <v>3198</v>
      </c>
      <c r="E1587" s="4">
        <v>1014102.0</v>
      </c>
      <c r="F1587" s="2">
        <v>4.0</v>
      </c>
      <c r="G1587" s="2" t="s">
        <v>1</v>
      </c>
      <c r="H1587" s="2" t="s">
        <v>18</v>
      </c>
      <c r="I1587" s="2" t="s">
        <v>15</v>
      </c>
      <c r="J1587" s="2" t="s">
        <v>15</v>
      </c>
    </row>
    <row r="1588" ht="15.75" customHeight="1">
      <c r="A1588" s="1" t="s">
        <v>3225</v>
      </c>
      <c r="B1588" s="1" t="s">
        <v>3226</v>
      </c>
      <c r="C1588" s="1" t="s">
        <v>12</v>
      </c>
      <c r="D1588" s="1" t="s">
        <v>3198</v>
      </c>
      <c r="E1588" s="4">
        <v>1014102.0</v>
      </c>
      <c r="F1588" s="2">
        <v>5.0</v>
      </c>
      <c r="G1588" s="2" t="s">
        <v>1</v>
      </c>
      <c r="H1588" s="2" t="s">
        <v>14</v>
      </c>
      <c r="I1588" s="2" t="s">
        <v>15</v>
      </c>
      <c r="J1588" s="2" t="s">
        <v>15</v>
      </c>
    </row>
    <row r="1589" ht="15.75" customHeight="1">
      <c r="A1589" s="1" t="s">
        <v>3227</v>
      </c>
      <c r="B1589" s="1" t="s">
        <v>3228</v>
      </c>
      <c r="C1589" s="1" t="s">
        <v>12</v>
      </c>
      <c r="D1589" s="1" t="s">
        <v>3198</v>
      </c>
      <c r="E1589" s="4">
        <v>1014102.0</v>
      </c>
      <c r="F1589" s="2">
        <v>5.0</v>
      </c>
      <c r="G1589" s="2" t="s">
        <v>1</v>
      </c>
      <c r="H1589" s="2" t="s">
        <v>18</v>
      </c>
      <c r="I1589" s="2" t="s">
        <v>15</v>
      </c>
      <c r="J1589" s="2" t="s">
        <v>15</v>
      </c>
    </row>
    <row r="1590" ht="15.75" customHeight="1">
      <c r="A1590" s="1" t="s">
        <v>3229</v>
      </c>
      <c r="B1590" s="1" t="s">
        <v>3230</v>
      </c>
      <c r="C1590" s="1" t="s">
        <v>12</v>
      </c>
      <c r="D1590" s="1" t="s">
        <v>3198</v>
      </c>
      <c r="E1590" s="4">
        <v>1014102.0</v>
      </c>
      <c r="F1590" s="2">
        <v>5.0</v>
      </c>
      <c r="G1590" s="2" t="s">
        <v>1</v>
      </c>
      <c r="H1590" s="2" t="s">
        <v>53</v>
      </c>
      <c r="I1590" s="2" t="s">
        <v>15</v>
      </c>
      <c r="J1590" s="2" t="s">
        <v>15</v>
      </c>
    </row>
    <row r="1591" ht="15.75" customHeight="1">
      <c r="A1591" s="1" t="s">
        <v>3231</v>
      </c>
      <c r="B1591" s="1" t="s">
        <v>3232</v>
      </c>
      <c r="C1591" s="1" t="s">
        <v>12</v>
      </c>
      <c r="D1591" s="1" t="s">
        <v>3198</v>
      </c>
      <c r="E1591" s="4">
        <v>1014102.0</v>
      </c>
      <c r="F1591" s="2">
        <v>5.0</v>
      </c>
      <c r="G1591" s="2" t="s">
        <v>1</v>
      </c>
      <c r="H1591" s="2" t="s">
        <v>21</v>
      </c>
      <c r="I1591" s="2" t="s">
        <v>15</v>
      </c>
      <c r="J1591" s="2" t="s">
        <v>15</v>
      </c>
    </row>
    <row r="1592" ht="15.75" customHeight="1">
      <c r="A1592" s="1" t="s">
        <v>3233</v>
      </c>
      <c r="B1592" s="3" t="s">
        <v>3234</v>
      </c>
      <c r="C1592" s="1" t="s">
        <v>12</v>
      </c>
      <c r="D1592" s="1" t="s">
        <v>3198</v>
      </c>
      <c r="E1592" s="4">
        <v>1014102.0</v>
      </c>
      <c r="F1592" s="2" t="s">
        <v>15</v>
      </c>
      <c r="G1592" s="2" t="s">
        <v>1</v>
      </c>
      <c r="H1592" s="2" t="s">
        <v>53</v>
      </c>
      <c r="I1592" s="2" t="s">
        <v>15</v>
      </c>
      <c r="J1592" s="2" t="s">
        <v>15</v>
      </c>
    </row>
    <row r="1593" ht="15.75" customHeight="1">
      <c r="A1593" s="1" t="s">
        <v>3235</v>
      </c>
      <c r="B1593" s="1" t="s">
        <v>3236</v>
      </c>
      <c r="C1593" s="1" t="s">
        <v>12</v>
      </c>
      <c r="D1593" s="1" t="s">
        <v>3198</v>
      </c>
      <c r="E1593" s="4">
        <v>1014102.0</v>
      </c>
      <c r="F1593" s="2" t="s">
        <v>3237</v>
      </c>
      <c r="G1593" s="2" t="s">
        <v>1</v>
      </c>
      <c r="H1593" s="2" t="s">
        <v>14</v>
      </c>
      <c r="I1593" s="2" t="s">
        <v>15</v>
      </c>
      <c r="J1593" s="2" t="s">
        <v>15</v>
      </c>
    </row>
    <row r="1594" ht="15.75" customHeight="1">
      <c r="A1594" s="1" t="s">
        <v>3238</v>
      </c>
      <c r="B1594" s="1" t="s">
        <v>3239</v>
      </c>
      <c r="C1594" s="1" t="s">
        <v>12</v>
      </c>
      <c r="D1594" s="1" t="s">
        <v>3198</v>
      </c>
      <c r="E1594" s="4">
        <v>1014102.0</v>
      </c>
      <c r="F1594" s="2" t="s">
        <v>3237</v>
      </c>
      <c r="G1594" s="2" t="s">
        <v>1</v>
      </c>
      <c r="H1594" s="2" t="s">
        <v>18</v>
      </c>
      <c r="I1594" s="2" t="s">
        <v>15</v>
      </c>
      <c r="J1594" s="2" t="s">
        <v>15</v>
      </c>
    </row>
    <row r="1595" ht="15.75" customHeight="1">
      <c r="A1595" s="1" t="s">
        <v>3240</v>
      </c>
      <c r="B1595" s="1" t="s">
        <v>3241</v>
      </c>
      <c r="C1595" s="1" t="s">
        <v>12</v>
      </c>
      <c r="D1595" s="1" t="s">
        <v>3198</v>
      </c>
      <c r="E1595" s="4">
        <v>1014102.0</v>
      </c>
      <c r="F1595" s="2" t="s">
        <v>30</v>
      </c>
      <c r="G1595" s="2" t="s">
        <v>1</v>
      </c>
      <c r="H1595" s="2" t="s">
        <v>53</v>
      </c>
      <c r="I1595" s="2" t="s">
        <v>15</v>
      </c>
      <c r="J1595" s="2" t="s">
        <v>15</v>
      </c>
    </row>
    <row r="1596" ht="15.75" customHeight="1">
      <c r="A1596" s="1" t="s">
        <v>3242</v>
      </c>
      <c r="B1596" s="1" t="s">
        <v>3243</v>
      </c>
      <c r="C1596" s="1" t="s">
        <v>12</v>
      </c>
      <c r="D1596" s="1" t="s">
        <v>3198</v>
      </c>
      <c r="E1596" s="4">
        <v>1014102.0</v>
      </c>
      <c r="F1596" s="2" t="s">
        <v>30</v>
      </c>
      <c r="G1596" s="2" t="s">
        <v>1</v>
      </c>
      <c r="H1596" s="2" t="s">
        <v>14</v>
      </c>
      <c r="I1596" s="2" t="s">
        <v>15</v>
      </c>
      <c r="J1596" s="2" t="s">
        <v>15</v>
      </c>
    </row>
    <row r="1597" ht="15.75" customHeight="1">
      <c r="A1597" s="1" t="s">
        <v>3244</v>
      </c>
      <c r="B1597" s="1" t="s">
        <v>3245</v>
      </c>
      <c r="C1597" s="1" t="s">
        <v>12</v>
      </c>
      <c r="D1597" s="1" t="s">
        <v>3198</v>
      </c>
      <c r="E1597" s="4">
        <v>1014102.0</v>
      </c>
      <c r="F1597" s="2" t="s">
        <v>15</v>
      </c>
      <c r="G1597" s="2" t="s">
        <v>33</v>
      </c>
      <c r="H1597" s="2" t="s">
        <v>15</v>
      </c>
      <c r="I1597" s="2" t="s">
        <v>15</v>
      </c>
      <c r="J1597" s="2" t="s">
        <v>15</v>
      </c>
    </row>
    <row r="1598" ht="15.75" customHeight="1">
      <c r="A1598" s="1" t="s">
        <v>3246</v>
      </c>
      <c r="B1598" s="1" t="s">
        <v>3247</v>
      </c>
      <c r="C1598" s="1" t="s">
        <v>12</v>
      </c>
      <c r="D1598" s="1" t="s">
        <v>3198</v>
      </c>
      <c r="E1598" s="4">
        <v>1014102.0</v>
      </c>
      <c r="F1598" s="2">
        <v>1.0</v>
      </c>
      <c r="G1598" s="2" t="s">
        <v>1</v>
      </c>
      <c r="H1598" s="2" t="s">
        <v>37</v>
      </c>
      <c r="I1598" s="2" t="s">
        <v>15</v>
      </c>
      <c r="J1598" s="2" t="s">
        <v>15</v>
      </c>
    </row>
    <row r="1599" ht="15.75" customHeight="1">
      <c r="A1599" s="1" t="s">
        <v>3248</v>
      </c>
      <c r="B1599" s="1" t="s">
        <v>3249</v>
      </c>
      <c r="C1599" s="1" t="s">
        <v>12</v>
      </c>
      <c r="D1599" s="1" t="s">
        <v>3198</v>
      </c>
      <c r="E1599" s="4">
        <v>1014102.0</v>
      </c>
      <c r="F1599" s="2">
        <v>2.0</v>
      </c>
      <c r="G1599" s="2" t="s">
        <v>1</v>
      </c>
      <c r="H1599" s="2" t="s">
        <v>37</v>
      </c>
      <c r="I1599" s="2" t="s">
        <v>15</v>
      </c>
      <c r="J1599" s="2" t="s">
        <v>15</v>
      </c>
    </row>
    <row r="1600" ht="15.75" customHeight="1">
      <c r="A1600" s="1" t="s">
        <v>3250</v>
      </c>
      <c r="B1600" s="1" t="s">
        <v>3251</v>
      </c>
      <c r="C1600" s="1" t="s">
        <v>12</v>
      </c>
      <c r="D1600" s="1" t="s">
        <v>3198</v>
      </c>
      <c r="E1600" s="4">
        <v>1014102.0</v>
      </c>
      <c r="F1600" s="2">
        <v>3.0</v>
      </c>
      <c r="G1600" s="2" t="s">
        <v>1</v>
      </c>
      <c r="H1600" s="2" t="s">
        <v>37</v>
      </c>
      <c r="I1600" s="2" t="s">
        <v>15</v>
      </c>
      <c r="J1600" s="2" t="s">
        <v>15</v>
      </c>
    </row>
    <row r="1601" ht="15.75" customHeight="1">
      <c r="A1601" s="1" t="s">
        <v>3252</v>
      </c>
      <c r="B1601" s="1" t="s">
        <v>3253</v>
      </c>
      <c r="C1601" s="1" t="s">
        <v>12</v>
      </c>
      <c r="D1601" s="1" t="s">
        <v>3198</v>
      </c>
      <c r="E1601" s="4">
        <v>1014102.0</v>
      </c>
      <c r="F1601" s="2">
        <v>5.0</v>
      </c>
      <c r="G1601" s="2" t="s">
        <v>1</v>
      </c>
      <c r="H1601" s="2" t="s">
        <v>37</v>
      </c>
      <c r="I1601" s="2" t="s">
        <v>15</v>
      </c>
      <c r="J1601" s="2" t="s">
        <v>15</v>
      </c>
    </row>
    <row r="1602" ht="15.75" customHeight="1">
      <c r="A1602" s="1" t="s">
        <v>3254</v>
      </c>
      <c r="B1602" s="1" t="s">
        <v>3255</v>
      </c>
      <c r="C1602" s="1" t="s">
        <v>12</v>
      </c>
      <c r="D1602" s="1" t="s">
        <v>3198</v>
      </c>
      <c r="E1602" s="4">
        <v>1014102.0</v>
      </c>
      <c r="F1602" s="2" t="s">
        <v>30</v>
      </c>
      <c r="G1602" s="2" t="s">
        <v>1</v>
      </c>
      <c r="H1602" s="2" t="s">
        <v>37</v>
      </c>
      <c r="I1602" s="2" t="s">
        <v>15</v>
      </c>
      <c r="J1602" s="2" t="s">
        <v>15</v>
      </c>
    </row>
    <row r="1603" ht="15.75" customHeight="1">
      <c r="A1603" s="1" t="s">
        <v>3256</v>
      </c>
      <c r="B1603" s="1" t="s">
        <v>3257</v>
      </c>
      <c r="C1603" s="1" t="s">
        <v>12</v>
      </c>
      <c r="D1603" s="1" t="s">
        <v>3258</v>
      </c>
      <c r="E1603" s="4">
        <v>1014166.0</v>
      </c>
      <c r="F1603" s="2">
        <v>1.0</v>
      </c>
      <c r="G1603" s="2" t="s">
        <v>1</v>
      </c>
      <c r="H1603" s="2" t="s">
        <v>14</v>
      </c>
      <c r="I1603" s="5" t="str">
        <f>IFERROR(
  MID(
    SUBSTITUTE(B1603, CHAR(10), ""),
    FIND("_Gross ROI=", SUBSTITUTE(B1603, CHAR(10), "")) + LEN("_Gross ROI="),
    FIND("%", SUBSTITUTE(B1603, CHAR(10), ""), FIND("_Gross ROI=", SUBSTITUTE(B1603, CHAR(10), "")))
      - FIND("_Gross ROI=", SUBSTITUTE(B1603, CHAR(10), "")) - LEN("_Gross ROI=") + 1
  ),
  ""
)</f>
        <v>6.73%</v>
      </c>
      <c r="J1603" s="5" t="str">
        <f>IFERROR(
  MID(
    SUBSTITUTE(B1603, CHAR(10), ""),
    FIND("_Median annual rent=", SUBSTITUTE(B1603, CHAR(10), "")) + LEN("_Median annual rent="),
    FIND("K", SUBSTITUTE(B1603, CHAR(10), ""), FIND("_Median annual rent=", SUBSTITUTE(B1603, CHAR(10), "")))
      - FIND("_Median annual rent=", SUBSTITUTE(B1603, CHAR(10), "")) - LEN("_Median annual rent=") + 1
  ),
  "")</f>
        <v>200K</v>
      </c>
    </row>
    <row r="1604" ht="15.75" customHeight="1">
      <c r="A1604" s="1" t="s">
        <v>3259</v>
      </c>
      <c r="B1604" s="1" t="s">
        <v>3260</v>
      </c>
      <c r="C1604" s="1" t="s">
        <v>12</v>
      </c>
      <c r="D1604" s="1" t="s">
        <v>3258</v>
      </c>
      <c r="E1604" s="4">
        <v>1014166.0</v>
      </c>
      <c r="F1604" s="2">
        <v>1.0</v>
      </c>
      <c r="G1604" s="2" t="s">
        <v>1</v>
      </c>
      <c r="H1604" s="2" t="s">
        <v>18</v>
      </c>
      <c r="I1604" s="2" t="s">
        <v>15</v>
      </c>
      <c r="J1604" s="2" t="s">
        <v>15</v>
      </c>
    </row>
    <row r="1605" ht="15.75" customHeight="1">
      <c r="A1605" s="1" t="s">
        <v>3261</v>
      </c>
      <c r="B1605" s="1" t="s">
        <v>3202</v>
      </c>
      <c r="C1605" s="1" t="s">
        <v>12</v>
      </c>
      <c r="D1605" s="1" t="s">
        <v>3258</v>
      </c>
      <c r="E1605" s="4">
        <v>1014166.0</v>
      </c>
      <c r="F1605" s="2">
        <v>1.0</v>
      </c>
      <c r="G1605" s="2" t="s">
        <v>1</v>
      </c>
      <c r="H1605" s="2" t="s">
        <v>53</v>
      </c>
      <c r="I1605" s="2" t="s">
        <v>15</v>
      </c>
      <c r="J1605" s="2" t="s">
        <v>15</v>
      </c>
    </row>
    <row r="1606" ht="15.75" customHeight="1">
      <c r="A1606" s="1" t="s">
        <v>3262</v>
      </c>
      <c r="B1606" s="1" t="s">
        <v>3263</v>
      </c>
      <c r="C1606" s="1" t="s">
        <v>12</v>
      </c>
      <c r="D1606" s="1" t="s">
        <v>3258</v>
      </c>
      <c r="E1606" s="4">
        <v>1014166.0</v>
      </c>
      <c r="F1606" s="2">
        <v>1.0</v>
      </c>
      <c r="G1606" s="2" t="s">
        <v>1</v>
      </c>
      <c r="H1606" s="2" t="s">
        <v>21</v>
      </c>
      <c r="I1606" s="2" t="s">
        <v>15</v>
      </c>
      <c r="J1606" s="2" t="s">
        <v>15</v>
      </c>
    </row>
    <row r="1607" ht="15.75" customHeight="1">
      <c r="A1607" s="1" t="s">
        <v>3264</v>
      </c>
      <c r="B1607" s="1" t="s">
        <v>3265</v>
      </c>
      <c r="C1607" s="1" t="s">
        <v>12</v>
      </c>
      <c r="D1607" s="1" t="s">
        <v>3258</v>
      </c>
      <c r="E1607" s="4">
        <v>1014166.0</v>
      </c>
      <c r="F1607" s="2">
        <v>2.0</v>
      </c>
      <c r="G1607" s="2" t="s">
        <v>1</v>
      </c>
      <c r="H1607" s="2" t="s">
        <v>14</v>
      </c>
      <c r="I1607" s="5" t="str">
        <f>IFERROR(
  MID(
    SUBSTITUTE(B1607, CHAR(10), ""),
    FIND("_Gross ROI=", SUBSTITUTE(B1607, CHAR(10), "")) + LEN("_Gross ROI="),
    FIND("%", SUBSTITUTE(B1607, CHAR(10), ""), FIND("_Gross ROI=", SUBSTITUTE(B1607, CHAR(10), "")))
      - FIND("_Gross ROI=", SUBSTITUTE(B1607, CHAR(10), "")) - LEN("_Gross ROI=") + 1
  ),
  ""
)</f>
        <v>5.67%</v>
      </c>
      <c r="J1607" s="5" t="str">
        <f>IFERROR(
  MID(
    SUBSTITUTE(B1607, CHAR(10), ""),
    FIND("_Median annual rent=", SUBSTITUTE(B1607, CHAR(10), "")) + LEN("_Median annual rent="),
    FIND("K", SUBSTITUTE(B1607, CHAR(10), ""), FIND("_Median annual rent=", SUBSTITUTE(B1607, CHAR(10), "")))
      - FIND("_Median annual rent=", SUBSTITUTE(B1607, CHAR(10), "")) - LEN("_Median annual rent=") + 1
  ),
  "")</f>
        <v>255K</v>
      </c>
    </row>
    <row r="1608" ht="15.75" customHeight="1">
      <c r="A1608" s="1" t="s">
        <v>3266</v>
      </c>
      <c r="B1608" s="1" t="s">
        <v>3267</v>
      </c>
      <c r="C1608" s="1" t="s">
        <v>12</v>
      </c>
      <c r="D1608" s="1" t="s">
        <v>3258</v>
      </c>
      <c r="E1608" s="4">
        <v>1014166.0</v>
      </c>
      <c r="F1608" s="2">
        <v>2.0</v>
      </c>
      <c r="G1608" s="2" t="s">
        <v>1</v>
      </c>
      <c r="H1608" s="2" t="s">
        <v>18</v>
      </c>
      <c r="I1608" s="2" t="s">
        <v>15</v>
      </c>
      <c r="J1608" s="2" t="s">
        <v>15</v>
      </c>
    </row>
    <row r="1609" ht="15.75" customHeight="1">
      <c r="A1609" s="1" t="s">
        <v>3268</v>
      </c>
      <c r="B1609" s="1" t="s">
        <v>3210</v>
      </c>
      <c r="C1609" s="1" t="s">
        <v>12</v>
      </c>
      <c r="D1609" s="1" t="s">
        <v>3258</v>
      </c>
      <c r="E1609" s="4">
        <v>1014166.0</v>
      </c>
      <c r="F1609" s="2">
        <v>2.0</v>
      </c>
      <c r="G1609" s="2" t="s">
        <v>1</v>
      </c>
      <c r="H1609" s="2" t="s">
        <v>53</v>
      </c>
      <c r="I1609" s="2" t="s">
        <v>15</v>
      </c>
      <c r="J1609" s="2" t="s">
        <v>15</v>
      </c>
    </row>
    <row r="1610" ht="15.75" customHeight="1">
      <c r="A1610" s="1" t="s">
        <v>3269</v>
      </c>
      <c r="B1610" s="1" t="s">
        <v>3270</v>
      </c>
      <c r="C1610" s="1" t="s">
        <v>12</v>
      </c>
      <c r="D1610" s="1" t="s">
        <v>3258</v>
      </c>
      <c r="E1610" s="4">
        <v>1014166.0</v>
      </c>
      <c r="F1610" s="2">
        <v>2.0</v>
      </c>
      <c r="G1610" s="2" t="s">
        <v>1</v>
      </c>
      <c r="H1610" s="2" t="s">
        <v>21</v>
      </c>
      <c r="I1610" s="2" t="s">
        <v>15</v>
      </c>
      <c r="J1610" s="2" t="s">
        <v>15</v>
      </c>
    </row>
    <row r="1611" ht="15.75" customHeight="1">
      <c r="A1611" s="1" t="s">
        <v>3271</v>
      </c>
      <c r="B1611" s="1" t="s">
        <v>3272</v>
      </c>
      <c r="C1611" s="1" t="s">
        <v>12</v>
      </c>
      <c r="D1611" s="1" t="s">
        <v>3258</v>
      </c>
      <c r="E1611" s="4">
        <v>1014166.0</v>
      </c>
      <c r="F1611" s="2">
        <v>3.0</v>
      </c>
      <c r="G1611" s="2" t="s">
        <v>1</v>
      </c>
      <c r="H1611" s="2" t="s">
        <v>14</v>
      </c>
      <c r="I1611" s="5" t="str">
        <f>IFERROR(
  MID(
    SUBSTITUTE(B1611, CHAR(10), ""),
    FIND("_Gross ROI=", SUBSTITUTE(B1611, CHAR(10), "")) + LEN("_Gross ROI="),
    FIND("%", SUBSTITUTE(B1611, CHAR(10), ""), FIND("_Gross ROI=", SUBSTITUTE(B1611, CHAR(10), "")))
      - FIND("_Gross ROI=", SUBSTITUTE(B1611, CHAR(10), "")) - LEN("_Gross ROI=") + 1
  ),
  ""
)</f>
        <v>5.44%</v>
      </c>
      <c r="J1611" s="5" t="str">
        <f>IFERROR(
  MID(
    SUBSTITUTE(B1611, CHAR(10), ""),
    FIND("_Median annual rent=", SUBSTITUTE(B1611, CHAR(10), "")) + LEN("_Median annual rent="),
    FIND("K", SUBSTITUTE(B1611, CHAR(10), ""), FIND("_Median annual rent=", SUBSTITUTE(B1611, CHAR(10), "")))
      - FIND("_Median annual rent=", SUBSTITUTE(B1611, CHAR(10), "")) - LEN("_Median annual rent=") + 1
  ),
  "")</f>
        <v>400K</v>
      </c>
    </row>
    <row r="1612" ht="15.75" customHeight="1">
      <c r="A1612" s="1" t="s">
        <v>3273</v>
      </c>
      <c r="B1612" s="1" t="s">
        <v>3274</v>
      </c>
      <c r="C1612" s="1" t="s">
        <v>12</v>
      </c>
      <c r="D1612" s="1" t="s">
        <v>3258</v>
      </c>
      <c r="E1612" s="4">
        <v>1014166.0</v>
      </c>
      <c r="F1612" s="2">
        <v>3.0</v>
      </c>
      <c r="G1612" s="2" t="s">
        <v>1</v>
      </c>
      <c r="H1612" s="2" t="s">
        <v>18</v>
      </c>
      <c r="I1612" s="2" t="s">
        <v>15</v>
      </c>
      <c r="J1612" s="2" t="s">
        <v>15</v>
      </c>
    </row>
    <row r="1613" ht="15.75" customHeight="1">
      <c r="A1613" s="1" t="s">
        <v>3275</v>
      </c>
      <c r="B1613" s="1" t="s">
        <v>3218</v>
      </c>
      <c r="C1613" s="1" t="s">
        <v>12</v>
      </c>
      <c r="D1613" s="1" t="s">
        <v>3258</v>
      </c>
      <c r="E1613" s="4">
        <v>1014166.0</v>
      </c>
      <c r="F1613" s="2">
        <v>3.0</v>
      </c>
      <c r="G1613" s="2" t="s">
        <v>1</v>
      </c>
      <c r="H1613" s="2" t="s">
        <v>53</v>
      </c>
      <c r="I1613" s="2" t="s">
        <v>15</v>
      </c>
      <c r="J1613" s="2" t="s">
        <v>15</v>
      </c>
    </row>
    <row r="1614" ht="15.75" customHeight="1">
      <c r="A1614" s="1" t="s">
        <v>3276</v>
      </c>
      <c r="B1614" s="1" t="s">
        <v>3277</v>
      </c>
      <c r="C1614" s="1" t="s">
        <v>12</v>
      </c>
      <c r="D1614" s="1" t="s">
        <v>3258</v>
      </c>
      <c r="E1614" s="4">
        <v>1014166.0</v>
      </c>
      <c r="F1614" s="2">
        <v>3.0</v>
      </c>
      <c r="G1614" s="2" t="s">
        <v>1</v>
      </c>
      <c r="H1614" s="2" t="s">
        <v>21</v>
      </c>
      <c r="I1614" s="2" t="s">
        <v>15</v>
      </c>
      <c r="J1614" s="2" t="s">
        <v>15</v>
      </c>
    </row>
    <row r="1615" ht="15.75" customHeight="1">
      <c r="A1615" s="1" t="s">
        <v>3278</v>
      </c>
      <c r="B1615" s="1" t="s">
        <v>3279</v>
      </c>
      <c r="C1615" s="1" t="s">
        <v>12</v>
      </c>
      <c r="D1615" s="1" t="s">
        <v>3258</v>
      </c>
      <c r="E1615" s="4">
        <v>1014166.0</v>
      </c>
      <c r="F1615" s="2">
        <v>5.0</v>
      </c>
      <c r="G1615" s="2" t="s">
        <v>1</v>
      </c>
      <c r="H1615" s="2" t="s">
        <v>14</v>
      </c>
      <c r="I1615" s="2" t="s">
        <v>15</v>
      </c>
      <c r="J1615" s="2" t="s">
        <v>15</v>
      </c>
    </row>
    <row r="1616" ht="15.75" customHeight="1">
      <c r="A1616" s="1" t="s">
        <v>3280</v>
      </c>
      <c r="B1616" s="1" t="s">
        <v>3281</v>
      </c>
      <c r="C1616" s="1" t="s">
        <v>12</v>
      </c>
      <c r="D1616" s="1" t="s">
        <v>3258</v>
      </c>
      <c r="E1616" s="4">
        <v>1014166.0</v>
      </c>
      <c r="F1616" s="2">
        <v>5.0</v>
      </c>
      <c r="G1616" s="2" t="s">
        <v>1</v>
      </c>
      <c r="H1616" s="2" t="s">
        <v>18</v>
      </c>
      <c r="I1616" s="2" t="s">
        <v>15</v>
      </c>
      <c r="J1616" s="2" t="s">
        <v>15</v>
      </c>
    </row>
    <row r="1617" ht="15.75" customHeight="1">
      <c r="A1617" s="1" t="s">
        <v>3282</v>
      </c>
      <c r="B1617" s="1" t="s">
        <v>3230</v>
      </c>
      <c r="C1617" s="1" t="s">
        <v>12</v>
      </c>
      <c r="D1617" s="1" t="s">
        <v>3258</v>
      </c>
      <c r="E1617" s="4">
        <v>1014166.0</v>
      </c>
      <c r="F1617" s="2">
        <v>5.0</v>
      </c>
      <c r="G1617" s="2" t="s">
        <v>1</v>
      </c>
      <c r="H1617" s="2" t="s">
        <v>53</v>
      </c>
      <c r="I1617" s="2" t="s">
        <v>15</v>
      </c>
      <c r="J1617" s="2" t="s">
        <v>15</v>
      </c>
    </row>
    <row r="1618" ht="15.75" customHeight="1">
      <c r="A1618" s="1" t="s">
        <v>3283</v>
      </c>
      <c r="B1618" s="1" t="s">
        <v>3284</v>
      </c>
      <c r="C1618" s="1" t="s">
        <v>12</v>
      </c>
      <c r="D1618" s="1" t="s">
        <v>3258</v>
      </c>
      <c r="E1618" s="4">
        <v>1014166.0</v>
      </c>
      <c r="F1618" s="2">
        <v>5.0</v>
      </c>
      <c r="G1618" s="2" t="s">
        <v>1</v>
      </c>
      <c r="H1618" s="2" t="s">
        <v>21</v>
      </c>
      <c r="I1618" s="2" t="s">
        <v>15</v>
      </c>
      <c r="J1618" s="2" t="s">
        <v>15</v>
      </c>
    </row>
    <row r="1619" ht="15.75" customHeight="1">
      <c r="A1619" s="1" t="s">
        <v>3285</v>
      </c>
      <c r="B1619" s="1" t="s">
        <v>3286</v>
      </c>
      <c r="C1619" s="1" t="s">
        <v>12</v>
      </c>
      <c r="D1619" s="1" t="s">
        <v>3258</v>
      </c>
      <c r="E1619" s="4">
        <v>1014166.0</v>
      </c>
      <c r="F1619" s="2" t="s">
        <v>15</v>
      </c>
      <c r="G1619" s="2" t="s">
        <v>1</v>
      </c>
      <c r="H1619" s="2" t="s">
        <v>53</v>
      </c>
      <c r="I1619" s="2" t="s">
        <v>15</v>
      </c>
      <c r="J1619" s="2" t="s">
        <v>15</v>
      </c>
    </row>
    <row r="1620" ht="15.75" customHeight="1">
      <c r="A1620" s="1" t="s">
        <v>3287</v>
      </c>
      <c r="B1620" s="1" t="s">
        <v>3241</v>
      </c>
      <c r="C1620" s="1" t="s">
        <v>12</v>
      </c>
      <c r="D1620" s="1" t="s">
        <v>3258</v>
      </c>
      <c r="E1620" s="4">
        <v>1014166.0</v>
      </c>
      <c r="F1620" s="2" t="s">
        <v>30</v>
      </c>
      <c r="G1620" s="2" t="s">
        <v>1</v>
      </c>
      <c r="H1620" s="2" t="s">
        <v>53</v>
      </c>
      <c r="I1620" s="2" t="s">
        <v>15</v>
      </c>
      <c r="J1620" s="2" t="s">
        <v>15</v>
      </c>
    </row>
    <row r="1621" ht="15.75" customHeight="1">
      <c r="A1621" s="1" t="s">
        <v>3288</v>
      </c>
      <c r="B1621" s="1" t="s">
        <v>3289</v>
      </c>
      <c r="C1621" s="1" t="s">
        <v>12</v>
      </c>
      <c r="D1621" s="1" t="s">
        <v>3258</v>
      </c>
      <c r="E1621" s="4">
        <v>1014166.0</v>
      </c>
      <c r="F1621" s="2" t="s">
        <v>30</v>
      </c>
      <c r="G1621" s="2" t="s">
        <v>1</v>
      </c>
      <c r="H1621" s="2" t="s">
        <v>14</v>
      </c>
      <c r="I1621" s="2" t="s">
        <v>15</v>
      </c>
      <c r="J1621" s="2" t="s">
        <v>15</v>
      </c>
    </row>
    <row r="1622" ht="15.75" customHeight="1">
      <c r="A1622" s="1" t="s">
        <v>3290</v>
      </c>
      <c r="B1622" s="1" t="s">
        <v>3291</v>
      </c>
      <c r="C1622" s="1" t="s">
        <v>12</v>
      </c>
      <c r="D1622" s="1" t="s">
        <v>3258</v>
      </c>
      <c r="E1622" s="4">
        <v>1014166.0</v>
      </c>
      <c r="F1622" s="2" t="s">
        <v>15</v>
      </c>
      <c r="G1622" s="2" t="s">
        <v>33</v>
      </c>
      <c r="H1622" s="2" t="s">
        <v>15</v>
      </c>
      <c r="I1622" s="2" t="s">
        <v>15</v>
      </c>
      <c r="J1622" s="2" t="s">
        <v>15</v>
      </c>
    </row>
    <row r="1623" ht="15.75" customHeight="1">
      <c r="A1623" s="1" t="s">
        <v>3292</v>
      </c>
      <c r="B1623" s="1" t="s">
        <v>3293</v>
      </c>
      <c r="C1623" s="1" t="s">
        <v>12</v>
      </c>
      <c r="D1623" s="1" t="s">
        <v>3258</v>
      </c>
      <c r="E1623" s="4">
        <v>1014166.0</v>
      </c>
      <c r="F1623" s="2">
        <v>1.0</v>
      </c>
      <c r="G1623" s="2" t="s">
        <v>1</v>
      </c>
      <c r="H1623" s="2" t="s">
        <v>37</v>
      </c>
      <c r="I1623" s="2" t="s">
        <v>15</v>
      </c>
      <c r="J1623" s="2" t="s">
        <v>15</v>
      </c>
    </row>
    <row r="1624" ht="15.75" customHeight="1">
      <c r="A1624" s="1" t="s">
        <v>3294</v>
      </c>
      <c r="B1624" s="1" t="s">
        <v>3295</v>
      </c>
      <c r="C1624" s="1" t="s">
        <v>12</v>
      </c>
      <c r="D1624" s="1" t="s">
        <v>3258</v>
      </c>
      <c r="E1624" s="4">
        <v>1014166.0</v>
      </c>
      <c r="F1624" s="2">
        <v>2.0</v>
      </c>
      <c r="G1624" s="2" t="s">
        <v>1</v>
      </c>
      <c r="H1624" s="2" t="s">
        <v>37</v>
      </c>
      <c r="I1624" s="2" t="s">
        <v>15</v>
      </c>
      <c r="J1624" s="2" t="s">
        <v>15</v>
      </c>
    </row>
    <row r="1625" ht="15.75" customHeight="1">
      <c r="A1625" s="1" t="s">
        <v>3296</v>
      </c>
      <c r="B1625" s="1" t="s">
        <v>3297</v>
      </c>
      <c r="C1625" s="1" t="s">
        <v>12</v>
      </c>
      <c r="D1625" s="1" t="s">
        <v>3258</v>
      </c>
      <c r="E1625" s="4">
        <v>1014166.0</v>
      </c>
      <c r="F1625" s="2">
        <v>3.0</v>
      </c>
      <c r="G1625" s="2" t="s">
        <v>1</v>
      </c>
      <c r="H1625" s="2" t="s">
        <v>37</v>
      </c>
      <c r="I1625" s="2" t="s">
        <v>15</v>
      </c>
      <c r="J1625" s="2" t="s">
        <v>15</v>
      </c>
    </row>
    <row r="1626" ht="15.75" customHeight="1">
      <c r="A1626" s="1" t="s">
        <v>3298</v>
      </c>
      <c r="B1626" s="1" t="s">
        <v>3299</v>
      </c>
      <c r="C1626" s="1" t="s">
        <v>12</v>
      </c>
      <c r="D1626" s="1" t="s">
        <v>3258</v>
      </c>
      <c r="E1626" s="4">
        <v>1014166.0</v>
      </c>
      <c r="F1626" s="2">
        <v>4.0</v>
      </c>
      <c r="G1626" s="2" t="s">
        <v>1</v>
      </c>
      <c r="H1626" s="2" t="s">
        <v>37</v>
      </c>
      <c r="I1626" s="2" t="s">
        <v>15</v>
      </c>
      <c r="J1626" s="2" t="s">
        <v>15</v>
      </c>
    </row>
    <row r="1627" ht="15.75" customHeight="1">
      <c r="A1627" s="1" t="s">
        <v>3300</v>
      </c>
      <c r="B1627" s="1" t="s">
        <v>3301</v>
      </c>
      <c r="C1627" s="1" t="s">
        <v>12</v>
      </c>
      <c r="D1627" s="1" t="s">
        <v>3258</v>
      </c>
      <c r="E1627" s="4">
        <v>1014166.0</v>
      </c>
      <c r="F1627" s="2">
        <v>5.0</v>
      </c>
      <c r="G1627" s="2" t="s">
        <v>1</v>
      </c>
      <c r="H1627" s="2" t="s">
        <v>37</v>
      </c>
      <c r="I1627" s="2" t="s">
        <v>15</v>
      </c>
      <c r="J1627" s="2" t="s">
        <v>15</v>
      </c>
    </row>
    <row r="1628" ht="15.75" customHeight="1">
      <c r="A1628" s="1" t="s">
        <v>3302</v>
      </c>
      <c r="B1628" s="1" t="s">
        <v>3303</v>
      </c>
      <c r="C1628" s="1" t="s">
        <v>12</v>
      </c>
      <c r="D1628" s="1" t="s">
        <v>3258</v>
      </c>
      <c r="E1628" s="4">
        <v>1014166.0</v>
      </c>
      <c r="F1628" s="2" t="s">
        <v>30</v>
      </c>
      <c r="G1628" s="2" t="s">
        <v>1</v>
      </c>
      <c r="H1628" s="2" t="s">
        <v>37</v>
      </c>
      <c r="I1628" s="2" t="s">
        <v>15</v>
      </c>
      <c r="J1628" s="2" t="s">
        <v>15</v>
      </c>
    </row>
    <row r="1629" ht="15.75" customHeight="1">
      <c r="A1629" s="1" t="s">
        <v>3304</v>
      </c>
      <c r="B1629" s="1" t="s">
        <v>3305</v>
      </c>
      <c r="C1629" s="1" t="s">
        <v>12</v>
      </c>
      <c r="D1629" s="1" t="s">
        <v>3306</v>
      </c>
      <c r="E1629" s="4">
        <v>1014230.0</v>
      </c>
      <c r="F1629" s="2">
        <v>1.0</v>
      </c>
      <c r="G1629" s="2" t="s">
        <v>1</v>
      </c>
      <c r="H1629" s="2" t="s">
        <v>14</v>
      </c>
      <c r="I1629" s="5" t="str">
        <f>IFERROR(
  MID(
    SUBSTITUTE(B1629, CHAR(10), ""),
    FIND("_Gross ROI=", SUBSTITUTE(B1629, CHAR(10), "")) + LEN("_Gross ROI="),
    FIND("%", SUBSTITUTE(B1629, CHAR(10), ""), FIND("_Gross ROI=", SUBSTITUTE(B1629, CHAR(10), "")))
      - FIND("_Gross ROI=", SUBSTITUTE(B1629, CHAR(10), "")) - LEN("_Gross ROI=") + 1
  ),
  ""
)</f>
        <v>6.63%</v>
      </c>
      <c r="J1629" s="5" t="str">
        <f>IFERROR(
  MID(
    SUBSTITUTE(B1629, CHAR(10), ""),
    FIND("_Median annual rent=", SUBSTITUTE(B1629, CHAR(10), "")) + LEN("_Median annual rent="),
    FIND("K", SUBSTITUTE(B1629, CHAR(10), ""), FIND("_Median annual rent=", SUBSTITUTE(B1629, CHAR(10), "")))
      - FIND("_Median annual rent=", SUBSTITUTE(B1629, CHAR(10), "")) - LEN("_Median annual rent=") + 1
  ),
  "")</f>
        <v>200K</v>
      </c>
    </row>
    <row r="1630" ht="15.75" customHeight="1">
      <c r="A1630" s="1" t="s">
        <v>3307</v>
      </c>
      <c r="B1630" s="1" t="s">
        <v>3308</v>
      </c>
      <c r="C1630" s="1" t="s">
        <v>12</v>
      </c>
      <c r="D1630" s="1" t="s">
        <v>3306</v>
      </c>
      <c r="E1630" s="4">
        <v>1014230.0</v>
      </c>
      <c r="F1630" s="2">
        <v>1.0</v>
      </c>
      <c r="G1630" s="2" t="s">
        <v>1</v>
      </c>
      <c r="H1630" s="2" t="s">
        <v>18</v>
      </c>
      <c r="I1630" s="2" t="s">
        <v>15</v>
      </c>
      <c r="J1630" s="2" t="s">
        <v>15</v>
      </c>
    </row>
    <row r="1631" ht="15.75" customHeight="1">
      <c r="A1631" s="1" t="s">
        <v>3309</v>
      </c>
      <c r="B1631" s="1" t="s">
        <v>3202</v>
      </c>
      <c r="C1631" s="1" t="s">
        <v>12</v>
      </c>
      <c r="D1631" s="1" t="s">
        <v>3306</v>
      </c>
      <c r="E1631" s="4">
        <v>1014230.0</v>
      </c>
      <c r="F1631" s="2">
        <v>1.0</v>
      </c>
      <c r="G1631" s="2" t="s">
        <v>1</v>
      </c>
      <c r="H1631" s="2" t="s">
        <v>53</v>
      </c>
      <c r="I1631" s="2" t="s">
        <v>15</v>
      </c>
      <c r="J1631" s="2" t="s">
        <v>15</v>
      </c>
    </row>
    <row r="1632" ht="15.75" customHeight="1">
      <c r="A1632" s="1" t="s">
        <v>3310</v>
      </c>
      <c r="B1632" s="1" t="s">
        <v>3311</v>
      </c>
      <c r="C1632" s="1" t="s">
        <v>12</v>
      </c>
      <c r="D1632" s="1" t="s">
        <v>3306</v>
      </c>
      <c r="E1632" s="4">
        <v>1014230.0</v>
      </c>
      <c r="F1632" s="2">
        <v>1.0</v>
      </c>
      <c r="G1632" s="2" t="s">
        <v>1</v>
      </c>
      <c r="H1632" s="2" t="s">
        <v>21</v>
      </c>
      <c r="I1632" s="2" t="s">
        <v>15</v>
      </c>
      <c r="J1632" s="2" t="s">
        <v>15</v>
      </c>
    </row>
    <row r="1633" ht="15.75" customHeight="1">
      <c r="A1633" s="1" t="s">
        <v>3312</v>
      </c>
      <c r="B1633" s="1" t="s">
        <v>3313</v>
      </c>
      <c r="C1633" s="1" t="s">
        <v>12</v>
      </c>
      <c r="D1633" s="1" t="s">
        <v>3306</v>
      </c>
      <c r="E1633" s="4">
        <v>1014230.0</v>
      </c>
      <c r="F1633" s="2">
        <v>2.0</v>
      </c>
      <c r="G1633" s="2" t="s">
        <v>1</v>
      </c>
      <c r="H1633" s="2" t="s">
        <v>14</v>
      </c>
      <c r="I1633" s="5" t="str">
        <f>IFERROR(
  MID(
    SUBSTITUTE(B1633, CHAR(10), ""),
    FIND("_Gross ROI=", SUBSTITUTE(B1633, CHAR(10), "")) + LEN("_Gross ROI="),
    FIND("%", SUBSTITUTE(B1633, CHAR(10), ""), FIND("_Gross ROI=", SUBSTITUTE(B1633, CHAR(10), "")))
      - FIND("_Gross ROI=", SUBSTITUTE(B1633, CHAR(10), "")) - LEN("_Gross ROI=") + 1
  ),
  ""
)</f>
        <v>5.88%</v>
      </c>
      <c r="J1633" s="5" t="str">
        <f>IFERROR(
  MID(
    SUBSTITUTE(B1633, CHAR(10), ""),
    FIND("_Median annual rent=", SUBSTITUTE(B1633, CHAR(10), "")) + LEN("_Median annual rent="),
    FIND("K", SUBSTITUTE(B1633, CHAR(10), ""), FIND("_Median annual rent=", SUBSTITUTE(B1633, CHAR(10), "")))
      - FIND("_Median annual rent=", SUBSTITUTE(B1633, CHAR(10), "")) - LEN("_Median annual rent=") + 1
  ),
  "")</f>
        <v>255K</v>
      </c>
    </row>
    <row r="1634" ht="15.75" customHeight="1">
      <c r="A1634" s="1" t="s">
        <v>3314</v>
      </c>
      <c r="B1634" s="1" t="s">
        <v>3315</v>
      </c>
      <c r="C1634" s="1" t="s">
        <v>12</v>
      </c>
      <c r="D1634" s="1" t="s">
        <v>3306</v>
      </c>
      <c r="E1634" s="4">
        <v>1014230.0</v>
      </c>
      <c r="F1634" s="2">
        <v>2.0</v>
      </c>
      <c r="G1634" s="2" t="s">
        <v>1</v>
      </c>
      <c r="H1634" s="2" t="s">
        <v>18</v>
      </c>
      <c r="I1634" s="2" t="s">
        <v>15</v>
      </c>
      <c r="J1634" s="2" t="s">
        <v>15</v>
      </c>
    </row>
    <row r="1635" ht="15.75" customHeight="1">
      <c r="A1635" s="1" t="s">
        <v>3316</v>
      </c>
      <c r="B1635" s="1" t="s">
        <v>3210</v>
      </c>
      <c r="C1635" s="1" t="s">
        <v>12</v>
      </c>
      <c r="D1635" s="1" t="s">
        <v>3306</v>
      </c>
      <c r="E1635" s="4">
        <v>1014230.0</v>
      </c>
      <c r="F1635" s="2">
        <v>2.0</v>
      </c>
      <c r="G1635" s="2" t="s">
        <v>1</v>
      </c>
      <c r="H1635" s="2" t="s">
        <v>53</v>
      </c>
      <c r="I1635" s="2" t="s">
        <v>15</v>
      </c>
      <c r="J1635" s="2" t="s">
        <v>15</v>
      </c>
    </row>
    <row r="1636" ht="15.75" customHeight="1">
      <c r="A1636" s="1" t="s">
        <v>3317</v>
      </c>
      <c r="B1636" s="1" t="s">
        <v>3318</v>
      </c>
      <c r="C1636" s="1" t="s">
        <v>12</v>
      </c>
      <c r="D1636" s="1" t="s">
        <v>3306</v>
      </c>
      <c r="E1636" s="4">
        <v>1014230.0</v>
      </c>
      <c r="F1636" s="2">
        <v>2.0</v>
      </c>
      <c r="G1636" s="2" t="s">
        <v>1</v>
      </c>
      <c r="H1636" s="2" t="s">
        <v>21</v>
      </c>
      <c r="I1636" s="2" t="s">
        <v>15</v>
      </c>
      <c r="J1636" s="2" t="s">
        <v>15</v>
      </c>
    </row>
    <row r="1637" ht="15.75" customHeight="1">
      <c r="A1637" s="1" t="s">
        <v>3319</v>
      </c>
      <c r="B1637" s="1" t="s">
        <v>3320</v>
      </c>
      <c r="C1637" s="1" t="s">
        <v>12</v>
      </c>
      <c r="D1637" s="1" t="s">
        <v>3306</v>
      </c>
      <c r="E1637" s="4">
        <v>1014230.0</v>
      </c>
      <c r="F1637" s="2">
        <v>3.0</v>
      </c>
      <c r="G1637" s="2" t="s">
        <v>1</v>
      </c>
      <c r="H1637" s="2" t="s">
        <v>14</v>
      </c>
      <c r="I1637" s="5" t="str">
        <f>IFERROR(
  MID(
    SUBSTITUTE(B1637, CHAR(10), ""),
    FIND("_Gross ROI=", SUBSTITUTE(B1637, CHAR(10), "")) + LEN("_Gross ROI="),
    FIND("%", SUBSTITUTE(B1637, CHAR(10), ""), FIND("_Gross ROI=", SUBSTITUTE(B1637, CHAR(10), "")))
      - FIND("_Gross ROI=", SUBSTITUTE(B1637, CHAR(10), "")) - LEN("_Gross ROI=") + 1
  ),
  ""
)</f>
        <v>5.26%</v>
      </c>
      <c r="J1637" s="5" t="str">
        <f>IFERROR(
  MID(
    SUBSTITUTE(B1637, CHAR(10), ""),
    FIND("_Median annual rent=", SUBSTITUTE(B1637, CHAR(10), "")) + LEN("_Median annual rent="),
    FIND("K", SUBSTITUTE(B1637, CHAR(10), ""), FIND("_Median annual rent=", SUBSTITUTE(B1637, CHAR(10), "")))
      - FIND("_Median annual rent=", SUBSTITUTE(B1637, CHAR(10), "")) - LEN("_Median annual rent=") + 1
  ),
  "")</f>
        <v>400K</v>
      </c>
    </row>
    <row r="1638" ht="15.75" customHeight="1">
      <c r="A1638" s="1" t="s">
        <v>3321</v>
      </c>
      <c r="B1638" s="1" t="s">
        <v>3322</v>
      </c>
      <c r="C1638" s="1" t="s">
        <v>12</v>
      </c>
      <c r="D1638" s="1" t="s">
        <v>3306</v>
      </c>
      <c r="E1638" s="4">
        <v>1014230.0</v>
      </c>
      <c r="F1638" s="2">
        <v>3.0</v>
      </c>
      <c r="G1638" s="2" t="s">
        <v>1</v>
      </c>
      <c r="H1638" s="2" t="s">
        <v>18</v>
      </c>
      <c r="I1638" s="2" t="s">
        <v>15</v>
      </c>
      <c r="J1638" s="2" t="s">
        <v>15</v>
      </c>
    </row>
    <row r="1639" ht="15.75" customHeight="1">
      <c r="A1639" s="1" t="s">
        <v>3323</v>
      </c>
      <c r="B1639" s="1" t="s">
        <v>3218</v>
      </c>
      <c r="C1639" s="1" t="s">
        <v>12</v>
      </c>
      <c r="D1639" s="1" t="s">
        <v>3306</v>
      </c>
      <c r="E1639" s="4">
        <v>1014230.0</v>
      </c>
      <c r="F1639" s="2">
        <v>3.0</v>
      </c>
      <c r="G1639" s="2" t="s">
        <v>1</v>
      </c>
      <c r="H1639" s="2" t="s">
        <v>53</v>
      </c>
      <c r="I1639" s="2" t="s">
        <v>15</v>
      </c>
      <c r="J1639" s="2" t="s">
        <v>15</v>
      </c>
    </row>
    <row r="1640" ht="15.75" customHeight="1">
      <c r="A1640" s="1" t="s">
        <v>3324</v>
      </c>
      <c r="B1640" s="1" t="s">
        <v>3325</v>
      </c>
      <c r="C1640" s="1" t="s">
        <v>12</v>
      </c>
      <c r="D1640" s="1" t="s">
        <v>3306</v>
      </c>
      <c r="E1640" s="4">
        <v>1014230.0</v>
      </c>
      <c r="F1640" s="2">
        <v>3.0</v>
      </c>
      <c r="G1640" s="2" t="s">
        <v>1</v>
      </c>
      <c r="H1640" s="2" t="s">
        <v>21</v>
      </c>
      <c r="I1640" s="2" t="s">
        <v>15</v>
      </c>
      <c r="J1640" s="2" t="s">
        <v>15</v>
      </c>
    </row>
    <row r="1641" ht="15.75" customHeight="1">
      <c r="A1641" s="1" t="s">
        <v>3326</v>
      </c>
      <c r="B1641" s="1" t="s">
        <v>3327</v>
      </c>
      <c r="C1641" s="1" t="s">
        <v>12</v>
      </c>
      <c r="D1641" s="1" t="s">
        <v>3306</v>
      </c>
      <c r="E1641" s="4">
        <v>1014230.0</v>
      </c>
      <c r="F1641" s="2">
        <v>4.0</v>
      </c>
      <c r="G1641" s="2" t="s">
        <v>1</v>
      </c>
      <c r="H1641" s="2" t="s">
        <v>14</v>
      </c>
      <c r="I1641" s="2" t="s">
        <v>15</v>
      </c>
      <c r="J1641" s="2" t="s">
        <v>15</v>
      </c>
    </row>
    <row r="1642" ht="15.75" customHeight="1">
      <c r="A1642" s="1" t="s">
        <v>3328</v>
      </c>
      <c r="B1642" s="1" t="s">
        <v>3329</v>
      </c>
      <c r="C1642" s="1" t="s">
        <v>12</v>
      </c>
      <c r="D1642" s="1" t="s">
        <v>3306</v>
      </c>
      <c r="E1642" s="4">
        <v>1014230.0</v>
      </c>
      <c r="F1642" s="2">
        <v>4.0</v>
      </c>
      <c r="G1642" s="2" t="s">
        <v>1</v>
      </c>
      <c r="H1642" s="2" t="s">
        <v>18</v>
      </c>
      <c r="I1642" s="2" t="s">
        <v>15</v>
      </c>
      <c r="J1642" s="2" t="s">
        <v>15</v>
      </c>
    </row>
    <row r="1643" ht="15.75" customHeight="1">
      <c r="A1643" s="1" t="s">
        <v>3330</v>
      </c>
      <c r="B1643" s="1" t="s">
        <v>3331</v>
      </c>
      <c r="C1643" s="1" t="s">
        <v>12</v>
      </c>
      <c r="D1643" s="1" t="s">
        <v>3306</v>
      </c>
      <c r="E1643" s="4">
        <v>1014230.0</v>
      </c>
      <c r="F1643" s="2">
        <v>4.0</v>
      </c>
      <c r="G1643" s="2" t="s">
        <v>1</v>
      </c>
      <c r="H1643" s="2" t="s">
        <v>21</v>
      </c>
      <c r="I1643" s="2" t="s">
        <v>15</v>
      </c>
      <c r="J1643" s="2" t="s">
        <v>15</v>
      </c>
    </row>
    <row r="1644" ht="15.75" customHeight="1">
      <c r="A1644" s="1" t="s">
        <v>3332</v>
      </c>
      <c r="B1644" s="1" t="s">
        <v>3333</v>
      </c>
      <c r="C1644" s="1" t="s">
        <v>12</v>
      </c>
      <c r="D1644" s="1" t="s">
        <v>3306</v>
      </c>
      <c r="E1644" s="4">
        <v>1014230.0</v>
      </c>
      <c r="F1644" s="2">
        <v>5.0</v>
      </c>
      <c r="G1644" s="2" t="s">
        <v>1</v>
      </c>
      <c r="H1644" s="2" t="s">
        <v>14</v>
      </c>
      <c r="I1644" s="2" t="s">
        <v>15</v>
      </c>
      <c r="J1644" s="2" t="s">
        <v>15</v>
      </c>
    </row>
    <row r="1645" ht="15.75" customHeight="1">
      <c r="A1645" s="1" t="s">
        <v>3334</v>
      </c>
      <c r="B1645" s="1" t="s">
        <v>3335</v>
      </c>
      <c r="C1645" s="1" t="s">
        <v>12</v>
      </c>
      <c r="D1645" s="1" t="s">
        <v>3306</v>
      </c>
      <c r="E1645" s="4">
        <v>1014230.0</v>
      </c>
      <c r="F1645" s="2">
        <v>5.0</v>
      </c>
      <c r="G1645" s="2" t="s">
        <v>1</v>
      </c>
      <c r="H1645" s="2" t="s">
        <v>18</v>
      </c>
      <c r="I1645" s="2" t="s">
        <v>15</v>
      </c>
      <c r="J1645" s="2" t="s">
        <v>15</v>
      </c>
    </row>
    <row r="1646" ht="15.75" customHeight="1">
      <c r="A1646" s="1" t="s">
        <v>3336</v>
      </c>
      <c r="B1646" s="1" t="s">
        <v>3230</v>
      </c>
      <c r="C1646" s="1" t="s">
        <v>12</v>
      </c>
      <c r="D1646" s="1" t="s">
        <v>3306</v>
      </c>
      <c r="E1646" s="4">
        <v>1014230.0</v>
      </c>
      <c r="F1646" s="2">
        <v>5.0</v>
      </c>
      <c r="G1646" s="2" t="s">
        <v>1</v>
      </c>
      <c r="H1646" s="2" t="s">
        <v>53</v>
      </c>
      <c r="I1646" s="2" t="s">
        <v>15</v>
      </c>
      <c r="J1646" s="2" t="s">
        <v>15</v>
      </c>
    </row>
    <row r="1647" ht="15.75" customHeight="1">
      <c r="A1647" s="1" t="s">
        <v>3337</v>
      </c>
      <c r="B1647" s="1" t="s">
        <v>3338</v>
      </c>
      <c r="C1647" s="1" t="s">
        <v>12</v>
      </c>
      <c r="D1647" s="1" t="s">
        <v>3306</v>
      </c>
      <c r="E1647" s="4">
        <v>1014230.0</v>
      </c>
      <c r="F1647" s="2">
        <v>5.0</v>
      </c>
      <c r="G1647" s="2" t="s">
        <v>1</v>
      </c>
      <c r="H1647" s="2" t="s">
        <v>21</v>
      </c>
      <c r="I1647" s="2" t="s">
        <v>15</v>
      </c>
      <c r="J1647" s="2" t="s">
        <v>15</v>
      </c>
    </row>
    <row r="1648" ht="15.75" customHeight="1">
      <c r="A1648" s="1" t="s">
        <v>3339</v>
      </c>
      <c r="B1648" s="1" t="s">
        <v>3286</v>
      </c>
      <c r="C1648" s="1" t="s">
        <v>12</v>
      </c>
      <c r="D1648" s="1" t="s">
        <v>3306</v>
      </c>
      <c r="E1648" s="4">
        <v>1014230.0</v>
      </c>
      <c r="F1648" s="2" t="s">
        <v>15</v>
      </c>
      <c r="G1648" s="2" t="s">
        <v>1</v>
      </c>
      <c r="H1648" s="2" t="s">
        <v>53</v>
      </c>
      <c r="I1648" s="2" t="s">
        <v>15</v>
      </c>
      <c r="J1648" s="2" t="s">
        <v>15</v>
      </c>
    </row>
    <row r="1649" ht="15.75" customHeight="1">
      <c r="A1649" s="1" t="s">
        <v>3340</v>
      </c>
      <c r="B1649" s="1" t="s">
        <v>3341</v>
      </c>
      <c r="C1649" s="1" t="s">
        <v>12</v>
      </c>
      <c r="D1649" s="1" t="s">
        <v>3306</v>
      </c>
      <c r="E1649" s="4">
        <v>1014230.0</v>
      </c>
      <c r="F1649" s="2" t="s">
        <v>3237</v>
      </c>
      <c r="G1649" s="2" t="s">
        <v>1</v>
      </c>
      <c r="H1649" s="2" t="s">
        <v>14</v>
      </c>
      <c r="I1649" s="2" t="s">
        <v>15</v>
      </c>
      <c r="J1649" s="2" t="s">
        <v>15</v>
      </c>
    </row>
    <row r="1650" ht="15.75" customHeight="1">
      <c r="A1650" s="1" t="s">
        <v>3342</v>
      </c>
      <c r="B1650" s="1" t="s">
        <v>3343</v>
      </c>
      <c r="C1650" s="1" t="s">
        <v>12</v>
      </c>
      <c r="D1650" s="1" t="s">
        <v>3306</v>
      </c>
      <c r="E1650" s="4">
        <v>1014230.0</v>
      </c>
      <c r="F1650" s="2" t="s">
        <v>3237</v>
      </c>
      <c r="G1650" s="2" t="s">
        <v>1</v>
      </c>
      <c r="H1650" s="2" t="s">
        <v>18</v>
      </c>
      <c r="I1650" s="2" t="s">
        <v>15</v>
      </c>
      <c r="J1650" s="2" t="s">
        <v>15</v>
      </c>
    </row>
    <row r="1651" ht="15.75" customHeight="1">
      <c r="A1651" s="1" t="s">
        <v>3344</v>
      </c>
      <c r="B1651" s="1" t="s">
        <v>3241</v>
      </c>
      <c r="C1651" s="1" t="s">
        <v>12</v>
      </c>
      <c r="D1651" s="1" t="s">
        <v>3306</v>
      </c>
      <c r="E1651" s="4">
        <v>1014230.0</v>
      </c>
      <c r="F1651" s="2" t="s">
        <v>30</v>
      </c>
      <c r="G1651" s="2" t="s">
        <v>1</v>
      </c>
      <c r="H1651" s="2" t="s">
        <v>53</v>
      </c>
      <c r="I1651" s="2" t="s">
        <v>15</v>
      </c>
      <c r="J1651" s="2" t="s">
        <v>15</v>
      </c>
    </row>
    <row r="1652" ht="15.75" customHeight="1">
      <c r="A1652" s="1" t="s">
        <v>3345</v>
      </c>
      <c r="B1652" s="1" t="s">
        <v>3346</v>
      </c>
      <c r="C1652" s="1" t="s">
        <v>12</v>
      </c>
      <c r="D1652" s="1" t="s">
        <v>3306</v>
      </c>
      <c r="E1652" s="4">
        <v>1014230.0</v>
      </c>
      <c r="F1652" s="2" t="s">
        <v>30</v>
      </c>
      <c r="G1652" s="2" t="s">
        <v>1</v>
      </c>
      <c r="H1652" s="2" t="s">
        <v>14</v>
      </c>
      <c r="I1652" s="2" t="s">
        <v>15</v>
      </c>
      <c r="J1652" s="2" t="s">
        <v>15</v>
      </c>
    </row>
    <row r="1653" ht="15.75" customHeight="1">
      <c r="A1653" s="1" t="s">
        <v>3347</v>
      </c>
      <c r="B1653" s="1" t="s">
        <v>3348</v>
      </c>
      <c r="C1653" s="1" t="s">
        <v>12</v>
      </c>
      <c r="D1653" s="1" t="s">
        <v>3306</v>
      </c>
      <c r="E1653" s="4">
        <v>1014230.0</v>
      </c>
      <c r="F1653" s="2" t="s">
        <v>15</v>
      </c>
      <c r="G1653" s="2" t="s">
        <v>33</v>
      </c>
      <c r="H1653" s="2" t="s">
        <v>15</v>
      </c>
      <c r="I1653" s="2" t="s">
        <v>15</v>
      </c>
      <c r="J1653" s="2" t="s">
        <v>15</v>
      </c>
    </row>
    <row r="1654" ht="15.75" customHeight="1">
      <c r="A1654" s="1" t="s">
        <v>3349</v>
      </c>
      <c r="B1654" s="1" t="s">
        <v>3350</v>
      </c>
      <c r="C1654" s="1" t="s">
        <v>12</v>
      </c>
      <c r="D1654" s="1" t="s">
        <v>3306</v>
      </c>
      <c r="E1654" s="4">
        <v>1014230.0</v>
      </c>
      <c r="F1654" s="2">
        <v>1.0</v>
      </c>
      <c r="G1654" s="2" t="s">
        <v>1</v>
      </c>
      <c r="H1654" s="2" t="s">
        <v>37</v>
      </c>
      <c r="I1654" s="2" t="s">
        <v>15</v>
      </c>
      <c r="J1654" s="2" t="s">
        <v>15</v>
      </c>
    </row>
    <row r="1655" ht="15.75" customHeight="1">
      <c r="A1655" s="1" t="s">
        <v>3351</v>
      </c>
      <c r="B1655" s="1" t="s">
        <v>3352</v>
      </c>
      <c r="C1655" s="1" t="s">
        <v>12</v>
      </c>
      <c r="D1655" s="1" t="s">
        <v>3306</v>
      </c>
      <c r="E1655" s="4">
        <v>1014230.0</v>
      </c>
      <c r="F1655" s="2">
        <v>2.0</v>
      </c>
      <c r="G1655" s="2" t="s">
        <v>1</v>
      </c>
      <c r="H1655" s="2" t="s">
        <v>37</v>
      </c>
      <c r="I1655" s="2" t="s">
        <v>15</v>
      </c>
      <c r="J1655" s="2" t="s">
        <v>15</v>
      </c>
    </row>
    <row r="1656" ht="15.75" customHeight="1">
      <c r="A1656" s="1" t="s">
        <v>3353</v>
      </c>
      <c r="B1656" s="1" t="s">
        <v>3354</v>
      </c>
      <c r="C1656" s="1" t="s">
        <v>12</v>
      </c>
      <c r="D1656" s="1" t="s">
        <v>3306</v>
      </c>
      <c r="E1656" s="4">
        <v>1014230.0</v>
      </c>
      <c r="F1656" s="2">
        <v>3.0</v>
      </c>
      <c r="G1656" s="2" t="s">
        <v>1</v>
      </c>
      <c r="H1656" s="2" t="s">
        <v>37</v>
      </c>
      <c r="I1656" s="2" t="s">
        <v>15</v>
      </c>
      <c r="J1656" s="2" t="s">
        <v>15</v>
      </c>
    </row>
    <row r="1657" ht="15.75" customHeight="1">
      <c r="A1657" s="1" t="s">
        <v>3355</v>
      </c>
      <c r="B1657" s="1" t="s">
        <v>3356</v>
      </c>
      <c r="C1657" s="1" t="s">
        <v>12</v>
      </c>
      <c r="D1657" s="1" t="s">
        <v>3306</v>
      </c>
      <c r="E1657" s="4">
        <v>1014230.0</v>
      </c>
      <c r="F1657" s="2">
        <v>4.0</v>
      </c>
      <c r="G1657" s="2" t="s">
        <v>1</v>
      </c>
      <c r="H1657" s="2" t="s">
        <v>37</v>
      </c>
      <c r="I1657" s="2" t="s">
        <v>15</v>
      </c>
      <c r="J1657" s="2" t="s">
        <v>15</v>
      </c>
    </row>
    <row r="1658" ht="15.75" customHeight="1">
      <c r="A1658" s="1" t="s">
        <v>3357</v>
      </c>
      <c r="B1658" s="1" t="s">
        <v>3358</v>
      </c>
      <c r="C1658" s="1" t="s">
        <v>12</v>
      </c>
      <c r="D1658" s="1" t="s">
        <v>3306</v>
      </c>
      <c r="E1658" s="4">
        <v>1014230.0</v>
      </c>
      <c r="F1658" s="2">
        <v>5.0</v>
      </c>
      <c r="G1658" s="2" t="s">
        <v>1</v>
      </c>
      <c r="H1658" s="2" t="s">
        <v>37</v>
      </c>
      <c r="I1658" s="2" t="s">
        <v>15</v>
      </c>
      <c r="J1658" s="2" t="s">
        <v>15</v>
      </c>
    </row>
    <row r="1659" ht="15.75" customHeight="1">
      <c r="A1659" s="1" t="s">
        <v>3359</v>
      </c>
      <c r="B1659" s="1" t="s">
        <v>3360</v>
      </c>
      <c r="C1659" s="1" t="s">
        <v>12</v>
      </c>
      <c r="D1659" s="1" t="s">
        <v>3306</v>
      </c>
      <c r="E1659" s="4">
        <v>1014230.0</v>
      </c>
      <c r="F1659" s="2" t="s">
        <v>30</v>
      </c>
      <c r="G1659" s="2" t="s">
        <v>1</v>
      </c>
      <c r="H1659" s="2" t="s">
        <v>37</v>
      </c>
      <c r="I1659" s="2" t="s">
        <v>15</v>
      </c>
      <c r="J1659" s="2" t="s">
        <v>15</v>
      </c>
    </row>
    <row r="1660" ht="15.75" customHeight="1">
      <c r="A1660" s="1" t="s">
        <v>3361</v>
      </c>
      <c r="B1660" s="6" t="s">
        <v>3362</v>
      </c>
      <c r="C1660" s="1" t="s">
        <v>12</v>
      </c>
      <c r="D1660" s="1" t="s">
        <v>3363</v>
      </c>
      <c r="E1660" s="4">
        <v>1014294.0</v>
      </c>
      <c r="F1660" s="2">
        <v>1.0</v>
      </c>
      <c r="G1660" s="2" t="s">
        <v>1</v>
      </c>
      <c r="H1660" s="2" t="s">
        <v>14</v>
      </c>
      <c r="I1660" s="2" t="s">
        <v>15</v>
      </c>
      <c r="J1660" s="2" t="s">
        <v>15</v>
      </c>
    </row>
    <row r="1661" ht="15.75" customHeight="1">
      <c r="A1661" s="1" t="s">
        <v>3364</v>
      </c>
      <c r="B1661" s="1" t="s">
        <v>3365</v>
      </c>
      <c r="C1661" s="1" t="s">
        <v>12</v>
      </c>
      <c r="D1661" s="1" t="s">
        <v>3363</v>
      </c>
      <c r="E1661" s="4">
        <v>1014294.0</v>
      </c>
      <c r="F1661" s="2">
        <v>1.0</v>
      </c>
      <c r="G1661" s="2" t="s">
        <v>1</v>
      </c>
      <c r="H1661" s="2" t="s">
        <v>18</v>
      </c>
      <c r="I1661" s="2" t="s">
        <v>15</v>
      </c>
      <c r="J1661" s="2" t="s">
        <v>15</v>
      </c>
    </row>
    <row r="1662" ht="15.75" customHeight="1">
      <c r="A1662" s="1" t="s">
        <v>3366</v>
      </c>
      <c r="B1662" s="6" t="s">
        <v>3367</v>
      </c>
      <c r="C1662" s="1" t="s">
        <v>12</v>
      </c>
      <c r="D1662" s="1" t="s">
        <v>3363</v>
      </c>
      <c r="E1662" s="4">
        <v>1014294.0</v>
      </c>
      <c r="F1662" s="2">
        <v>2.0</v>
      </c>
      <c r="G1662" s="2" t="s">
        <v>1</v>
      </c>
      <c r="H1662" s="2" t="s">
        <v>14</v>
      </c>
      <c r="I1662" s="2" t="s">
        <v>15</v>
      </c>
      <c r="J1662" s="2" t="s">
        <v>15</v>
      </c>
    </row>
    <row r="1663" ht="15.75" customHeight="1">
      <c r="A1663" s="1" t="s">
        <v>3368</v>
      </c>
      <c r="B1663" s="1" t="s">
        <v>3369</v>
      </c>
      <c r="C1663" s="1" t="s">
        <v>12</v>
      </c>
      <c r="D1663" s="1" t="s">
        <v>3363</v>
      </c>
      <c r="E1663" s="4">
        <v>1014294.0</v>
      </c>
      <c r="F1663" s="2">
        <v>2.0</v>
      </c>
      <c r="G1663" s="2" t="s">
        <v>1</v>
      </c>
      <c r="H1663" s="2" t="s">
        <v>18</v>
      </c>
      <c r="I1663" s="2" t="s">
        <v>15</v>
      </c>
      <c r="J1663" s="2" t="s">
        <v>15</v>
      </c>
    </row>
    <row r="1664" ht="15.75" customHeight="1">
      <c r="A1664" s="1" t="s">
        <v>3370</v>
      </c>
      <c r="B1664" s="6" t="s">
        <v>3371</v>
      </c>
      <c r="C1664" s="1" t="s">
        <v>12</v>
      </c>
      <c r="D1664" s="1" t="s">
        <v>3363</v>
      </c>
      <c r="E1664" s="4">
        <v>1014294.0</v>
      </c>
      <c r="F1664" s="2">
        <v>2.0</v>
      </c>
      <c r="G1664" s="2" t="s">
        <v>1</v>
      </c>
      <c r="H1664" s="2" t="s">
        <v>53</v>
      </c>
      <c r="I1664" s="2" t="s">
        <v>15</v>
      </c>
      <c r="J1664" s="2" t="s">
        <v>15</v>
      </c>
    </row>
    <row r="1665" ht="15.75" customHeight="1">
      <c r="A1665" s="1" t="s">
        <v>3372</v>
      </c>
      <c r="B1665" s="1" t="s">
        <v>3373</v>
      </c>
      <c r="C1665" s="1" t="s">
        <v>12</v>
      </c>
      <c r="D1665" s="1" t="s">
        <v>3363</v>
      </c>
      <c r="E1665" s="4">
        <v>1014294.0</v>
      </c>
      <c r="F1665" s="2">
        <v>3.0</v>
      </c>
      <c r="G1665" s="2" t="s">
        <v>1</v>
      </c>
      <c r="H1665" s="2" t="s">
        <v>14</v>
      </c>
      <c r="I1665" s="2" t="s">
        <v>15</v>
      </c>
      <c r="J1665" s="2" t="s">
        <v>15</v>
      </c>
    </row>
    <row r="1666" ht="15.75" customHeight="1">
      <c r="A1666" s="1" t="s">
        <v>3374</v>
      </c>
      <c r="B1666" s="1" t="s">
        <v>3375</v>
      </c>
      <c r="C1666" s="1" t="s">
        <v>12</v>
      </c>
      <c r="D1666" s="1" t="s">
        <v>3363</v>
      </c>
      <c r="E1666" s="4">
        <v>1014294.0</v>
      </c>
      <c r="F1666" s="2">
        <v>3.0</v>
      </c>
      <c r="G1666" s="2" t="s">
        <v>1</v>
      </c>
      <c r="H1666" s="2" t="s">
        <v>18</v>
      </c>
      <c r="I1666" s="2" t="s">
        <v>15</v>
      </c>
      <c r="J1666" s="2" t="s">
        <v>15</v>
      </c>
    </row>
    <row r="1667" ht="15.75" customHeight="1">
      <c r="A1667" s="1" t="s">
        <v>3376</v>
      </c>
      <c r="B1667" s="1" t="s">
        <v>3377</v>
      </c>
      <c r="C1667" s="1" t="s">
        <v>12</v>
      </c>
      <c r="D1667" s="1" t="s">
        <v>3363</v>
      </c>
      <c r="E1667" s="4">
        <v>1014294.0</v>
      </c>
      <c r="F1667" s="2">
        <v>3.0</v>
      </c>
      <c r="G1667" s="2" t="s">
        <v>1</v>
      </c>
      <c r="H1667" s="2" t="s">
        <v>53</v>
      </c>
      <c r="I1667" s="2" t="s">
        <v>15</v>
      </c>
      <c r="J1667" s="2" t="s">
        <v>15</v>
      </c>
    </row>
    <row r="1668" ht="15.75" customHeight="1">
      <c r="A1668" s="1" t="s">
        <v>3378</v>
      </c>
      <c r="B1668" s="1" t="s">
        <v>3379</v>
      </c>
      <c r="C1668" s="1" t="s">
        <v>12</v>
      </c>
      <c r="D1668" s="1" t="s">
        <v>3363</v>
      </c>
      <c r="E1668" s="4">
        <v>1014294.0</v>
      </c>
      <c r="F1668" s="2">
        <v>4.0</v>
      </c>
      <c r="G1668" s="2" t="s">
        <v>1</v>
      </c>
      <c r="H1668" s="2" t="s">
        <v>14</v>
      </c>
      <c r="I1668" s="2" t="s">
        <v>15</v>
      </c>
      <c r="J1668" s="2" t="s">
        <v>15</v>
      </c>
    </row>
    <row r="1669" ht="15.75" customHeight="1">
      <c r="A1669" s="1" t="s">
        <v>3380</v>
      </c>
      <c r="B1669" s="1" t="s">
        <v>3381</v>
      </c>
      <c r="C1669" s="1" t="s">
        <v>12</v>
      </c>
      <c r="D1669" s="1" t="s">
        <v>3363</v>
      </c>
      <c r="E1669" s="4">
        <v>1014294.0</v>
      </c>
      <c r="F1669" s="2">
        <v>4.0</v>
      </c>
      <c r="G1669" s="2" t="s">
        <v>1</v>
      </c>
      <c r="H1669" s="2" t="s">
        <v>18</v>
      </c>
      <c r="I1669" s="2" t="s">
        <v>15</v>
      </c>
      <c r="J1669" s="2" t="s">
        <v>15</v>
      </c>
    </row>
    <row r="1670" ht="15.75" customHeight="1">
      <c r="A1670" s="1" t="s">
        <v>3382</v>
      </c>
      <c r="B1670" s="1" t="s">
        <v>3383</v>
      </c>
      <c r="C1670" s="1" t="s">
        <v>12</v>
      </c>
      <c r="D1670" s="1" t="s">
        <v>3363</v>
      </c>
      <c r="E1670" s="4">
        <v>1014294.0</v>
      </c>
      <c r="F1670" s="2">
        <v>5.0</v>
      </c>
      <c r="G1670" s="2" t="s">
        <v>1</v>
      </c>
      <c r="H1670" s="2" t="s">
        <v>14</v>
      </c>
      <c r="I1670" s="2" t="s">
        <v>15</v>
      </c>
      <c r="J1670" s="2" t="s">
        <v>15</v>
      </c>
    </row>
    <row r="1671" ht="15.75" customHeight="1">
      <c r="A1671" s="1" t="s">
        <v>3384</v>
      </c>
      <c r="B1671" s="1" t="s">
        <v>3385</v>
      </c>
      <c r="C1671" s="1" t="s">
        <v>12</v>
      </c>
      <c r="D1671" s="1" t="s">
        <v>3363</v>
      </c>
      <c r="E1671" s="4">
        <v>1014294.0</v>
      </c>
      <c r="F1671" s="2">
        <v>5.0</v>
      </c>
      <c r="G1671" s="2" t="s">
        <v>1</v>
      </c>
      <c r="H1671" s="2" t="s">
        <v>18</v>
      </c>
      <c r="I1671" s="2" t="s">
        <v>15</v>
      </c>
      <c r="J1671" s="2" t="s">
        <v>15</v>
      </c>
    </row>
    <row r="1672" ht="15.75" customHeight="1">
      <c r="A1672" s="1" t="s">
        <v>3386</v>
      </c>
      <c r="B1672" s="1" t="s">
        <v>3387</v>
      </c>
      <c r="C1672" s="1" t="s">
        <v>12</v>
      </c>
      <c r="D1672" s="1" t="s">
        <v>3363</v>
      </c>
      <c r="E1672" s="4">
        <v>1014294.0</v>
      </c>
      <c r="F1672" s="2" t="s">
        <v>15</v>
      </c>
      <c r="G1672" s="2" t="s">
        <v>1</v>
      </c>
      <c r="H1672" s="2" t="s">
        <v>53</v>
      </c>
      <c r="I1672" s="2" t="s">
        <v>15</v>
      </c>
      <c r="J1672" s="2" t="s">
        <v>15</v>
      </c>
    </row>
    <row r="1673" ht="15.75" customHeight="1">
      <c r="A1673" s="1" t="s">
        <v>3388</v>
      </c>
      <c r="B1673" s="1" t="s">
        <v>3389</v>
      </c>
      <c r="C1673" s="1" t="s">
        <v>12</v>
      </c>
      <c r="D1673" s="1" t="s">
        <v>3363</v>
      </c>
      <c r="E1673" s="4">
        <v>1014294.0</v>
      </c>
      <c r="F1673" s="2" t="s">
        <v>3237</v>
      </c>
      <c r="G1673" s="2" t="s">
        <v>1</v>
      </c>
      <c r="H1673" s="2" t="s">
        <v>14</v>
      </c>
      <c r="I1673" s="2" t="s">
        <v>15</v>
      </c>
      <c r="J1673" s="2" t="s">
        <v>15</v>
      </c>
    </row>
    <row r="1674" ht="15.75" customHeight="1">
      <c r="A1674" s="1" t="s">
        <v>3390</v>
      </c>
      <c r="B1674" s="1" t="s">
        <v>3391</v>
      </c>
      <c r="C1674" s="1" t="s">
        <v>12</v>
      </c>
      <c r="D1674" s="1" t="s">
        <v>3363</v>
      </c>
      <c r="E1674" s="4">
        <v>1014294.0</v>
      </c>
      <c r="F1674" s="2" t="s">
        <v>3237</v>
      </c>
      <c r="G1674" s="2" t="s">
        <v>1</v>
      </c>
      <c r="H1674" s="2" t="s">
        <v>18</v>
      </c>
      <c r="I1674" s="2" t="s">
        <v>15</v>
      </c>
      <c r="J1674" s="2" t="s">
        <v>15</v>
      </c>
    </row>
    <row r="1675" ht="15.75" customHeight="1">
      <c r="A1675" s="1" t="s">
        <v>3392</v>
      </c>
      <c r="B1675" s="1" t="s">
        <v>3393</v>
      </c>
      <c r="C1675" s="1" t="s">
        <v>12</v>
      </c>
      <c r="D1675" s="1" t="s">
        <v>3363</v>
      </c>
      <c r="E1675" s="4">
        <v>1014294.0</v>
      </c>
      <c r="F1675" s="2" t="s">
        <v>30</v>
      </c>
      <c r="G1675" s="2" t="s">
        <v>1</v>
      </c>
      <c r="H1675" s="2" t="s">
        <v>53</v>
      </c>
      <c r="I1675" s="2" t="s">
        <v>15</v>
      </c>
      <c r="J1675" s="2" t="s">
        <v>15</v>
      </c>
    </row>
    <row r="1676" ht="15.75" customHeight="1">
      <c r="A1676" s="1" t="s">
        <v>3394</v>
      </c>
      <c r="B1676" s="1" t="s">
        <v>3395</v>
      </c>
      <c r="C1676" s="1" t="s">
        <v>12</v>
      </c>
      <c r="D1676" s="1" t="s">
        <v>3363</v>
      </c>
      <c r="E1676" s="4">
        <v>1014294.0</v>
      </c>
      <c r="F1676" s="2" t="s">
        <v>30</v>
      </c>
      <c r="G1676" s="2" t="s">
        <v>1</v>
      </c>
      <c r="H1676" s="2" t="s">
        <v>14</v>
      </c>
      <c r="I1676" s="2" t="s">
        <v>15</v>
      </c>
      <c r="J1676" s="2" t="s">
        <v>15</v>
      </c>
    </row>
    <row r="1677" ht="15.75" customHeight="1">
      <c r="A1677" s="1" t="s">
        <v>3396</v>
      </c>
      <c r="B1677" s="1" t="s">
        <v>3397</v>
      </c>
      <c r="C1677" s="1" t="s">
        <v>12</v>
      </c>
      <c r="D1677" s="1" t="s">
        <v>3363</v>
      </c>
      <c r="E1677" s="4">
        <v>1014294.0</v>
      </c>
      <c r="F1677" s="2" t="s">
        <v>15</v>
      </c>
      <c r="G1677" s="2" t="s">
        <v>33</v>
      </c>
      <c r="H1677" s="2" t="s">
        <v>15</v>
      </c>
      <c r="I1677" s="2" t="s">
        <v>15</v>
      </c>
      <c r="J1677" s="2" t="s">
        <v>15</v>
      </c>
    </row>
    <row r="1678" ht="15.75" customHeight="1">
      <c r="A1678" s="1" t="s">
        <v>3398</v>
      </c>
      <c r="B1678" s="3" t="s">
        <v>3399</v>
      </c>
      <c r="C1678" s="1" t="s">
        <v>12</v>
      </c>
      <c r="D1678" s="1" t="s">
        <v>3400</v>
      </c>
      <c r="E1678" s="4">
        <v>1014358.0</v>
      </c>
      <c r="F1678" s="2">
        <v>1.0</v>
      </c>
      <c r="G1678" s="2" t="s">
        <v>1</v>
      </c>
      <c r="H1678" s="2" t="s">
        <v>14</v>
      </c>
      <c r="I1678" s="2" t="s">
        <v>15</v>
      </c>
      <c r="J1678" s="2" t="s">
        <v>15</v>
      </c>
    </row>
    <row r="1679" ht="15.75" customHeight="1">
      <c r="A1679" s="1" t="s">
        <v>3401</v>
      </c>
      <c r="B1679" s="1" t="s">
        <v>3402</v>
      </c>
      <c r="C1679" s="1" t="s">
        <v>12</v>
      </c>
      <c r="D1679" s="1" t="s">
        <v>3400</v>
      </c>
      <c r="E1679" s="4">
        <v>1014358.0</v>
      </c>
      <c r="F1679" s="2">
        <v>1.0</v>
      </c>
      <c r="G1679" s="2" t="s">
        <v>1</v>
      </c>
      <c r="H1679" s="2" t="s">
        <v>18</v>
      </c>
      <c r="I1679" s="2" t="s">
        <v>15</v>
      </c>
      <c r="J1679" s="2" t="s">
        <v>15</v>
      </c>
    </row>
    <row r="1680" ht="15.75" customHeight="1">
      <c r="A1680" s="1" t="s">
        <v>3403</v>
      </c>
      <c r="B1680" s="1" t="s">
        <v>3404</v>
      </c>
      <c r="C1680" s="1" t="s">
        <v>12</v>
      </c>
      <c r="D1680" s="1" t="s">
        <v>3400</v>
      </c>
      <c r="E1680" s="4">
        <v>1014358.0</v>
      </c>
      <c r="F1680" s="2">
        <v>2.0</v>
      </c>
      <c r="G1680" s="2" t="s">
        <v>1</v>
      </c>
      <c r="H1680" s="2" t="s">
        <v>14</v>
      </c>
      <c r="I1680" s="2" t="s">
        <v>15</v>
      </c>
      <c r="J1680" s="2" t="s">
        <v>15</v>
      </c>
    </row>
    <row r="1681" ht="15.75" customHeight="1">
      <c r="A1681" s="1" t="s">
        <v>3405</v>
      </c>
      <c r="B1681" s="1" t="s">
        <v>3406</v>
      </c>
      <c r="C1681" s="1" t="s">
        <v>12</v>
      </c>
      <c r="D1681" s="1" t="s">
        <v>3400</v>
      </c>
      <c r="E1681" s="4">
        <v>1014358.0</v>
      </c>
      <c r="F1681" s="2">
        <v>2.0</v>
      </c>
      <c r="G1681" s="2" t="s">
        <v>1</v>
      </c>
      <c r="H1681" s="2" t="s">
        <v>18</v>
      </c>
      <c r="I1681" s="2" t="s">
        <v>15</v>
      </c>
      <c r="J1681" s="2" t="s">
        <v>15</v>
      </c>
    </row>
    <row r="1682" ht="15.75" customHeight="1">
      <c r="A1682" s="1" t="s">
        <v>3407</v>
      </c>
      <c r="B1682" s="1" t="s">
        <v>3371</v>
      </c>
      <c r="C1682" s="1" t="s">
        <v>12</v>
      </c>
      <c r="D1682" s="1" t="s">
        <v>3400</v>
      </c>
      <c r="E1682" s="4">
        <v>1014358.0</v>
      </c>
      <c r="F1682" s="2">
        <v>2.0</v>
      </c>
      <c r="G1682" s="2" t="s">
        <v>1</v>
      </c>
      <c r="H1682" s="2" t="s">
        <v>53</v>
      </c>
      <c r="I1682" s="2" t="s">
        <v>15</v>
      </c>
      <c r="J1682" s="2" t="s">
        <v>15</v>
      </c>
    </row>
    <row r="1683" ht="15.75" customHeight="1">
      <c r="A1683" s="1" t="s">
        <v>3408</v>
      </c>
      <c r="B1683" s="3" t="s">
        <v>3409</v>
      </c>
      <c r="C1683" s="1" t="s">
        <v>12</v>
      </c>
      <c r="D1683" s="1" t="s">
        <v>3400</v>
      </c>
      <c r="E1683" s="4">
        <v>1014358.0</v>
      </c>
      <c r="F1683" s="2">
        <v>3.0</v>
      </c>
      <c r="G1683" s="2" t="s">
        <v>1</v>
      </c>
      <c r="H1683" s="2" t="s">
        <v>14</v>
      </c>
      <c r="I1683" s="2" t="s">
        <v>15</v>
      </c>
      <c r="J1683" s="2" t="s">
        <v>15</v>
      </c>
    </row>
    <row r="1684" ht="15.75" customHeight="1">
      <c r="A1684" s="1" t="s">
        <v>3410</v>
      </c>
      <c r="B1684" s="1" t="s">
        <v>3411</v>
      </c>
      <c r="C1684" s="1" t="s">
        <v>12</v>
      </c>
      <c r="D1684" s="1" t="s">
        <v>3400</v>
      </c>
      <c r="E1684" s="4">
        <v>1014358.0</v>
      </c>
      <c r="F1684" s="2">
        <v>3.0</v>
      </c>
      <c r="G1684" s="2" t="s">
        <v>1</v>
      </c>
      <c r="H1684" s="2" t="s">
        <v>18</v>
      </c>
      <c r="I1684" s="2" t="s">
        <v>15</v>
      </c>
      <c r="J1684" s="2" t="s">
        <v>15</v>
      </c>
    </row>
    <row r="1685" ht="15.75" customHeight="1">
      <c r="A1685" s="1" t="s">
        <v>3412</v>
      </c>
      <c r="B1685" s="1" t="s">
        <v>3377</v>
      </c>
      <c r="C1685" s="1" t="s">
        <v>12</v>
      </c>
      <c r="D1685" s="1" t="s">
        <v>3400</v>
      </c>
      <c r="E1685" s="4">
        <v>1014358.0</v>
      </c>
      <c r="F1685" s="2">
        <v>3.0</v>
      </c>
      <c r="G1685" s="2" t="s">
        <v>1</v>
      </c>
      <c r="H1685" s="2" t="s">
        <v>53</v>
      </c>
      <c r="I1685" s="2" t="s">
        <v>15</v>
      </c>
      <c r="J1685" s="2" t="s">
        <v>15</v>
      </c>
    </row>
    <row r="1686" ht="15.75" customHeight="1">
      <c r="A1686" s="1" t="s">
        <v>3413</v>
      </c>
      <c r="B1686" s="1" t="s">
        <v>3414</v>
      </c>
      <c r="C1686" s="1" t="s">
        <v>12</v>
      </c>
      <c r="D1686" s="1" t="s">
        <v>3400</v>
      </c>
      <c r="E1686" s="4">
        <v>1014358.0</v>
      </c>
      <c r="F1686" s="2">
        <v>4.0</v>
      </c>
      <c r="G1686" s="2" t="s">
        <v>1</v>
      </c>
      <c r="H1686" s="2" t="s">
        <v>14</v>
      </c>
      <c r="I1686" s="2" t="s">
        <v>15</v>
      </c>
      <c r="J1686" s="2" t="s">
        <v>15</v>
      </c>
    </row>
    <row r="1687" ht="15.75" customHeight="1">
      <c r="A1687" s="1" t="s">
        <v>3415</v>
      </c>
      <c r="B1687" s="1" t="s">
        <v>3416</v>
      </c>
      <c r="C1687" s="1" t="s">
        <v>12</v>
      </c>
      <c r="D1687" s="1" t="s">
        <v>3400</v>
      </c>
      <c r="E1687" s="4">
        <v>1014358.0</v>
      </c>
      <c r="F1687" s="2">
        <v>4.0</v>
      </c>
      <c r="G1687" s="2" t="s">
        <v>1</v>
      </c>
      <c r="H1687" s="2" t="s">
        <v>18</v>
      </c>
      <c r="I1687" s="2" t="s">
        <v>15</v>
      </c>
      <c r="J1687" s="2" t="s">
        <v>15</v>
      </c>
    </row>
    <row r="1688" ht="15.75" customHeight="1">
      <c r="A1688" s="1" t="s">
        <v>3417</v>
      </c>
      <c r="B1688" s="1" t="s">
        <v>3418</v>
      </c>
      <c r="C1688" s="1" t="s">
        <v>12</v>
      </c>
      <c r="D1688" s="1" t="s">
        <v>3400</v>
      </c>
      <c r="E1688" s="4">
        <v>1014358.0</v>
      </c>
      <c r="F1688" s="2">
        <v>5.0</v>
      </c>
      <c r="G1688" s="2" t="s">
        <v>1</v>
      </c>
      <c r="H1688" s="2" t="s">
        <v>14</v>
      </c>
      <c r="I1688" s="2" t="s">
        <v>15</v>
      </c>
      <c r="J1688" s="2" t="s">
        <v>15</v>
      </c>
    </row>
    <row r="1689" ht="15.75" customHeight="1">
      <c r="A1689" s="1" t="s">
        <v>3419</v>
      </c>
      <c r="B1689" s="1" t="s">
        <v>3420</v>
      </c>
      <c r="C1689" s="1" t="s">
        <v>12</v>
      </c>
      <c r="D1689" s="1" t="s">
        <v>3400</v>
      </c>
      <c r="E1689" s="4">
        <v>1014358.0</v>
      </c>
      <c r="F1689" s="2">
        <v>5.0</v>
      </c>
      <c r="G1689" s="2" t="s">
        <v>1</v>
      </c>
      <c r="H1689" s="2" t="s">
        <v>18</v>
      </c>
      <c r="I1689" s="2" t="s">
        <v>15</v>
      </c>
      <c r="J1689" s="2" t="s">
        <v>15</v>
      </c>
    </row>
    <row r="1690" ht="15.75" customHeight="1">
      <c r="A1690" s="1" t="s">
        <v>3421</v>
      </c>
      <c r="B1690" s="1" t="s">
        <v>3387</v>
      </c>
      <c r="C1690" s="1" t="s">
        <v>12</v>
      </c>
      <c r="D1690" s="1" t="s">
        <v>3400</v>
      </c>
      <c r="E1690" s="4">
        <v>1014358.0</v>
      </c>
      <c r="F1690" s="2" t="s">
        <v>15</v>
      </c>
      <c r="G1690" s="2" t="s">
        <v>1</v>
      </c>
      <c r="H1690" s="2" t="s">
        <v>53</v>
      </c>
      <c r="I1690" s="2" t="s">
        <v>15</v>
      </c>
      <c r="J1690" s="2" t="s">
        <v>15</v>
      </c>
    </row>
    <row r="1691" ht="15.75" customHeight="1">
      <c r="A1691" s="1" t="s">
        <v>3422</v>
      </c>
      <c r="B1691" s="1" t="s">
        <v>3393</v>
      </c>
      <c r="C1691" s="1" t="s">
        <v>12</v>
      </c>
      <c r="D1691" s="1" t="s">
        <v>3400</v>
      </c>
      <c r="E1691" s="4">
        <v>1014358.0</v>
      </c>
      <c r="F1691" s="2" t="s">
        <v>30</v>
      </c>
      <c r="G1691" s="2" t="s">
        <v>1</v>
      </c>
      <c r="H1691" s="2" t="s">
        <v>53</v>
      </c>
      <c r="I1691" s="2" t="s">
        <v>15</v>
      </c>
      <c r="J1691" s="2" t="s">
        <v>15</v>
      </c>
    </row>
    <row r="1692" ht="15.75" customHeight="1">
      <c r="A1692" s="1" t="s">
        <v>3423</v>
      </c>
      <c r="B1692" s="1" t="s">
        <v>3424</v>
      </c>
      <c r="C1692" s="1" t="s">
        <v>12</v>
      </c>
      <c r="D1692" s="1" t="s">
        <v>3400</v>
      </c>
      <c r="E1692" s="4">
        <v>1014358.0</v>
      </c>
      <c r="F1692" s="2" t="s">
        <v>30</v>
      </c>
      <c r="G1692" s="2" t="s">
        <v>1</v>
      </c>
      <c r="H1692" s="2" t="s">
        <v>14</v>
      </c>
      <c r="I1692" s="2" t="s">
        <v>15</v>
      </c>
      <c r="J1692" s="2" t="s">
        <v>15</v>
      </c>
    </row>
    <row r="1693" ht="15.75" customHeight="1">
      <c r="A1693" s="1" t="s">
        <v>3425</v>
      </c>
      <c r="B1693" s="1" t="s">
        <v>3426</v>
      </c>
      <c r="C1693" s="1" t="s">
        <v>12</v>
      </c>
      <c r="D1693" s="1" t="s">
        <v>3400</v>
      </c>
      <c r="E1693" s="4">
        <v>1014358.0</v>
      </c>
      <c r="F1693" s="2" t="s">
        <v>15</v>
      </c>
      <c r="G1693" s="2" t="s">
        <v>33</v>
      </c>
      <c r="H1693" s="2" t="s">
        <v>15</v>
      </c>
      <c r="I1693" s="2" t="s">
        <v>15</v>
      </c>
      <c r="J1693" s="2" t="s">
        <v>15</v>
      </c>
    </row>
    <row r="1694" ht="15.75" customHeight="1">
      <c r="A1694" s="1" t="s">
        <v>3427</v>
      </c>
      <c r="B1694" s="1" t="s">
        <v>3428</v>
      </c>
      <c r="C1694" s="1" t="s">
        <v>12</v>
      </c>
      <c r="D1694" s="1" t="s">
        <v>3429</v>
      </c>
      <c r="E1694" s="4">
        <v>1014422.0</v>
      </c>
      <c r="F1694" s="2">
        <v>3.0</v>
      </c>
      <c r="G1694" s="2" t="s">
        <v>1</v>
      </c>
      <c r="H1694" s="2" t="s">
        <v>14</v>
      </c>
      <c r="I1694" s="2" t="s">
        <v>15</v>
      </c>
      <c r="J1694" s="2" t="s">
        <v>15</v>
      </c>
    </row>
    <row r="1695" ht="15.75" customHeight="1">
      <c r="A1695" s="1" t="s">
        <v>3430</v>
      </c>
      <c r="B1695" s="1" t="s">
        <v>3431</v>
      </c>
      <c r="C1695" s="1" t="s">
        <v>12</v>
      </c>
      <c r="D1695" s="1" t="s">
        <v>3429</v>
      </c>
      <c r="E1695" s="4">
        <v>1014422.0</v>
      </c>
      <c r="F1695" s="2">
        <v>3.0</v>
      </c>
      <c r="G1695" s="2" t="s">
        <v>1</v>
      </c>
      <c r="H1695" s="2" t="s">
        <v>18</v>
      </c>
      <c r="I1695" s="2" t="s">
        <v>15</v>
      </c>
      <c r="J1695" s="2" t="s">
        <v>15</v>
      </c>
    </row>
    <row r="1696" ht="15.75" customHeight="1">
      <c r="A1696" s="1" t="s">
        <v>3432</v>
      </c>
      <c r="B1696" s="1" t="s">
        <v>3433</v>
      </c>
      <c r="C1696" s="1" t="s">
        <v>12</v>
      </c>
      <c r="D1696" s="1" t="s">
        <v>3429</v>
      </c>
      <c r="E1696" s="4">
        <v>1014422.0</v>
      </c>
      <c r="F1696" s="2">
        <v>4.0</v>
      </c>
      <c r="G1696" s="2" t="s">
        <v>1</v>
      </c>
      <c r="H1696" s="2" t="s">
        <v>14</v>
      </c>
      <c r="I1696" s="2" t="s">
        <v>15</v>
      </c>
      <c r="J1696" s="2" t="s">
        <v>15</v>
      </c>
    </row>
    <row r="1697" ht="15.75" customHeight="1">
      <c r="A1697" s="1" t="s">
        <v>3434</v>
      </c>
      <c r="B1697" s="1" t="s">
        <v>3435</v>
      </c>
      <c r="C1697" s="1" t="s">
        <v>12</v>
      </c>
      <c r="D1697" s="1" t="s">
        <v>3429</v>
      </c>
      <c r="E1697" s="4">
        <v>1014422.0</v>
      </c>
      <c r="F1697" s="2">
        <v>4.0</v>
      </c>
      <c r="G1697" s="2" t="s">
        <v>1</v>
      </c>
      <c r="H1697" s="2" t="s">
        <v>18</v>
      </c>
      <c r="I1697" s="2" t="s">
        <v>15</v>
      </c>
      <c r="J1697" s="2" t="s">
        <v>15</v>
      </c>
    </row>
    <row r="1698" ht="15.75" customHeight="1">
      <c r="A1698" s="1" t="s">
        <v>3436</v>
      </c>
      <c r="B1698" s="1" t="s">
        <v>3437</v>
      </c>
      <c r="C1698" s="1" t="s">
        <v>12</v>
      </c>
      <c r="D1698" s="1" t="s">
        <v>3429</v>
      </c>
      <c r="E1698" s="4">
        <v>1014422.0</v>
      </c>
      <c r="F1698" s="2">
        <v>5.0</v>
      </c>
      <c r="G1698" s="2" t="s">
        <v>1</v>
      </c>
      <c r="H1698" s="2" t="s">
        <v>14</v>
      </c>
      <c r="I1698" s="2" t="s">
        <v>15</v>
      </c>
      <c r="J1698" s="2" t="s">
        <v>15</v>
      </c>
    </row>
    <row r="1699" ht="15.75" customHeight="1">
      <c r="A1699" s="1" t="s">
        <v>3438</v>
      </c>
      <c r="B1699" s="1" t="s">
        <v>3439</v>
      </c>
      <c r="C1699" s="1" t="s">
        <v>12</v>
      </c>
      <c r="D1699" s="1" t="s">
        <v>3429</v>
      </c>
      <c r="E1699" s="4">
        <v>1014422.0</v>
      </c>
      <c r="F1699" s="2">
        <v>5.0</v>
      </c>
      <c r="G1699" s="2" t="s">
        <v>1</v>
      </c>
      <c r="H1699" s="2" t="s">
        <v>18</v>
      </c>
      <c r="I1699" s="2" t="s">
        <v>15</v>
      </c>
      <c r="J1699" s="2" t="s">
        <v>15</v>
      </c>
    </row>
    <row r="1700" ht="15.75" customHeight="1">
      <c r="A1700" s="1" t="s">
        <v>3440</v>
      </c>
      <c r="B1700" s="1" t="s">
        <v>3441</v>
      </c>
      <c r="C1700" s="1" t="s">
        <v>12</v>
      </c>
      <c r="D1700" s="1" t="s">
        <v>3429</v>
      </c>
      <c r="E1700" s="4">
        <v>1014422.0</v>
      </c>
      <c r="F1700" s="2" t="s">
        <v>30</v>
      </c>
      <c r="G1700" s="2" t="s">
        <v>1</v>
      </c>
      <c r="H1700" s="2" t="s">
        <v>14</v>
      </c>
      <c r="I1700" s="2" t="s">
        <v>15</v>
      </c>
      <c r="J1700" s="2" t="s">
        <v>15</v>
      </c>
    </row>
    <row r="1701" ht="15.75" customHeight="1">
      <c r="A1701" s="1" t="s">
        <v>3442</v>
      </c>
      <c r="B1701" s="1" t="s">
        <v>3443</v>
      </c>
      <c r="C1701" s="1" t="s">
        <v>12</v>
      </c>
      <c r="D1701" s="1" t="s">
        <v>3429</v>
      </c>
      <c r="E1701" s="4">
        <v>1014422.0</v>
      </c>
      <c r="F1701" s="2" t="s">
        <v>15</v>
      </c>
      <c r="G1701" s="2" t="s">
        <v>33</v>
      </c>
      <c r="H1701" s="2" t="s">
        <v>15</v>
      </c>
      <c r="I1701" s="2" t="s">
        <v>15</v>
      </c>
      <c r="J1701" s="2" t="s">
        <v>15</v>
      </c>
    </row>
    <row r="1702" ht="15.75" customHeight="1">
      <c r="A1702" s="1" t="s">
        <v>3444</v>
      </c>
      <c r="B1702" s="3" t="s">
        <v>3445</v>
      </c>
      <c r="C1702" s="1" t="s">
        <v>12</v>
      </c>
      <c r="D1702" s="1" t="s">
        <v>3446</v>
      </c>
      <c r="E1702" s="4">
        <v>1014486.0</v>
      </c>
      <c r="F1702" s="2" t="s">
        <v>36</v>
      </c>
      <c r="G1702" s="2" t="s">
        <v>1</v>
      </c>
      <c r="H1702" s="2" t="s">
        <v>14</v>
      </c>
      <c r="I1702" s="5" t="str">
        <f>IFERROR(
  MID(
    SUBSTITUTE(B1702, CHAR(10), ""),
    FIND("_Gross ROI=", SUBSTITUTE(B1702, CHAR(10), "")) + LEN("_Gross ROI="),
    FIND("%", SUBSTITUTE(B1702, CHAR(10), ""), FIND("_Gross ROI=", SUBSTITUTE(B1702, CHAR(10), "")))
      - FIND("_Gross ROI=", SUBSTITUTE(B1702, CHAR(10), "")) - LEN("_Gross ROI=") + 1
  ),
  ""
)</f>
        <v>6.93%</v>
      </c>
      <c r="J1702" s="5" t="str">
        <f>IFERROR(
  MID(
    SUBSTITUTE(B1702, CHAR(10), ""),
    FIND("_Median annual rent=", SUBSTITUTE(B1702, CHAR(10), "")) + LEN("_Median annual rent="),
    FIND("K", SUBSTITUTE(B1702, CHAR(10), ""), FIND("_Median annual rent=", SUBSTITUTE(B1702, CHAR(10), "")))
      - FIND("_Median annual rent=", SUBSTITUTE(B1702, CHAR(10), "")) - LEN("_Median annual rent=") + 1
  ),
  "")</f>
        <v>138K</v>
      </c>
    </row>
    <row r="1703" ht="15.75" customHeight="1">
      <c r="A1703" s="1" t="s">
        <v>3447</v>
      </c>
      <c r="B1703" s="1" t="s">
        <v>3448</v>
      </c>
      <c r="C1703" s="1" t="s">
        <v>12</v>
      </c>
      <c r="D1703" s="1" t="s">
        <v>3446</v>
      </c>
      <c r="E1703" s="4">
        <v>1014486.0</v>
      </c>
      <c r="F1703" s="2" t="s">
        <v>36</v>
      </c>
      <c r="G1703" s="2" t="s">
        <v>1</v>
      </c>
      <c r="H1703" s="2" t="s">
        <v>18</v>
      </c>
      <c r="I1703" s="2" t="s">
        <v>15</v>
      </c>
      <c r="J1703" s="2" t="s">
        <v>15</v>
      </c>
    </row>
    <row r="1704" ht="15.75" customHeight="1">
      <c r="A1704" s="1" t="s">
        <v>3449</v>
      </c>
      <c r="B1704" s="3" t="s">
        <v>3450</v>
      </c>
      <c r="C1704" s="1" t="s">
        <v>12</v>
      </c>
      <c r="D1704" s="1" t="s">
        <v>3446</v>
      </c>
      <c r="E1704" s="4">
        <v>1014486.0</v>
      </c>
      <c r="F1704" s="2" t="s">
        <v>36</v>
      </c>
      <c r="G1704" s="2" t="s">
        <v>1</v>
      </c>
      <c r="H1704" s="2" t="s">
        <v>53</v>
      </c>
      <c r="I1704" s="2" t="s">
        <v>15</v>
      </c>
      <c r="J1704" s="2" t="s">
        <v>15</v>
      </c>
    </row>
    <row r="1705" ht="15.75" customHeight="1">
      <c r="A1705" s="1" t="s">
        <v>3451</v>
      </c>
      <c r="B1705" s="1" t="s">
        <v>3452</v>
      </c>
      <c r="C1705" s="1" t="s">
        <v>12</v>
      </c>
      <c r="D1705" s="1" t="s">
        <v>3446</v>
      </c>
      <c r="E1705" s="4">
        <v>1014486.0</v>
      </c>
      <c r="F1705" s="2">
        <v>1.0</v>
      </c>
      <c r="G1705" s="2" t="s">
        <v>1</v>
      </c>
      <c r="H1705" s="2" t="s">
        <v>14</v>
      </c>
      <c r="I1705" s="5" t="str">
        <f>IFERROR(
  MID(
    SUBSTITUTE(B1705, CHAR(10), ""),
    FIND("_Gross ROI=", SUBSTITUTE(B1705, CHAR(10), "")) + LEN("_Gross ROI="),
    FIND("%", SUBSTITUTE(B1705, CHAR(10), ""), FIND("_Gross ROI=", SUBSTITUTE(B1705, CHAR(10), "")))
      - FIND("_Gross ROI=", SUBSTITUTE(B1705, CHAR(10), "")) - LEN("_Gross ROI=") + 1
  ),
  ""
)</f>
        <v>6.4%</v>
      </c>
      <c r="J1705" s="5" t="str">
        <f>IFERROR(
  MID(
    SUBSTITUTE(B1705, CHAR(10), ""),
    FIND("_Median annual rent=", SUBSTITUTE(B1705, CHAR(10), "")) + LEN("_Median annual rent="),
    FIND("K", SUBSTITUTE(B1705, CHAR(10), ""), FIND("_Median annual rent=", SUBSTITUTE(B1705, CHAR(10), "")))
      - FIND("_Median annual rent=", SUBSTITUTE(B1705, CHAR(10), "")) - LEN("_Median annual rent=") + 1
  ),
  "")</f>
        <v>191K</v>
      </c>
    </row>
    <row r="1706" ht="15.75" customHeight="1">
      <c r="A1706" s="1" t="s">
        <v>3453</v>
      </c>
      <c r="B1706" s="1" t="s">
        <v>3454</v>
      </c>
      <c r="C1706" s="1" t="s">
        <v>12</v>
      </c>
      <c r="D1706" s="1" t="s">
        <v>3446</v>
      </c>
      <c r="E1706" s="4">
        <v>1014486.0</v>
      </c>
      <c r="F1706" s="2">
        <v>1.0</v>
      </c>
      <c r="G1706" s="2" t="s">
        <v>1</v>
      </c>
      <c r="H1706" s="2" t="s">
        <v>18</v>
      </c>
      <c r="I1706" s="2" t="s">
        <v>15</v>
      </c>
      <c r="J1706" s="2" t="s">
        <v>15</v>
      </c>
    </row>
    <row r="1707" ht="15.75" customHeight="1">
      <c r="A1707" s="1" t="s">
        <v>3455</v>
      </c>
      <c r="B1707" s="1" t="s">
        <v>3456</v>
      </c>
      <c r="C1707" s="1" t="s">
        <v>12</v>
      </c>
      <c r="D1707" s="1" t="s">
        <v>3446</v>
      </c>
      <c r="E1707" s="4">
        <v>1014486.0</v>
      </c>
      <c r="F1707" s="2">
        <v>1.0</v>
      </c>
      <c r="G1707" s="2" t="s">
        <v>1</v>
      </c>
      <c r="H1707" s="2" t="s">
        <v>53</v>
      </c>
      <c r="I1707" s="2" t="s">
        <v>15</v>
      </c>
      <c r="J1707" s="2" t="s">
        <v>15</v>
      </c>
    </row>
    <row r="1708" ht="15.75" customHeight="1">
      <c r="A1708" s="1" t="s">
        <v>3457</v>
      </c>
      <c r="B1708" s="1" t="s">
        <v>3458</v>
      </c>
      <c r="C1708" s="1" t="s">
        <v>12</v>
      </c>
      <c r="D1708" s="1" t="s">
        <v>3446</v>
      </c>
      <c r="E1708" s="4">
        <v>1014486.0</v>
      </c>
      <c r="F1708" s="2">
        <v>2.0</v>
      </c>
      <c r="G1708" s="2" t="s">
        <v>1</v>
      </c>
      <c r="H1708" s="2" t="s">
        <v>14</v>
      </c>
      <c r="I1708" s="5" t="str">
        <f>IFERROR(
  MID(
    SUBSTITUTE(B1708, CHAR(10), ""),
    FIND("_Gross ROI=", SUBSTITUTE(B1708, CHAR(10), "")) + LEN("_Gross ROI="),
    FIND("%", SUBSTITUTE(B1708, CHAR(10), ""), FIND("_Gross ROI=", SUBSTITUTE(B1708, CHAR(10), "")))
      - FIND("_Gross ROI=", SUBSTITUTE(B1708, CHAR(10), "")) - LEN("_Gross ROI=") + 1
  ),
  ""
)</f>
        <v>4.51%</v>
      </c>
      <c r="J1708" s="5" t="str">
        <f>IFERROR(
  MID(
    SUBSTITUTE(B1708, CHAR(10), ""),
    FIND("_Median annual rent=", SUBSTITUTE(B1708, CHAR(10), "")) + LEN("_Median annual rent="),
    FIND("K", SUBSTITUTE(B1708, CHAR(10), ""), FIND("_Median annual rent=", SUBSTITUTE(B1708, CHAR(10), "")))
      - FIND("_Median annual rent=", SUBSTITUTE(B1708, CHAR(10), "")) - LEN("_Median annual rent=") + 1
  ),
  "")</f>
        <v>320K</v>
      </c>
    </row>
    <row r="1709" ht="15.75" customHeight="1">
      <c r="A1709" s="1" t="s">
        <v>3459</v>
      </c>
      <c r="B1709" s="1" t="s">
        <v>3460</v>
      </c>
      <c r="C1709" s="1" t="s">
        <v>12</v>
      </c>
      <c r="D1709" s="1" t="s">
        <v>3446</v>
      </c>
      <c r="E1709" s="4">
        <v>1014486.0</v>
      </c>
      <c r="F1709" s="2">
        <v>2.0</v>
      </c>
      <c r="G1709" s="2" t="s">
        <v>1</v>
      </c>
      <c r="H1709" s="2" t="s">
        <v>18</v>
      </c>
      <c r="I1709" s="2" t="s">
        <v>15</v>
      </c>
      <c r="J1709" s="2" t="s">
        <v>15</v>
      </c>
    </row>
    <row r="1710" ht="15.75" customHeight="1">
      <c r="A1710" s="1" t="s">
        <v>3461</v>
      </c>
      <c r="B1710" s="1" t="s">
        <v>3462</v>
      </c>
      <c r="C1710" s="1" t="s">
        <v>12</v>
      </c>
      <c r="D1710" s="1" t="s">
        <v>3446</v>
      </c>
      <c r="E1710" s="4">
        <v>1014486.0</v>
      </c>
      <c r="F1710" s="2">
        <v>2.0</v>
      </c>
      <c r="G1710" s="2" t="s">
        <v>1</v>
      </c>
      <c r="H1710" s="2" t="s">
        <v>53</v>
      </c>
      <c r="I1710" s="2" t="s">
        <v>15</v>
      </c>
      <c r="J1710" s="2" t="s">
        <v>15</v>
      </c>
    </row>
    <row r="1711" ht="15.75" customHeight="1">
      <c r="A1711" s="1" t="s">
        <v>3463</v>
      </c>
      <c r="B1711" s="1" t="s">
        <v>3464</v>
      </c>
      <c r="C1711" s="1" t="s">
        <v>12</v>
      </c>
      <c r="D1711" s="1" t="s">
        <v>3446</v>
      </c>
      <c r="E1711" s="4">
        <v>1014486.0</v>
      </c>
      <c r="F1711" s="2">
        <v>3.0</v>
      </c>
      <c r="G1711" s="2" t="s">
        <v>1</v>
      </c>
      <c r="H1711" s="2" t="s">
        <v>14</v>
      </c>
      <c r="I1711" s="5" t="str">
        <f>IFERROR(
  MID(
    SUBSTITUTE(B1711, CHAR(10), ""),
    FIND("_Gross ROI=", SUBSTITUTE(B1711, CHAR(10), "")) + LEN("_Gross ROI="),
    FIND("%", SUBSTITUTE(B1711, CHAR(10), ""), FIND("_Gross ROI=", SUBSTITUTE(B1711, CHAR(10), "")))
      - FIND("_Gross ROI=", SUBSTITUTE(B1711, CHAR(10), "")) - LEN("_Gross ROI=") + 1
  ),
  ""
)</f>
        <v>5.66%</v>
      </c>
      <c r="J1711" s="5" t="str">
        <f>IFERROR(
  MID(
    SUBSTITUTE(B1711, CHAR(10), ""),
    FIND("_Median annual rent=", SUBSTITUTE(B1711, CHAR(10), "")) + LEN("_Median annual rent="),
    FIND("K", SUBSTITUTE(B1711, CHAR(10), ""), FIND("_Median annual rent=", SUBSTITUTE(B1711, CHAR(10), "")))
      - FIND("_Median annual rent=", SUBSTITUTE(B1711, CHAR(10), "")) - LEN("_Median annual rent=") + 1
  ),
  "")</f>
        <v>525K</v>
      </c>
    </row>
    <row r="1712" ht="15.75" customHeight="1">
      <c r="A1712" s="1" t="s">
        <v>3465</v>
      </c>
      <c r="B1712" s="1" t="s">
        <v>3466</v>
      </c>
      <c r="C1712" s="1" t="s">
        <v>12</v>
      </c>
      <c r="D1712" s="1" t="s">
        <v>3446</v>
      </c>
      <c r="E1712" s="4">
        <v>1014486.0</v>
      </c>
      <c r="F1712" s="2">
        <v>3.0</v>
      </c>
      <c r="G1712" s="2" t="s">
        <v>1</v>
      </c>
      <c r="H1712" s="2" t="s">
        <v>18</v>
      </c>
      <c r="I1712" s="2" t="s">
        <v>15</v>
      </c>
      <c r="J1712" s="2" t="s">
        <v>15</v>
      </c>
    </row>
    <row r="1713" ht="15.75" customHeight="1">
      <c r="A1713" s="1" t="s">
        <v>3467</v>
      </c>
      <c r="B1713" s="1" t="s">
        <v>3468</v>
      </c>
      <c r="C1713" s="1" t="s">
        <v>12</v>
      </c>
      <c r="D1713" s="1" t="s">
        <v>3446</v>
      </c>
      <c r="E1713" s="4">
        <v>1014486.0</v>
      </c>
      <c r="F1713" s="2">
        <v>3.0</v>
      </c>
      <c r="G1713" s="2" t="s">
        <v>1</v>
      </c>
      <c r="H1713" s="2" t="s">
        <v>53</v>
      </c>
      <c r="I1713" s="2" t="s">
        <v>15</v>
      </c>
      <c r="J1713" s="2" t="s">
        <v>15</v>
      </c>
    </row>
    <row r="1714" ht="15.75" customHeight="1">
      <c r="A1714" s="1" t="s">
        <v>3469</v>
      </c>
      <c r="B1714" s="1" t="s">
        <v>3470</v>
      </c>
      <c r="C1714" s="1" t="s">
        <v>12</v>
      </c>
      <c r="D1714" s="1" t="s">
        <v>3446</v>
      </c>
      <c r="E1714" s="4">
        <v>1014486.0</v>
      </c>
      <c r="F1714" s="2">
        <v>4.0</v>
      </c>
      <c r="G1714" s="2" t="s">
        <v>1</v>
      </c>
      <c r="H1714" s="2" t="s">
        <v>14</v>
      </c>
      <c r="I1714" s="2" t="s">
        <v>15</v>
      </c>
      <c r="J1714" s="2" t="s">
        <v>15</v>
      </c>
    </row>
    <row r="1715" ht="15.75" customHeight="1">
      <c r="A1715" s="1" t="s">
        <v>3471</v>
      </c>
      <c r="B1715" s="1" t="s">
        <v>3472</v>
      </c>
      <c r="C1715" s="1" t="s">
        <v>12</v>
      </c>
      <c r="D1715" s="1" t="s">
        <v>3446</v>
      </c>
      <c r="E1715" s="4">
        <v>1014486.0</v>
      </c>
      <c r="F1715" s="2">
        <v>4.0</v>
      </c>
      <c r="G1715" s="2" t="s">
        <v>1</v>
      </c>
      <c r="H1715" s="2" t="s">
        <v>18</v>
      </c>
      <c r="I1715" s="2" t="s">
        <v>15</v>
      </c>
      <c r="J1715" s="2" t="s">
        <v>15</v>
      </c>
    </row>
    <row r="1716" ht="15.75" customHeight="1">
      <c r="A1716" s="1" t="s">
        <v>3473</v>
      </c>
      <c r="B1716" s="1" t="s">
        <v>3474</v>
      </c>
      <c r="C1716" s="1" t="s">
        <v>12</v>
      </c>
      <c r="D1716" s="1" t="s">
        <v>3446</v>
      </c>
      <c r="E1716" s="4">
        <v>1014486.0</v>
      </c>
      <c r="F1716" s="2">
        <v>4.0</v>
      </c>
      <c r="G1716" s="2" t="s">
        <v>1</v>
      </c>
      <c r="H1716" s="2" t="s">
        <v>53</v>
      </c>
      <c r="I1716" s="2" t="s">
        <v>15</v>
      </c>
      <c r="J1716" s="2" t="s">
        <v>15</v>
      </c>
    </row>
    <row r="1717" ht="15.75" customHeight="1">
      <c r="A1717" s="1" t="s">
        <v>3475</v>
      </c>
      <c r="B1717" s="1" t="s">
        <v>3476</v>
      </c>
      <c r="C1717" s="1" t="s">
        <v>12</v>
      </c>
      <c r="D1717" s="1" t="s">
        <v>3446</v>
      </c>
      <c r="E1717" s="4">
        <v>1014486.0</v>
      </c>
      <c r="F1717" s="2">
        <v>5.0</v>
      </c>
      <c r="G1717" s="2" t="s">
        <v>1</v>
      </c>
      <c r="H1717" s="2" t="s">
        <v>14</v>
      </c>
      <c r="I1717" s="2" t="s">
        <v>15</v>
      </c>
      <c r="J1717" s="2" t="s">
        <v>15</v>
      </c>
    </row>
    <row r="1718" ht="15.75" customHeight="1">
      <c r="A1718" s="1" t="s">
        <v>3477</v>
      </c>
      <c r="B1718" s="1" t="s">
        <v>3478</v>
      </c>
      <c r="C1718" s="1" t="s">
        <v>12</v>
      </c>
      <c r="D1718" s="1" t="s">
        <v>3446</v>
      </c>
      <c r="E1718" s="4">
        <v>1014486.0</v>
      </c>
      <c r="F1718" s="2">
        <v>5.0</v>
      </c>
      <c r="G1718" s="2" t="s">
        <v>1</v>
      </c>
      <c r="H1718" s="2" t="s">
        <v>18</v>
      </c>
      <c r="I1718" s="2" t="s">
        <v>15</v>
      </c>
      <c r="J1718" s="2" t="s">
        <v>15</v>
      </c>
    </row>
    <row r="1719" ht="15.75" customHeight="1">
      <c r="A1719" s="1" t="s">
        <v>3479</v>
      </c>
      <c r="B1719" s="1" t="s">
        <v>3480</v>
      </c>
      <c r="C1719" s="1" t="s">
        <v>12</v>
      </c>
      <c r="D1719" s="1" t="s">
        <v>3446</v>
      </c>
      <c r="E1719" s="4">
        <v>1014486.0</v>
      </c>
      <c r="F1719" s="2">
        <v>5.0</v>
      </c>
      <c r="G1719" s="2" t="s">
        <v>1</v>
      </c>
      <c r="H1719" s="2" t="s">
        <v>53</v>
      </c>
      <c r="I1719" s="2" t="s">
        <v>15</v>
      </c>
      <c r="J1719" s="2" t="s">
        <v>15</v>
      </c>
    </row>
    <row r="1720" ht="15.75" customHeight="1">
      <c r="A1720" s="1" t="s">
        <v>3481</v>
      </c>
      <c r="B1720" s="1" t="s">
        <v>3482</v>
      </c>
      <c r="C1720" s="1" t="s">
        <v>12</v>
      </c>
      <c r="D1720" s="1" t="s">
        <v>3446</v>
      </c>
      <c r="E1720" s="4">
        <v>1014486.0</v>
      </c>
      <c r="F1720" s="2" t="s">
        <v>15</v>
      </c>
      <c r="G1720" s="2" t="s">
        <v>1</v>
      </c>
      <c r="H1720" s="2" t="s">
        <v>53</v>
      </c>
      <c r="I1720" s="2" t="s">
        <v>15</v>
      </c>
      <c r="J1720" s="2" t="s">
        <v>15</v>
      </c>
    </row>
    <row r="1721" ht="15.75" customHeight="1">
      <c r="A1721" s="1" t="s">
        <v>3483</v>
      </c>
      <c r="B1721" s="1" t="s">
        <v>3484</v>
      </c>
      <c r="C1721" s="1" t="s">
        <v>12</v>
      </c>
      <c r="D1721" s="1" t="s">
        <v>3446</v>
      </c>
      <c r="E1721" s="4">
        <v>1014486.0</v>
      </c>
      <c r="F1721" s="2" t="s">
        <v>15</v>
      </c>
      <c r="G1721" s="2" t="s">
        <v>1</v>
      </c>
      <c r="H1721" s="2" t="s">
        <v>53</v>
      </c>
      <c r="I1721" s="2" t="s">
        <v>15</v>
      </c>
      <c r="J1721" s="2" t="s">
        <v>15</v>
      </c>
    </row>
    <row r="1722" ht="15.75" customHeight="1">
      <c r="A1722" s="1" t="s">
        <v>3485</v>
      </c>
      <c r="B1722" s="1" t="s">
        <v>3486</v>
      </c>
      <c r="C1722" s="1" t="s">
        <v>12</v>
      </c>
      <c r="D1722" s="1" t="s">
        <v>3446</v>
      </c>
      <c r="E1722" s="4">
        <v>1014486.0</v>
      </c>
      <c r="F1722" s="2" t="s">
        <v>30</v>
      </c>
      <c r="G1722" s="2" t="s">
        <v>1</v>
      </c>
      <c r="H1722" s="2" t="s">
        <v>53</v>
      </c>
      <c r="I1722" s="2" t="s">
        <v>15</v>
      </c>
      <c r="J1722" s="2" t="s">
        <v>15</v>
      </c>
    </row>
    <row r="1723" ht="15.75" customHeight="1">
      <c r="A1723" s="1" t="s">
        <v>3487</v>
      </c>
      <c r="B1723" s="1" t="s">
        <v>3488</v>
      </c>
      <c r="C1723" s="1" t="s">
        <v>12</v>
      </c>
      <c r="D1723" s="1" t="s">
        <v>3446</v>
      </c>
      <c r="E1723" s="4">
        <v>1014486.0</v>
      </c>
      <c r="F1723" s="2" t="s">
        <v>30</v>
      </c>
      <c r="G1723" s="2" t="s">
        <v>1</v>
      </c>
      <c r="H1723" s="2" t="s">
        <v>14</v>
      </c>
      <c r="I1723" s="2" t="s">
        <v>15</v>
      </c>
      <c r="J1723" s="2" t="s">
        <v>15</v>
      </c>
    </row>
    <row r="1724" ht="15.75" customHeight="1">
      <c r="A1724" s="1" t="s">
        <v>3489</v>
      </c>
      <c r="B1724" s="1" t="s">
        <v>3490</v>
      </c>
      <c r="C1724" s="1" t="s">
        <v>12</v>
      </c>
      <c r="D1724" s="1" t="s">
        <v>3446</v>
      </c>
      <c r="E1724" s="4">
        <v>1014486.0</v>
      </c>
      <c r="F1724" s="2" t="s">
        <v>15</v>
      </c>
      <c r="G1724" s="2" t="s">
        <v>33</v>
      </c>
      <c r="H1724" s="2" t="s">
        <v>15</v>
      </c>
      <c r="I1724" s="2" t="s">
        <v>15</v>
      </c>
      <c r="J1724" s="2" t="s">
        <v>15</v>
      </c>
    </row>
    <row r="1725" ht="15.75" customHeight="1">
      <c r="A1725" s="1" t="s">
        <v>3491</v>
      </c>
      <c r="B1725" s="1" t="s">
        <v>3492</v>
      </c>
      <c r="C1725" s="1" t="s">
        <v>12</v>
      </c>
      <c r="D1725" s="1" t="s">
        <v>3493</v>
      </c>
      <c r="E1725" s="4">
        <v>1014550.0</v>
      </c>
      <c r="F1725" s="2" t="s">
        <v>36</v>
      </c>
      <c r="G1725" s="2" t="s">
        <v>1</v>
      </c>
      <c r="H1725" s="2" t="s">
        <v>14</v>
      </c>
      <c r="I1725" s="2" t="s">
        <v>15</v>
      </c>
      <c r="J1725" s="2" t="s">
        <v>15</v>
      </c>
    </row>
    <row r="1726" ht="15.75" customHeight="1">
      <c r="A1726" s="1" t="s">
        <v>3494</v>
      </c>
      <c r="B1726" s="1" t="s">
        <v>3495</v>
      </c>
      <c r="C1726" s="1" t="s">
        <v>12</v>
      </c>
      <c r="D1726" s="1" t="s">
        <v>3493</v>
      </c>
      <c r="E1726" s="4">
        <v>1014550.0</v>
      </c>
      <c r="F1726" s="2" t="s">
        <v>36</v>
      </c>
      <c r="G1726" s="2" t="s">
        <v>1</v>
      </c>
      <c r="H1726" s="2" t="s">
        <v>18</v>
      </c>
      <c r="I1726" s="2" t="s">
        <v>15</v>
      </c>
      <c r="J1726" s="2" t="s">
        <v>15</v>
      </c>
    </row>
    <row r="1727" ht="15.75" customHeight="1">
      <c r="A1727" s="1" t="s">
        <v>3496</v>
      </c>
      <c r="B1727" s="1" t="s">
        <v>3497</v>
      </c>
      <c r="C1727" s="1" t="s">
        <v>12</v>
      </c>
      <c r="D1727" s="1" t="s">
        <v>3493</v>
      </c>
      <c r="E1727" s="4">
        <v>1014550.0</v>
      </c>
      <c r="F1727" s="2" t="s">
        <v>36</v>
      </c>
      <c r="G1727" s="2" t="s">
        <v>1</v>
      </c>
      <c r="H1727" s="2" t="s">
        <v>21</v>
      </c>
      <c r="I1727" s="2" t="s">
        <v>15</v>
      </c>
      <c r="J1727" s="2" t="s">
        <v>15</v>
      </c>
    </row>
    <row r="1728" ht="15.75" customHeight="1">
      <c r="A1728" s="1" t="s">
        <v>3498</v>
      </c>
      <c r="B1728" s="1" t="s">
        <v>3499</v>
      </c>
      <c r="C1728" s="1" t="s">
        <v>12</v>
      </c>
      <c r="D1728" s="1" t="s">
        <v>3493</v>
      </c>
      <c r="E1728" s="4">
        <v>1014550.0</v>
      </c>
      <c r="F1728" s="2">
        <v>1.0</v>
      </c>
      <c r="G1728" s="2" t="s">
        <v>1</v>
      </c>
      <c r="H1728" s="2" t="s">
        <v>14</v>
      </c>
      <c r="I1728" s="2" t="s">
        <v>15</v>
      </c>
      <c r="J1728" s="2" t="s">
        <v>15</v>
      </c>
    </row>
    <row r="1729" ht="15.75" customHeight="1">
      <c r="A1729" s="1" t="s">
        <v>3500</v>
      </c>
      <c r="B1729" s="1" t="s">
        <v>3501</v>
      </c>
      <c r="C1729" s="1" t="s">
        <v>12</v>
      </c>
      <c r="D1729" s="1" t="s">
        <v>3493</v>
      </c>
      <c r="E1729" s="4">
        <v>1014550.0</v>
      </c>
      <c r="F1729" s="2">
        <v>1.0</v>
      </c>
      <c r="G1729" s="2" t="s">
        <v>1</v>
      </c>
      <c r="H1729" s="2" t="s">
        <v>18</v>
      </c>
      <c r="I1729" s="2" t="s">
        <v>15</v>
      </c>
      <c r="J1729" s="2" t="s">
        <v>15</v>
      </c>
    </row>
    <row r="1730" ht="15.75" customHeight="1">
      <c r="A1730" s="1" t="s">
        <v>3502</v>
      </c>
      <c r="B1730" s="1" t="s">
        <v>3503</v>
      </c>
      <c r="C1730" s="1" t="s">
        <v>12</v>
      </c>
      <c r="D1730" s="1" t="s">
        <v>3493</v>
      </c>
      <c r="E1730" s="4">
        <v>1014550.0</v>
      </c>
      <c r="F1730" s="2">
        <v>1.0</v>
      </c>
      <c r="G1730" s="2" t="s">
        <v>1</v>
      </c>
      <c r="H1730" s="2" t="s">
        <v>21</v>
      </c>
      <c r="I1730" s="2" t="s">
        <v>15</v>
      </c>
      <c r="J1730" s="2" t="s">
        <v>15</v>
      </c>
    </row>
    <row r="1731" ht="15.75" customHeight="1">
      <c r="A1731" s="1" t="s">
        <v>3504</v>
      </c>
      <c r="B1731" s="1" t="s">
        <v>3505</v>
      </c>
      <c r="C1731" s="1" t="s">
        <v>12</v>
      </c>
      <c r="D1731" s="1" t="s">
        <v>3493</v>
      </c>
      <c r="E1731" s="4">
        <v>1014550.0</v>
      </c>
      <c r="F1731" s="2">
        <v>2.0</v>
      </c>
      <c r="G1731" s="2" t="s">
        <v>1</v>
      </c>
      <c r="H1731" s="2" t="s">
        <v>14</v>
      </c>
      <c r="I1731" s="2" t="s">
        <v>15</v>
      </c>
      <c r="J1731" s="2" t="s">
        <v>15</v>
      </c>
    </row>
    <row r="1732" ht="15.75" customHeight="1">
      <c r="A1732" s="1" t="s">
        <v>3506</v>
      </c>
      <c r="B1732" s="1" t="s">
        <v>3507</v>
      </c>
      <c r="C1732" s="1" t="s">
        <v>12</v>
      </c>
      <c r="D1732" s="1" t="s">
        <v>3493</v>
      </c>
      <c r="E1732" s="4">
        <v>1014550.0</v>
      </c>
      <c r="F1732" s="2">
        <v>2.0</v>
      </c>
      <c r="G1732" s="2" t="s">
        <v>1</v>
      </c>
      <c r="H1732" s="2" t="s">
        <v>18</v>
      </c>
      <c r="I1732" s="2" t="s">
        <v>15</v>
      </c>
      <c r="J1732" s="2" t="s">
        <v>15</v>
      </c>
    </row>
    <row r="1733" ht="15.75" customHeight="1">
      <c r="A1733" s="1" t="s">
        <v>3508</v>
      </c>
      <c r="B1733" s="1" t="s">
        <v>3509</v>
      </c>
      <c r="C1733" s="1" t="s">
        <v>12</v>
      </c>
      <c r="D1733" s="1" t="s">
        <v>3493</v>
      </c>
      <c r="E1733" s="4">
        <v>1014550.0</v>
      </c>
      <c r="F1733" s="2">
        <v>3.0</v>
      </c>
      <c r="G1733" s="2" t="s">
        <v>1</v>
      </c>
      <c r="H1733" s="2" t="s">
        <v>14</v>
      </c>
      <c r="I1733" s="2" t="s">
        <v>15</v>
      </c>
      <c r="J1733" s="2" t="s">
        <v>15</v>
      </c>
    </row>
    <row r="1734" ht="15.75" customHeight="1">
      <c r="A1734" s="1" t="s">
        <v>3510</v>
      </c>
      <c r="B1734" s="1" t="s">
        <v>3511</v>
      </c>
      <c r="C1734" s="1" t="s">
        <v>12</v>
      </c>
      <c r="D1734" s="1" t="s">
        <v>3493</v>
      </c>
      <c r="E1734" s="4">
        <v>1014550.0</v>
      </c>
      <c r="F1734" s="2">
        <v>3.0</v>
      </c>
      <c r="G1734" s="2" t="s">
        <v>1</v>
      </c>
      <c r="H1734" s="2" t="s">
        <v>18</v>
      </c>
      <c r="I1734" s="2" t="s">
        <v>15</v>
      </c>
      <c r="J1734" s="2" t="s">
        <v>15</v>
      </c>
    </row>
    <row r="1735" ht="15.75" customHeight="1">
      <c r="A1735" s="1" t="s">
        <v>3512</v>
      </c>
      <c r="B1735" s="1" t="s">
        <v>3513</v>
      </c>
      <c r="C1735" s="1" t="s">
        <v>12</v>
      </c>
      <c r="D1735" s="1" t="s">
        <v>3493</v>
      </c>
      <c r="E1735" s="4">
        <v>1014550.0</v>
      </c>
      <c r="F1735" s="2">
        <v>4.0</v>
      </c>
      <c r="G1735" s="2" t="s">
        <v>1</v>
      </c>
      <c r="H1735" s="2" t="s">
        <v>14</v>
      </c>
      <c r="I1735" s="2" t="s">
        <v>15</v>
      </c>
      <c r="J1735" s="2" t="s">
        <v>15</v>
      </c>
    </row>
    <row r="1736" ht="15.75" customHeight="1">
      <c r="A1736" s="1" t="s">
        <v>3514</v>
      </c>
      <c r="B1736" s="1" t="s">
        <v>3515</v>
      </c>
      <c r="C1736" s="1" t="s">
        <v>12</v>
      </c>
      <c r="D1736" s="1" t="s">
        <v>3493</v>
      </c>
      <c r="E1736" s="4">
        <v>1014550.0</v>
      </c>
      <c r="F1736" s="2">
        <v>4.0</v>
      </c>
      <c r="G1736" s="2" t="s">
        <v>1</v>
      </c>
      <c r="H1736" s="2" t="s">
        <v>18</v>
      </c>
      <c r="I1736" s="2" t="s">
        <v>15</v>
      </c>
      <c r="J1736" s="2" t="s">
        <v>15</v>
      </c>
    </row>
    <row r="1737" ht="15.75" customHeight="1">
      <c r="A1737" s="1" t="s">
        <v>3516</v>
      </c>
      <c r="B1737" s="1" t="s">
        <v>3517</v>
      </c>
      <c r="C1737" s="1" t="s">
        <v>12</v>
      </c>
      <c r="D1737" s="1" t="s">
        <v>3493</v>
      </c>
      <c r="E1737" s="4">
        <v>1014550.0</v>
      </c>
      <c r="F1737" s="2" t="s">
        <v>30</v>
      </c>
      <c r="G1737" s="2" t="s">
        <v>1</v>
      </c>
      <c r="H1737" s="2" t="s">
        <v>14</v>
      </c>
      <c r="I1737" s="2" t="s">
        <v>15</v>
      </c>
      <c r="J1737" s="2" t="s">
        <v>15</v>
      </c>
    </row>
    <row r="1738" ht="15.75" customHeight="1">
      <c r="A1738" s="1" t="s">
        <v>3518</v>
      </c>
      <c r="B1738" s="1" t="s">
        <v>3519</v>
      </c>
      <c r="C1738" s="1" t="s">
        <v>12</v>
      </c>
      <c r="D1738" s="1" t="s">
        <v>3493</v>
      </c>
      <c r="E1738" s="4">
        <v>1014550.0</v>
      </c>
      <c r="F1738" s="2" t="s">
        <v>15</v>
      </c>
      <c r="G1738" s="2" t="s">
        <v>33</v>
      </c>
      <c r="H1738" s="2" t="s">
        <v>15</v>
      </c>
      <c r="I1738" s="2" t="s">
        <v>15</v>
      </c>
      <c r="J1738" s="2" t="s">
        <v>15</v>
      </c>
    </row>
    <row r="1739" ht="15.75" customHeight="1">
      <c r="A1739" s="1" t="s">
        <v>3520</v>
      </c>
      <c r="B1739" s="1" t="s">
        <v>3521</v>
      </c>
      <c r="C1739" s="1" t="s">
        <v>12</v>
      </c>
      <c r="D1739" s="1" t="s">
        <v>3493</v>
      </c>
      <c r="E1739" s="4">
        <v>1014550.0</v>
      </c>
      <c r="F1739" s="2" t="s">
        <v>36</v>
      </c>
      <c r="G1739" s="2" t="s">
        <v>1</v>
      </c>
      <c r="H1739" s="2" t="s">
        <v>37</v>
      </c>
      <c r="I1739" s="2" t="s">
        <v>15</v>
      </c>
      <c r="J1739" s="2" t="s">
        <v>15</v>
      </c>
    </row>
    <row r="1740" ht="15.75" customHeight="1">
      <c r="A1740" s="1" t="s">
        <v>3522</v>
      </c>
      <c r="B1740" s="1" t="s">
        <v>3523</v>
      </c>
      <c r="C1740" s="1" t="s">
        <v>12</v>
      </c>
      <c r="D1740" s="1" t="s">
        <v>3493</v>
      </c>
      <c r="E1740" s="4">
        <v>1014550.0</v>
      </c>
      <c r="F1740" s="2">
        <v>1.0</v>
      </c>
      <c r="G1740" s="2" t="s">
        <v>1</v>
      </c>
      <c r="H1740" s="2" t="s">
        <v>37</v>
      </c>
      <c r="I1740" s="2" t="s">
        <v>15</v>
      </c>
      <c r="J1740" s="2" t="s">
        <v>15</v>
      </c>
    </row>
    <row r="1741" ht="15.75" customHeight="1">
      <c r="A1741" s="1" t="s">
        <v>3524</v>
      </c>
      <c r="B1741" s="1" t="s">
        <v>3525</v>
      </c>
      <c r="C1741" s="1" t="s">
        <v>12</v>
      </c>
      <c r="D1741" s="1" t="s">
        <v>3493</v>
      </c>
      <c r="E1741" s="4">
        <v>1014550.0</v>
      </c>
      <c r="F1741" s="2" t="s">
        <v>30</v>
      </c>
      <c r="G1741" s="2" t="s">
        <v>1</v>
      </c>
      <c r="H1741" s="2" t="s">
        <v>37</v>
      </c>
      <c r="I1741" s="2" t="s">
        <v>15</v>
      </c>
      <c r="J1741" s="2" t="s">
        <v>15</v>
      </c>
    </row>
    <row r="1742" ht="15.75" customHeight="1">
      <c r="A1742" s="1" t="s">
        <v>3526</v>
      </c>
      <c r="B1742" s="1" t="s">
        <v>3527</v>
      </c>
      <c r="C1742" s="1" t="s">
        <v>12</v>
      </c>
      <c r="D1742" s="1" t="s">
        <v>3528</v>
      </c>
      <c r="E1742" s="4">
        <v>1014614.0</v>
      </c>
      <c r="F1742" s="2">
        <v>1.0</v>
      </c>
      <c r="G1742" s="2" t="s">
        <v>1</v>
      </c>
      <c r="H1742" s="2" t="s">
        <v>14</v>
      </c>
      <c r="I1742" s="2" t="s">
        <v>15</v>
      </c>
      <c r="J1742" s="2" t="s">
        <v>15</v>
      </c>
    </row>
    <row r="1743" ht="15.75" customHeight="1">
      <c r="A1743" s="1" t="s">
        <v>3529</v>
      </c>
      <c r="B1743" s="1" t="s">
        <v>3530</v>
      </c>
      <c r="C1743" s="1" t="s">
        <v>12</v>
      </c>
      <c r="D1743" s="1" t="s">
        <v>3528</v>
      </c>
      <c r="E1743" s="4">
        <v>1014614.0</v>
      </c>
      <c r="F1743" s="2">
        <v>1.0</v>
      </c>
      <c r="G1743" s="2" t="s">
        <v>1</v>
      </c>
      <c r="H1743" s="2" t="s">
        <v>18</v>
      </c>
      <c r="I1743" s="2" t="s">
        <v>15</v>
      </c>
      <c r="J1743" s="2" t="s">
        <v>15</v>
      </c>
    </row>
    <row r="1744" ht="15.75" customHeight="1">
      <c r="A1744" s="1" t="s">
        <v>3531</v>
      </c>
      <c r="B1744" s="1" t="s">
        <v>3532</v>
      </c>
      <c r="C1744" s="1" t="s">
        <v>12</v>
      </c>
      <c r="D1744" s="1" t="s">
        <v>3528</v>
      </c>
      <c r="E1744" s="4">
        <v>1014614.0</v>
      </c>
      <c r="F1744" s="2">
        <v>2.0</v>
      </c>
      <c r="G1744" s="2" t="s">
        <v>1</v>
      </c>
      <c r="H1744" s="2" t="s">
        <v>14</v>
      </c>
      <c r="I1744" s="2" t="s">
        <v>15</v>
      </c>
      <c r="J1744" s="2" t="s">
        <v>15</v>
      </c>
    </row>
    <row r="1745" ht="15.75" customHeight="1">
      <c r="A1745" s="1" t="s">
        <v>3533</v>
      </c>
      <c r="B1745" s="1" t="s">
        <v>3534</v>
      </c>
      <c r="C1745" s="1" t="s">
        <v>12</v>
      </c>
      <c r="D1745" s="1" t="s">
        <v>3528</v>
      </c>
      <c r="E1745" s="4">
        <v>1014614.0</v>
      </c>
      <c r="F1745" s="2">
        <v>2.0</v>
      </c>
      <c r="G1745" s="2" t="s">
        <v>1</v>
      </c>
      <c r="H1745" s="2" t="s">
        <v>18</v>
      </c>
      <c r="I1745" s="2" t="s">
        <v>15</v>
      </c>
      <c r="J1745" s="2" t="s">
        <v>15</v>
      </c>
    </row>
    <row r="1746" ht="15.75" customHeight="1">
      <c r="A1746" s="1" t="s">
        <v>3535</v>
      </c>
      <c r="B1746" s="1" t="s">
        <v>3536</v>
      </c>
      <c r="C1746" s="1" t="s">
        <v>12</v>
      </c>
      <c r="D1746" s="1" t="s">
        <v>3528</v>
      </c>
      <c r="E1746" s="4">
        <v>1014614.0</v>
      </c>
      <c r="F1746" s="2">
        <v>3.0</v>
      </c>
      <c r="G1746" s="2" t="s">
        <v>1</v>
      </c>
      <c r="H1746" s="2" t="s">
        <v>14</v>
      </c>
      <c r="I1746" s="2" t="s">
        <v>15</v>
      </c>
      <c r="J1746" s="2" t="s">
        <v>15</v>
      </c>
    </row>
    <row r="1747" ht="15.75" customHeight="1">
      <c r="A1747" s="1" t="s">
        <v>3537</v>
      </c>
      <c r="B1747" s="1" t="s">
        <v>3538</v>
      </c>
      <c r="C1747" s="1" t="s">
        <v>12</v>
      </c>
      <c r="D1747" s="1" t="s">
        <v>3528</v>
      </c>
      <c r="E1747" s="4">
        <v>1014614.0</v>
      </c>
      <c r="F1747" s="2">
        <v>3.0</v>
      </c>
      <c r="G1747" s="2" t="s">
        <v>1</v>
      </c>
      <c r="H1747" s="2" t="s">
        <v>18</v>
      </c>
      <c r="I1747" s="2" t="s">
        <v>15</v>
      </c>
      <c r="J1747" s="2" t="s">
        <v>15</v>
      </c>
    </row>
    <row r="1748" ht="15.75" customHeight="1">
      <c r="A1748" s="1" t="s">
        <v>3539</v>
      </c>
      <c r="B1748" s="1" t="s">
        <v>3540</v>
      </c>
      <c r="C1748" s="1" t="s">
        <v>12</v>
      </c>
      <c r="D1748" s="1" t="s">
        <v>3528</v>
      </c>
      <c r="E1748" s="4">
        <v>1014614.0</v>
      </c>
      <c r="F1748" s="2" t="s">
        <v>30</v>
      </c>
      <c r="G1748" s="2" t="s">
        <v>1</v>
      </c>
      <c r="H1748" s="2" t="s">
        <v>14</v>
      </c>
      <c r="I1748" s="2" t="s">
        <v>15</v>
      </c>
      <c r="J1748" s="2" t="s">
        <v>15</v>
      </c>
    </row>
    <row r="1749" ht="15.75" customHeight="1">
      <c r="A1749" s="1" t="s">
        <v>3541</v>
      </c>
      <c r="B1749" s="1" t="s">
        <v>3542</v>
      </c>
      <c r="C1749" s="1" t="s">
        <v>12</v>
      </c>
      <c r="D1749" s="1" t="s">
        <v>3528</v>
      </c>
      <c r="E1749" s="4">
        <v>1014614.0</v>
      </c>
      <c r="F1749" s="2" t="s">
        <v>15</v>
      </c>
      <c r="G1749" s="2" t="s">
        <v>33</v>
      </c>
      <c r="H1749" s="2" t="s">
        <v>15</v>
      </c>
      <c r="I1749" s="2" t="s">
        <v>15</v>
      </c>
      <c r="J1749" s="2" t="s">
        <v>15</v>
      </c>
    </row>
    <row r="1750" ht="15.75" customHeight="1">
      <c r="A1750" s="1" t="s">
        <v>3543</v>
      </c>
      <c r="B1750" s="1" t="s">
        <v>3544</v>
      </c>
      <c r="C1750" s="1" t="s">
        <v>12</v>
      </c>
      <c r="D1750" s="1" t="s">
        <v>3545</v>
      </c>
      <c r="E1750" s="4">
        <v>1014678.0</v>
      </c>
      <c r="F1750" s="2">
        <v>1.0</v>
      </c>
      <c r="G1750" s="2" t="s">
        <v>1</v>
      </c>
      <c r="H1750" s="2" t="s">
        <v>14</v>
      </c>
      <c r="I1750" s="2" t="s">
        <v>15</v>
      </c>
      <c r="J1750" s="2" t="s">
        <v>15</v>
      </c>
    </row>
    <row r="1751" ht="15.75" customHeight="1">
      <c r="A1751" s="1" t="s">
        <v>3546</v>
      </c>
      <c r="B1751" s="1" t="s">
        <v>3547</v>
      </c>
      <c r="C1751" s="1" t="s">
        <v>12</v>
      </c>
      <c r="D1751" s="1" t="s">
        <v>3545</v>
      </c>
      <c r="E1751" s="4">
        <v>1014678.0</v>
      </c>
      <c r="F1751" s="2">
        <v>1.0</v>
      </c>
      <c r="G1751" s="2" t="s">
        <v>1</v>
      </c>
      <c r="H1751" s="2" t="s">
        <v>18</v>
      </c>
      <c r="I1751" s="2" t="s">
        <v>15</v>
      </c>
      <c r="J1751" s="2" t="s">
        <v>15</v>
      </c>
    </row>
    <row r="1752" ht="15.75" customHeight="1">
      <c r="A1752" s="1" t="s">
        <v>3548</v>
      </c>
      <c r="B1752" s="1" t="s">
        <v>3549</v>
      </c>
      <c r="C1752" s="1" t="s">
        <v>12</v>
      </c>
      <c r="D1752" s="1" t="s">
        <v>3545</v>
      </c>
      <c r="E1752" s="4">
        <v>1014678.0</v>
      </c>
      <c r="F1752" s="2">
        <v>2.0</v>
      </c>
      <c r="G1752" s="2" t="s">
        <v>1</v>
      </c>
      <c r="H1752" s="2" t="s">
        <v>14</v>
      </c>
      <c r="I1752" s="2" t="s">
        <v>15</v>
      </c>
      <c r="J1752" s="2" t="s">
        <v>15</v>
      </c>
    </row>
    <row r="1753" ht="15.75" customHeight="1">
      <c r="A1753" s="1" t="s">
        <v>3550</v>
      </c>
      <c r="B1753" s="1" t="s">
        <v>3551</v>
      </c>
      <c r="C1753" s="1" t="s">
        <v>12</v>
      </c>
      <c r="D1753" s="1" t="s">
        <v>3545</v>
      </c>
      <c r="E1753" s="4">
        <v>1014678.0</v>
      </c>
      <c r="F1753" s="2">
        <v>2.0</v>
      </c>
      <c r="G1753" s="2" t="s">
        <v>1</v>
      </c>
      <c r="H1753" s="2" t="s">
        <v>18</v>
      </c>
      <c r="I1753" s="2" t="s">
        <v>15</v>
      </c>
      <c r="J1753" s="2" t="s">
        <v>15</v>
      </c>
    </row>
    <row r="1754" ht="15.75" customHeight="1">
      <c r="A1754" s="1" t="s">
        <v>3552</v>
      </c>
      <c r="B1754" s="1" t="s">
        <v>3553</v>
      </c>
      <c r="C1754" s="1" t="s">
        <v>12</v>
      </c>
      <c r="D1754" s="1" t="s">
        <v>3545</v>
      </c>
      <c r="E1754" s="4">
        <v>1014678.0</v>
      </c>
      <c r="F1754" s="2" t="s">
        <v>30</v>
      </c>
      <c r="G1754" s="2" t="s">
        <v>1</v>
      </c>
      <c r="H1754" s="2" t="s">
        <v>14</v>
      </c>
      <c r="I1754" s="2" t="s">
        <v>15</v>
      </c>
      <c r="J1754" s="2" t="s">
        <v>15</v>
      </c>
    </row>
    <row r="1755" ht="15.75" customHeight="1">
      <c r="A1755" s="1" t="s">
        <v>3554</v>
      </c>
      <c r="B1755" s="1" t="s">
        <v>3555</v>
      </c>
      <c r="C1755" s="1" t="s">
        <v>12</v>
      </c>
      <c r="D1755" s="1" t="s">
        <v>3545</v>
      </c>
      <c r="E1755" s="4">
        <v>1014678.0</v>
      </c>
      <c r="F1755" s="2" t="s">
        <v>15</v>
      </c>
      <c r="G1755" s="2" t="s">
        <v>33</v>
      </c>
      <c r="H1755" s="2" t="s">
        <v>15</v>
      </c>
      <c r="I1755" s="2" t="s">
        <v>15</v>
      </c>
      <c r="J1755" s="2" t="s">
        <v>15</v>
      </c>
    </row>
    <row r="1756" ht="15.75" customHeight="1">
      <c r="A1756" s="1" t="s">
        <v>3556</v>
      </c>
      <c r="B1756" s="1" t="s">
        <v>3557</v>
      </c>
      <c r="C1756" s="1" t="s">
        <v>12</v>
      </c>
      <c r="D1756" s="1" t="s">
        <v>3558</v>
      </c>
      <c r="E1756" s="4">
        <v>1014742.0</v>
      </c>
      <c r="F1756" s="2">
        <v>1.0</v>
      </c>
      <c r="G1756" s="2" t="s">
        <v>1</v>
      </c>
      <c r="H1756" s="2" t="s">
        <v>14</v>
      </c>
      <c r="I1756" s="2" t="s">
        <v>15</v>
      </c>
      <c r="J1756" s="2" t="s">
        <v>15</v>
      </c>
    </row>
    <row r="1757" ht="15.75" customHeight="1">
      <c r="A1757" s="1" t="s">
        <v>3559</v>
      </c>
      <c r="B1757" s="1" t="s">
        <v>3560</v>
      </c>
      <c r="C1757" s="1" t="s">
        <v>12</v>
      </c>
      <c r="D1757" s="1" t="s">
        <v>3558</v>
      </c>
      <c r="E1757" s="4">
        <v>1014742.0</v>
      </c>
      <c r="F1757" s="2">
        <v>1.0</v>
      </c>
      <c r="G1757" s="2" t="s">
        <v>1</v>
      </c>
      <c r="H1757" s="2" t="s">
        <v>18</v>
      </c>
      <c r="I1757" s="2" t="s">
        <v>15</v>
      </c>
      <c r="J1757" s="2" t="s">
        <v>15</v>
      </c>
    </row>
    <row r="1758" ht="15.75" customHeight="1">
      <c r="A1758" s="1" t="s">
        <v>3561</v>
      </c>
      <c r="B1758" s="1" t="s">
        <v>3562</v>
      </c>
      <c r="C1758" s="1" t="s">
        <v>12</v>
      </c>
      <c r="D1758" s="1" t="s">
        <v>3558</v>
      </c>
      <c r="E1758" s="4">
        <v>1014742.0</v>
      </c>
      <c r="F1758" s="2">
        <v>2.0</v>
      </c>
      <c r="G1758" s="2" t="s">
        <v>1</v>
      </c>
      <c r="H1758" s="2" t="s">
        <v>14</v>
      </c>
      <c r="I1758" s="2" t="s">
        <v>15</v>
      </c>
      <c r="J1758" s="2" t="s">
        <v>15</v>
      </c>
    </row>
    <row r="1759" ht="15.75" customHeight="1">
      <c r="A1759" s="1" t="s">
        <v>3563</v>
      </c>
      <c r="B1759" s="1" t="s">
        <v>3564</v>
      </c>
      <c r="C1759" s="1" t="s">
        <v>12</v>
      </c>
      <c r="D1759" s="1" t="s">
        <v>3558</v>
      </c>
      <c r="E1759" s="4">
        <v>1014742.0</v>
      </c>
      <c r="F1759" s="2">
        <v>2.0</v>
      </c>
      <c r="G1759" s="2" t="s">
        <v>1</v>
      </c>
      <c r="H1759" s="2" t="s">
        <v>18</v>
      </c>
      <c r="I1759" s="2" t="s">
        <v>15</v>
      </c>
      <c r="J1759" s="2" t="s">
        <v>15</v>
      </c>
    </row>
    <row r="1760" ht="15.75" customHeight="1">
      <c r="A1760" s="1" t="s">
        <v>3565</v>
      </c>
      <c r="B1760" s="1" t="s">
        <v>3566</v>
      </c>
      <c r="C1760" s="1" t="s">
        <v>12</v>
      </c>
      <c r="D1760" s="1" t="s">
        <v>3558</v>
      </c>
      <c r="E1760" s="4">
        <v>1014742.0</v>
      </c>
      <c r="F1760" s="2" t="s">
        <v>30</v>
      </c>
      <c r="G1760" s="2" t="s">
        <v>1</v>
      </c>
      <c r="H1760" s="2" t="s">
        <v>14</v>
      </c>
      <c r="I1760" s="2" t="s">
        <v>15</v>
      </c>
      <c r="J1760" s="2" t="s">
        <v>15</v>
      </c>
    </row>
    <row r="1761" ht="15.75" customHeight="1">
      <c r="A1761" s="1" t="s">
        <v>3567</v>
      </c>
      <c r="B1761" s="1" t="s">
        <v>3568</v>
      </c>
      <c r="C1761" s="1" t="s">
        <v>12</v>
      </c>
      <c r="D1761" s="1" t="s">
        <v>3558</v>
      </c>
      <c r="E1761" s="4">
        <v>1014742.0</v>
      </c>
      <c r="F1761" s="2" t="s">
        <v>15</v>
      </c>
      <c r="G1761" s="2" t="s">
        <v>33</v>
      </c>
      <c r="H1761" s="2" t="s">
        <v>15</v>
      </c>
      <c r="I1761" s="2" t="s">
        <v>15</v>
      </c>
      <c r="J1761" s="2" t="s">
        <v>15</v>
      </c>
    </row>
    <row r="1762" ht="15.75" customHeight="1">
      <c r="A1762" s="1" t="s">
        <v>3569</v>
      </c>
      <c r="B1762" s="1" t="s">
        <v>3570</v>
      </c>
      <c r="C1762" s="1" t="s">
        <v>12</v>
      </c>
      <c r="D1762" s="1" t="s">
        <v>3571</v>
      </c>
      <c r="E1762" s="4">
        <v>1014806.0</v>
      </c>
      <c r="F1762" s="2" t="s">
        <v>36</v>
      </c>
      <c r="G1762" s="2" t="s">
        <v>1</v>
      </c>
      <c r="H1762" s="2" t="s">
        <v>14</v>
      </c>
      <c r="I1762" s="2" t="s">
        <v>15</v>
      </c>
      <c r="J1762" s="2" t="s">
        <v>15</v>
      </c>
    </row>
    <row r="1763" ht="15.75" customHeight="1">
      <c r="A1763" s="1" t="s">
        <v>3572</v>
      </c>
      <c r="B1763" s="1" t="s">
        <v>3573</v>
      </c>
      <c r="C1763" s="1" t="s">
        <v>12</v>
      </c>
      <c r="D1763" s="1" t="s">
        <v>3571</v>
      </c>
      <c r="E1763" s="4">
        <v>1014806.0</v>
      </c>
      <c r="F1763" s="2" t="s">
        <v>36</v>
      </c>
      <c r="G1763" s="2" t="s">
        <v>1</v>
      </c>
      <c r="H1763" s="2" t="s">
        <v>18</v>
      </c>
      <c r="I1763" s="2" t="s">
        <v>15</v>
      </c>
      <c r="J1763" s="2" t="s">
        <v>15</v>
      </c>
    </row>
    <row r="1764" ht="15.75" customHeight="1">
      <c r="A1764" s="1" t="s">
        <v>3574</v>
      </c>
      <c r="B1764" s="1" t="s">
        <v>3575</v>
      </c>
      <c r="C1764" s="1" t="s">
        <v>12</v>
      </c>
      <c r="D1764" s="1" t="s">
        <v>3571</v>
      </c>
      <c r="E1764" s="4">
        <v>1014806.0</v>
      </c>
      <c r="F1764" s="2">
        <v>1.0</v>
      </c>
      <c r="G1764" s="2" t="s">
        <v>1</v>
      </c>
      <c r="H1764" s="2" t="s">
        <v>14</v>
      </c>
      <c r="I1764" s="2" t="s">
        <v>15</v>
      </c>
      <c r="J1764" s="2" t="s">
        <v>15</v>
      </c>
    </row>
    <row r="1765" ht="15.75" customHeight="1">
      <c r="A1765" s="1" t="s">
        <v>3576</v>
      </c>
      <c r="B1765" s="1" t="s">
        <v>3577</v>
      </c>
      <c r="C1765" s="1" t="s">
        <v>12</v>
      </c>
      <c r="D1765" s="1" t="s">
        <v>3571</v>
      </c>
      <c r="E1765" s="4">
        <v>1014806.0</v>
      </c>
      <c r="F1765" s="2">
        <v>1.0</v>
      </c>
      <c r="G1765" s="2" t="s">
        <v>1</v>
      </c>
      <c r="H1765" s="2" t="s">
        <v>18</v>
      </c>
      <c r="I1765" s="2" t="s">
        <v>15</v>
      </c>
      <c r="J1765" s="2" t="s">
        <v>15</v>
      </c>
    </row>
    <row r="1766" ht="15.75" customHeight="1">
      <c r="A1766" s="1" t="s">
        <v>3578</v>
      </c>
      <c r="B1766" s="1" t="s">
        <v>3579</v>
      </c>
      <c r="C1766" s="1" t="s">
        <v>12</v>
      </c>
      <c r="D1766" s="1" t="s">
        <v>3571</v>
      </c>
      <c r="E1766" s="4">
        <v>1014806.0</v>
      </c>
      <c r="F1766" s="2">
        <v>2.0</v>
      </c>
      <c r="G1766" s="2" t="s">
        <v>1</v>
      </c>
      <c r="H1766" s="2" t="s">
        <v>14</v>
      </c>
      <c r="I1766" s="2" t="s">
        <v>15</v>
      </c>
      <c r="J1766" s="2" t="s">
        <v>15</v>
      </c>
    </row>
    <row r="1767" ht="15.75" customHeight="1">
      <c r="A1767" s="1" t="s">
        <v>3580</v>
      </c>
      <c r="B1767" s="1" t="s">
        <v>3581</v>
      </c>
      <c r="C1767" s="1" t="s">
        <v>12</v>
      </c>
      <c r="D1767" s="1" t="s">
        <v>3571</v>
      </c>
      <c r="E1767" s="4">
        <v>1014806.0</v>
      </c>
      <c r="F1767" s="2">
        <v>2.0</v>
      </c>
      <c r="G1767" s="2" t="s">
        <v>1</v>
      </c>
      <c r="H1767" s="2" t="s">
        <v>18</v>
      </c>
      <c r="I1767" s="2" t="s">
        <v>15</v>
      </c>
      <c r="J1767" s="2" t="s">
        <v>15</v>
      </c>
    </row>
    <row r="1768" ht="15.75" customHeight="1">
      <c r="A1768" s="1" t="s">
        <v>3582</v>
      </c>
      <c r="B1768" s="1" t="s">
        <v>3583</v>
      </c>
      <c r="C1768" s="1" t="s">
        <v>12</v>
      </c>
      <c r="D1768" s="1" t="s">
        <v>3571</v>
      </c>
      <c r="E1768" s="4">
        <v>1014806.0</v>
      </c>
      <c r="F1768" s="2">
        <v>3.0</v>
      </c>
      <c r="G1768" s="2" t="s">
        <v>1</v>
      </c>
      <c r="H1768" s="2" t="s">
        <v>14</v>
      </c>
      <c r="I1768" s="2" t="s">
        <v>15</v>
      </c>
      <c r="J1768" s="2" t="s">
        <v>15</v>
      </c>
    </row>
    <row r="1769" ht="15.75" customHeight="1">
      <c r="A1769" s="1" t="s">
        <v>3584</v>
      </c>
      <c r="B1769" s="1" t="s">
        <v>3585</v>
      </c>
      <c r="C1769" s="1" t="s">
        <v>12</v>
      </c>
      <c r="D1769" s="1" t="s">
        <v>3571</v>
      </c>
      <c r="E1769" s="4">
        <v>1014806.0</v>
      </c>
      <c r="F1769" s="2">
        <v>3.0</v>
      </c>
      <c r="G1769" s="2" t="s">
        <v>1</v>
      </c>
      <c r="H1769" s="2" t="s">
        <v>18</v>
      </c>
      <c r="I1769" s="2" t="s">
        <v>15</v>
      </c>
      <c r="J1769" s="2" t="s">
        <v>15</v>
      </c>
    </row>
    <row r="1770" ht="15.75" customHeight="1">
      <c r="A1770" s="1" t="s">
        <v>3586</v>
      </c>
      <c r="B1770" s="1" t="s">
        <v>3587</v>
      </c>
      <c r="C1770" s="1" t="s">
        <v>12</v>
      </c>
      <c r="D1770" s="1" t="s">
        <v>3571</v>
      </c>
      <c r="E1770" s="4">
        <v>1014806.0</v>
      </c>
      <c r="F1770" s="2" t="s">
        <v>30</v>
      </c>
      <c r="G1770" s="2" t="s">
        <v>1</v>
      </c>
      <c r="H1770" s="2" t="s">
        <v>14</v>
      </c>
      <c r="I1770" s="2" t="s">
        <v>15</v>
      </c>
      <c r="J1770" s="2" t="s">
        <v>15</v>
      </c>
    </row>
    <row r="1771" ht="15.75" customHeight="1">
      <c r="A1771" s="1" t="s">
        <v>3588</v>
      </c>
      <c r="B1771" s="1" t="s">
        <v>3589</v>
      </c>
      <c r="C1771" s="1" t="s">
        <v>12</v>
      </c>
      <c r="D1771" s="1" t="s">
        <v>3571</v>
      </c>
      <c r="E1771" s="4">
        <v>1014806.0</v>
      </c>
      <c r="F1771" s="2" t="s">
        <v>15</v>
      </c>
      <c r="G1771" s="2" t="s">
        <v>33</v>
      </c>
      <c r="H1771" s="2" t="s">
        <v>15</v>
      </c>
      <c r="I1771" s="2" t="s">
        <v>15</v>
      </c>
      <c r="J1771" s="2" t="s">
        <v>15</v>
      </c>
    </row>
    <row r="1772" ht="15.75" customHeight="1">
      <c r="A1772" s="1" t="s">
        <v>3590</v>
      </c>
      <c r="B1772" s="1" t="s">
        <v>3591</v>
      </c>
      <c r="C1772" s="1" t="s">
        <v>12</v>
      </c>
      <c r="D1772" s="1" t="s">
        <v>3592</v>
      </c>
      <c r="E1772" s="4">
        <v>1014870.0</v>
      </c>
      <c r="F1772" s="2" t="s">
        <v>36</v>
      </c>
      <c r="G1772" s="2" t="s">
        <v>1</v>
      </c>
      <c r="H1772" s="2" t="s">
        <v>14</v>
      </c>
      <c r="I1772" s="2" t="s">
        <v>15</v>
      </c>
      <c r="J1772" s="2" t="s">
        <v>15</v>
      </c>
    </row>
    <row r="1773" ht="15.75" customHeight="1">
      <c r="A1773" s="1" t="s">
        <v>3593</v>
      </c>
      <c r="B1773" s="1" t="s">
        <v>3594</v>
      </c>
      <c r="C1773" s="1" t="s">
        <v>12</v>
      </c>
      <c r="D1773" s="1" t="s">
        <v>3592</v>
      </c>
      <c r="E1773" s="4">
        <v>1014870.0</v>
      </c>
      <c r="F1773" s="2" t="s">
        <v>36</v>
      </c>
      <c r="G1773" s="2" t="s">
        <v>1</v>
      </c>
      <c r="H1773" s="2" t="s">
        <v>18</v>
      </c>
      <c r="I1773" s="2" t="s">
        <v>15</v>
      </c>
      <c r="J1773" s="2" t="s">
        <v>15</v>
      </c>
    </row>
    <row r="1774" ht="15.75" customHeight="1">
      <c r="A1774" s="1" t="s">
        <v>3595</v>
      </c>
      <c r="B1774" s="1" t="s">
        <v>3596</v>
      </c>
      <c r="C1774" s="1" t="s">
        <v>12</v>
      </c>
      <c r="D1774" s="1" t="s">
        <v>3592</v>
      </c>
      <c r="E1774" s="4">
        <v>1014870.0</v>
      </c>
      <c r="F1774" s="2" t="s">
        <v>36</v>
      </c>
      <c r="G1774" s="2" t="s">
        <v>1</v>
      </c>
      <c r="H1774" s="2" t="s">
        <v>21</v>
      </c>
      <c r="I1774" s="2" t="s">
        <v>15</v>
      </c>
      <c r="J1774" s="2" t="s">
        <v>15</v>
      </c>
    </row>
    <row r="1775" ht="15.75" customHeight="1">
      <c r="A1775" s="1" t="s">
        <v>3597</v>
      </c>
      <c r="B1775" s="1" t="s">
        <v>3598</v>
      </c>
      <c r="C1775" s="1" t="s">
        <v>12</v>
      </c>
      <c r="D1775" s="1" t="s">
        <v>3592</v>
      </c>
      <c r="E1775" s="4">
        <v>1014870.0</v>
      </c>
      <c r="F1775" s="2">
        <v>1.0</v>
      </c>
      <c r="G1775" s="2" t="s">
        <v>1</v>
      </c>
      <c r="H1775" s="2" t="s">
        <v>14</v>
      </c>
      <c r="I1775" s="2" t="s">
        <v>15</v>
      </c>
      <c r="J1775" s="2" t="s">
        <v>15</v>
      </c>
    </row>
    <row r="1776" ht="15.75" customHeight="1">
      <c r="A1776" s="1" t="s">
        <v>3599</v>
      </c>
      <c r="B1776" s="1" t="s">
        <v>3600</v>
      </c>
      <c r="C1776" s="1" t="s">
        <v>12</v>
      </c>
      <c r="D1776" s="1" t="s">
        <v>3592</v>
      </c>
      <c r="E1776" s="4">
        <v>1014870.0</v>
      </c>
      <c r="F1776" s="2">
        <v>1.0</v>
      </c>
      <c r="G1776" s="2" t="s">
        <v>1</v>
      </c>
      <c r="H1776" s="2" t="s">
        <v>18</v>
      </c>
      <c r="I1776" s="2" t="s">
        <v>15</v>
      </c>
      <c r="J1776" s="2" t="s">
        <v>15</v>
      </c>
    </row>
    <row r="1777" ht="15.75" customHeight="1">
      <c r="A1777" s="1" t="s">
        <v>3601</v>
      </c>
      <c r="B1777" s="1" t="s">
        <v>3602</v>
      </c>
      <c r="C1777" s="1" t="s">
        <v>12</v>
      </c>
      <c r="D1777" s="1" t="s">
        <v>3592</v>
      </c>
      <c r="E1777" s="4">
        <v>1014870.0</v>
      </c>
      <c r="F1777" s="2">
        <v>1.0</v>
      </c>
      <c r="G1777" s="2" t="s">
        <v>1</v>
      </c>
      <c r="H1777" s="2" t="s">
        <v>21</v>
      </c>
      <c r="I1777" s="2" t="s">
        <v>15</v>
      </c>
      <c r="J1777" s="2" t="s">
        <v>15</v>
      </c>
    </row>
    <row r="1778" ht="15.75" customHeight="1">
      <c r="A1778" s="1" t="s">
        <v>3603</v>
      </c>
      <c r="B1778" s="1" t="s">
        <v>3604</v>
      </c>
      <c r="C1778" s="1" t="s">
        <v>12</v>
      </c>
      <c r="D1778" s="1" t="s">
        <v>3592</v>
      </c>
      <c r="E1778" s="4">
        <v>1014870.0</v>
      </c>
      <c r="F1778" s="2">
        <v>2.0</v>
      </c>
      <c r="G1778" s="2" t="s">
        <v>1</v>
      </c>
      <c r="H1778" s="2" t="s">
        <v>14</v>
      </c>
      <c r="I1778" s="2" t="s">
        <v>15</v>
      </c>
      <c r="J1778" s="2" t="s">
        <v>15</v>
      </c>
    </row>
    <row r="1779" ht="15.75" customHeight="1">
      <c r="A1779" s="1" t="s">
        <v>3605</v>
      </c>
      <c r="B1779" s="1" t="s">
        <v>3606</v>
      </c>
      <c r="C1779" s="1" t="s">
        <v>12</v>
      </c>
      <c r="D1779" s="1" t="s">
        <v>3592</v>
      </c>
      <c r="E1779" s="4">
        <v>1014870.0</v>
      </c>
      <c r="F1779" s="2">
        <v>2.0</v>
      </c>
      <c r="G1779" s="2" t="s">
        <v>1</v>
      </c>
      <c r="H1779" s="2" t="s">
        <v>18</v>
      </c>
      <c r="I1779" s="2" t="s">
        <v>15</v>
      </c>
      <c r="J1779" s="2" t="s">
        <v>15</v>
      </c>
    </row>
    <row r="1780" ht="15.75" customHeight="1">
      <c r="A1780" s="1" t="s">
        <v>3607</v>
      </c>
      <c r="B1780" s="1" t="s">
        <v>3608</v>
      </c>
      <c r="C1780" s="1" t="s">
        <v>12</v>
      </c>
      <c r="D1780" s="1" t="s">
        <v>3592</v>
      </c>
      <c r="E1780" s="4">
        <v>1014870.0</v>
      </c>
      <c r="F1780" s="2">
        <v>2.0</v>
      </c>
      <c r="G1780" s="2" t="s">
        <v>1</v>
      </c>
      <c r="H1780" s="2" t="s">
        <v>21</v>
      </c>
      <c r="I1780" s="2" t="s">
        <v>15</v>
      </c>
      <c r="J1780" s="2" t="s">
        <v>15</v>
      </c>
    </row>
    <row r="1781" ht="15.75" customHeight="1">
      <c r="A1781" s="1" t="s">
        <v>3609</v>
      </c>
      <c r="B1781" s="1" t="s">
        <v>3610</v>
      </c>
      <c r="C1781" s="1" t="s">
        <v>12</v>
      </c>
      <c r="D1781" s="1" t="s">
        <v>3592</v>
      </c>
      <c r="E1781" s="4">
        <v>1014870.0</v>
      </c>
      <c r="F1781" s="2" t="s">
        <v>30</v>
      </c>
      <c r="G1781" s="2" t="s">
        <v>1</v>
      </c>
      <c r="H1781" s="2" t="s">
        <v>14</v>
      </c>
      <c r="I1781" s="2" t="s">
        <v>15</v>
      </c>
      <c r="J1781" s="2" t="s">
        <v>15</v>
      </c>
    </row>
    <row r="1782" ht="15.75" customHeight="1">
      <c r="A1782" s="1" t="s">
        <v>3611</v>
      </c>
      <c r="B1782" s="1" t="s">
        <v>3612</v>
      </c>
      <c r="C1782" s="1" t="s">
        <v>12</v>
      </c>
      <c r="D1782" s="1" t="s">
        <v>3592</v>
      </c>
      <c r="E1782" s="4">
        <v>1014870.0</v>
      </c>
      <c r="F1782" s="2" t="s">
        <v>15</v>
      </c>
      <c r="G1782" s="2" t="s">
        <v>33</v>
      </c>
      <c r="H1782" s="2" t="s">
        <v>15</v>
      </c>
      <c r="I1782" s="2" t="s">
        <v>15</v>
      </c>
      <c r="J1782" s="2" t="s">
        <v>15</v>
      </c>
    </row>
    <row r="1783" ht="15.75" customHeight="1">
      <c r="A1783" s="1" t="s">
        <v>3613</v>
      </c>
      <c r="B1783" s="1" t="s">
        <v>3614</v>
      </c>
      <c r="C1783" s="1" t="s">
        <v>12</v>
      </c>
      <c r="D1783" s="1" t="s">
        <v>3592</v>
      </c>
      <c r="E1783" s="4">
        <v>1014870.0</v>
      </c>
      <c r="F1783" s="2" t="s">
        <v>36</v>
      </c>
      <c r="G1783" s="2" t="s">
        <v>1</v>
      </c>
      <c r="H1783" s="2" t="s">
        <v>37</v>
      </c>
      <c r="I1783" s="2" t="s">
        <v>15</v>
      </c>
      <c r="J1783" s="2" t="s">
        <v>15</v>
      </c>
    </row>
    <row r="1784" ht="15.75" customHeight="1">
      <c r="A1784" s="1" t="s">
        <v>3615</v>
      </c>
      <c r="B1784" s="1" t="s">
        <v>3616</v>
      </c>
      <c r="C1784" s="1" t="s">
        <v>12</v>
      </c>
      <c r="D1784" s="1" t="s">
        <v>3592</v>
      </c>
      <c r="E1784" s="4">
        <v>1014870.0</v>
      </c>
      <c r="F1784" s="2">
        <v>1.0</v>
      </c>
      <c r="G1784" s="2" t="s">
        <v>1</v>
      </c>
      <c r="H1784" s="2" t="s">
        <v>37</v>
      </c>
      <c r="I1784" s="2" t="s">
        <v>15</v>
      </c>
      <c r="J1784" s="2" t="s">
        <v>15</v>
      </c>
    </row>
    <row r="1785" ht="15.75" customHeight="1">
      <c r="A1785" s="1" t="s">
        <v>3617</v>
      </c>
      <c r="B1785" s="1" t="s">
        <v>3618</v>
      </c>
      <c r="C1785" s="1" t="s">
        <v>12</v>
      </c>
      <c r="D1785" s="1" t="s">
        <v>3592</v>
      </c>
      <c r="E1785" s="4">
        <v>1014870.0</v>
      </c>
      <c r="F1785" s="2">
        <v>2.0</v>
      </c>
      <c r="G1785" s="2" t="s">
        <v>1</v>
      </c>
      <c r="H1785" s="2" t="s">
        <v>37</v>
      </c>
      <c r="I1785" s="2" t="s">
        <v>15</v>
      </c>
      <c r="J1785" s="2" t="s">
        <v>15</v>
      </c>
    </row>
    <row r="1786" ht="15.75" customHeight="1">
      <c r="A1786" s="1" t="s">
        <v>3619</v>
      </c>
      <c r="B1786" s="1" t="s">
        <v>3620</v>
      </c>
      <c r="C1786" s="1" t="s">
        <v>12</v>
      </c>
      <c r="D1786" s="1" t="s">
        <v>3592</v>
      </c>
      <c r="E1786" s="4">
        <v>1014870.0</v>
      </c>
      <c r="F1786" s="2" t="s">
        <v>30</v>
      </c>
      <c r="G1786" s="2" t="s">
        <v>1</v>
      </c>
      <c r="H1786" s="2" t="s">
        <v>37</v>
      </c>
      <c r="I1786" s="2" t="s">
        <v>15</v>
      </c>
      <c r="J1786" s="2" t="s">
        <v>15</v>
      </c>
    </row>
    <row r="1787" ht="15.75" customHeight="1">
      <c r="A1787" s="1" t="s">
        <v>3621</v>
      </c>
      <c r="B1787" s="1" t="s">
        <v>3622</v>
      </c>
      <c r="C1787" s="1" t="s">
        <v>12</v>
      </c>
      <c r="D1787" s="1" t="s">
        <v>3623</v>
      </c>
      <c r="E1787" s="4">
        <v>1014934.0</v>
      </c>
      <c r="F1787" s="2" t="s">
        <v>36</v>
      </c>
      <c r="G1787" s="2" t="s">
        <v>1</v>
      </c>
      <c r="H1787" s="2" t="s">
        <v>14</v>
      </c>
      <c r="I1787" s="2" t="s">
        <v>15</v>
      </c>
      <c r="J1787" s="2" t="s">
        <v>15</v>
      </c>
    </row>
    <row r="1788" ht="15.75" customHeight="1">
      <c r="A1788" s="1" t="s">
        <v>3624</v>
      </c>
      <c r="B1788" s="1" t="s">
        <v>3625</v>
      </c>
      <c r="C1788" s="1" t="s">
        <v>12</v>
      </c>
      <c r="D1788" s="1" t="s">
        <v>3623</v>
      </c>
      <c r="E1788" s="4">
        <v>1014934.0</v>
      </c>
      <c r="F1788" s="2" t="s">
        <v>36</v>
      </c>
      <c r="G1788" s="2" t="s">
        <v>1</v>
      </c>
      <c r="H1788" s="2" t="s">
        <v>18</v>
      </c>
      <c r="I1788" s="2" t="s">
        <v>15</v>
      </c>
      <c r="J1788" s="2" t="s">
        <v>15</v>
      </c>
    </row>
    <row r="1789" ht="15.75" customHeight="1">
      <c r="A1789" s="1" t="s">
        <v>3626</v>
      </c>
      <c r="B1789" s="1" t="s">
        <v>3627</v>
      </c>
      <c r="C1789" s="1" t="s">
        <v>12</v>
      </c>
      <c r="D1789" s="1" t="s">
        <v>3623</v>
      </c>
      <c r="E1789" s="4">
        <v>1014934.0</v>
      </c>
      <c r="F1789" s="2" t="s">
        <v>36</v>
      </c>
      <c r="G1789" s="2" t="s">
        <v>1</v>
      </c>
      <c r="H1789" s="2" t="s">
        <v>21</v>
      </c>
      <c r="I1789" s="2" t="s">
        <v>15</v>
      </c>
      <c r="J1789" s="2" t="s">
        <v>15</v>
      </c>
    </row>
    <row r="1790" ht="15.75" customHeight="1">
      <c r="A1790" s="1" t="s">
        <v>3628</v>
      </c>
      <c r="B1790" s="1" t="s">
        <v>3629</v>
      </c>
      <c r="C1790" s="1" t="s">
        <v>12</v>
      </c>
      <c r="D1790" s="1" t="s">
        <v>3623</v>
      </c>
      <c r="E1790" s="4">
        <v>1014934.0</v>
      </c>
      <c r="F1790" s="2">
        <v>1.0</v>
      </c>
      <c r="G1790" s="2" t="s">
        <v>1</v>
      </c>
      <c r="H1790" s="2" t="s">
        <v>14</v>
      </c>
      <c r="I1790" s="2" t="s">
        <v>15</v>
      </c>
      <c r="J1790" s="2" t="s">
        <v>15</v>
      </c>
    </row>
    <row r="1791" ht="15.75" customHeight="1">
      <c r="A1791" s="1" t="s">
        <v>3630</v>
      </c>
      <c r="B1791" s="1" t="s">
        <v>3631</v>
      </c>
      <c r="C1791" s="1" t="s">
        <v>12</v>
      </c>
      <c r="D1791" s="1" t="s">
        <v>3623</v>
      </c>
      <c r="E1791" s="4">
        <v>1014934.0</v>
      </c>
      <c r="F1791" s="2">
        <v>1.0</v>
      </c>
      <c r="G1791" s="2" t="s">
        <v>1</v>
      </c>
      <c r="H1791" s="2" t="s">
        <v>18</v>
      </c>
      <c r="I1791" s="2" t="s">
        <v>15</v>
      </c>
      <c r="J1791" s="2" t="s">
        <v>15</v>
      </c>
    </row>
    <row r="1792" ht="15.75" customHeight="1">
      <c r="A1792" s="1" t="s">
        <v>3632</v>
      </c>
      <c r="B1792" s="1" t="s">
        <v>3633</v>
      </c>
      <c r="C1792" s="1" t="s">
        <v>12</v>
      </c>
      <c r="D1792" s="1" t="s">
        <v>3623</v>
      </c>
      <c r="E1792" s="4">
        <v>1014934.0</v>
      </c>
      <c r="F1792" s="2">
        <v>1.0</v>
      </c>
      <c r="G1792" s="2" t="s">
        <v>1</v>
      </c>
      <c r="H1792" s="2" t="s">
        <v>21</v>
      </c>
      <c r="I1792" s="2" t="s">
        <v>15</v>
      </c>
      <c r="J1792" s="2" t="s">
        <v>15</v>
      </c>
    </row>
    <row r="1793" ht="15.75" customHeight="1">
      <c r="A1793" s="1" t="s">
        <v>3634</v>
      </c>
      <c r="B1793" s="1" t="s">
        <v>3635</v>
      </c>
      <c r="C1793" s="1" t="s">
        <v>12</v>
      </c>
      <c r="D1793" s="1" t="s">
        <v>3623</v>
      </c>
      <c r="E1793" s="4">
        <v>1014934.0</v>
      </c>
      <c r="F1793" s="2">
        <v>2.0</v>
      </c>
      <c r="G1793" s="2" t="s">
        <v>1</v>
      </c>
      <c r="H1793" s="2" t="s">
        <v>14</v>
      </c>
      <c r="I1793" s="2" t="s">
        <v>15</v>
      </c>
      <c r="J1793" s="2" t="s">
        <v>15</v>
      </c>
    </row>
    <row r="1794" ht="15.75" customHeight="1">
      <c r="A1794" s="1" t="s">
        <v>3636</v>
      </c>
      <c r="B1794" s="1" t="s">
        <v>3637</v>
      </c>
      <c r="C1794" s="1" t="s">
        <v>12</v>
      </c>
      <c r="D1794" s="1" t="s">
        <v>3623</v>
      </c>
      <c r="E1794" s="4">
        <v>1014934.0</v>
      </c>
      <c r="F1794" s="2">
        <v>2.0</v>
      </c>
      <c r="G1794" s="2" t="s">
        <v>1</v>
      </c>
      <c r="H1794" s="2" t="s">
        <v>18</v>
      </c>
      <c r="I1794" s="2" t="s">
        <v>15</v>
      </c>
      <c r="J1794" s="2" t="s">
        <v>15</v>
      </c>
    </row>
    <row r="1795" ht="15.75" customHeight="1">
      <c r="A1795" s="1" t="s">
        <v>3638</v>
      </c>
      <c r="B1795" s="1" t="s">
        <v>3639</v>
      </c>
      <c r="C1795" s="1" t="s">
        <v>12</v>
      </c>
      <c r="D1795" s="1" t="s">
        <v>3623</v>
      </c>
      <c r="E1795" s="4">
        <v>1014934.0</v>
      </c>
      <c r="F1795" s="2">
        <v>2.0</v>
      </c>
      <c r="G1795" s="2" t="s">
        <v>1</v>
      </c>
      <c r="H1795" s="2" t="s">
        <v>21</v>
      </c>
      <c r="I1795" s="2" t="s">
        <v>15</v>
      </c>
      <c r="J1795" s="2" t="s">
        <v>15</v>
      </c>
    </row>
    <row r="1796" ht="15.75" customHeight="1">
      <c r="A1796" s="1" t="s">
        <v>3640</v>
      </c>
      <c r="B1796" s="1" t="s">
        <v>3641</v>
      </c>
      <c r="C1796" s="1" t="s">
        <v>12</v>
      </c>
      <c r="D1796" s="1" t="s">
        <v>3623</v>
      </c>
      <c r="E1796" s="4">
        <v>1014934.0</v>
      </c>
      <c r="F1796" s="2" t="s">
        <v>30</v>
      </c>
      <c r="G1796" s="2" t="s">
        <v>1</v>
      </c>
      <c r="H1796" s="2" t="s">
        <v>14</v>
      </c>
      <c r="I1796" s="2" t="s">
        <v>15</v>
      </c>
      <c r="J1796" s="2" t="s">
        <v>15</v>
      </c>
    </row>
    <row r="1797" ht="15.75" customHeight="1">
      <c r="A1797" s="1" t="s">
        <v>3642</v>
      </c>
      <c r="B1797" s="1" t="s">
        <v>3643</v>
      </c>
      <c r="C1797" s="1" t="s">
        <v>12</v>
      </c>
      <c r="D1797" s="1" t="s">
        <v>3623</v>
      </c>
      <c r="E1797" s="4">
        <v>1014934.0</v>
      </c>
      <c r="F1797" s="2" t="s">
        <v>15</v>
      </c>
      <c r="G1797" s="2" t="s">
        <v>33</v>
      </c>
      <c r="H1797" s="2" t="s">
        <v>15</v>
      </c>
      <c r="I1797" s="2" t="s">
        <v>15</v>
      </c>
      <c r="J1797" s="2" t="s">
        <v>15</v>
      </c>
    </row>
    <row r="1798" ht="15.75" customHeight="1">
      <c r="A1798" s="1" t="s">
        <v>3644</v>
      </c>
      <c r="B1798" s="1" t="s">
        <v>3645</v>
      </c>
      <c r="C1798" s="1" t="s">
        <v>12</v>
      </c>
      <c r="D1798" s="1" t="s">
        <v>3623</v>
      </c>
      <c r="E1798" s="4">
        <v>1014934.0</v>
      </c>
      <c r="F1798" s="2" t="s">
        <v>36</v>
      </c>
      <c r="G1798" s="2" t="s">
        <v>1</v>
      </c>
      <c r="H1798" s="2" t="s">
        <v>37</v>
      </c>
      <c r="I1798" s="2" t="s">
        <v>15</v>
      </c>
      <c r="J1798" s="2" t="s">
        <v>15</v>
      </c>
    </row>
    <row r="1799" ht="15.75" customHeight="1">
      <c r="A1799" s="1" t="s">
        <v>3646</v>
      </c>
      <c r="B1799" s="1" t="s">
        <v>3647</v>
      </c>
      <c r="C1799" s="1" t="s">
        <v>12</v>
      </c>
      <c r="D1799" s="1" t="s">
        <v>3623</v>
      </c>
      <c r="E1799" s="4">
        <v>1014934.0</v>
      </c>
      <c r="F1799" s="2">
        <v>1.0</v>
      </c>
      <c r="G1799" s="2" t="s">
        <v>1</v>
      </c>
      <c r="H1799" s="2" t="s">
        <v>37</v>
      </c>
      <c r="I1799" s="2" t="s">
        <v>15</v>
      </c>
      <c r="J1799" s="2" t="s">
        <v>15</v>
      </c>
    </row>
    <row r="1800" ht="15.75" customHeight="1">
      <c r="A1800" s="1" t="s">
        <v>3648</v>
      </c>
      <c r="B1800" s="1" t="s">
        <v>3649</v>
      </c>
      <c r="C1800" s="1" t="s">
        <v>12</v>
      </c>
      <c r="D1800" s="1" t="s">
        <v>3623</v>
      </c>
      <c r="E1800" s="4">
        <v>1014934.0</v>
      </c>
      <c r="F1800" s="2">
        <v>2.0</v>
      </c>
      <c r="G1800" s="2" t="s">
        <v>1</v>
      </c>
      <c r="H1800" s="2" t="s">
        <v>37</v>
      </c>
      <c r="I1800" s="2" t="s">
        <v>15</v>
      </c>
      <c r="J1800" s="2" t="s">
        <v>15</v>
      </c>
    </row>
    <row r="1801" ht="15.75" customHeight="1">
      <c r="A1801" s="1" t="s">
        <v>3650</v>
      </c>
      <c r="B1801" s="1" t="s">
        <v>3651</v>
      </c>
      <c r="C1801" s="1" t="s">
        <v>12</v>
      </c>
      <c r="D1801" s="1" t="s">
        <v>3623</v>
      </c>
      <c r="E1801" s="4">
        <v>1014934.0</v>
      </c>
      <c r="F1801" s="2">
        <v>3.0</v>
      </c>
      <c r="G1801" s="2" t="s">
        <v>1</v>
      </c>
      <c r="H1801" s="2" t="s">
        <v>37</v>
      </c>
      <c r="I1801" s="2" t="s">
        <v>15</v>
      </c>
      <c r="J1801" s="2" t="s">
        <v>15</v>
      </c>
    </row>
    <row r="1802" ht="15.75" customHeight="1">
      <c r="A1802" s="1" t="s">
        <v>3652</v>
      </c>
      <c r="B1802" s="1" t="s">
        <v>3653</v>
      </c>
      <c r="C1802" s="1" t="s">
        <v>12</v>
      </c>
      <c r="D1802" s="1" t="s">
        <v>3623</v>
      </c>
      <c r="E1802" s="4">
        <v>1014934.0</v>
      </c>
      <c r="F1802" s="2" t="s">
        <v>30</v>
      </c>
      <c r="G1802" s="2" t="s">
        <v>1</v>
      </c>
      <c r="H1802" s="2" t="s">
        <v>37</v>
      </c>
      <c r="I1802" s="2" t="s">
        <v>15</v>
      </c>
      <c r="J1802" s="2" t="s">
        <v>15</v>
      </c>
    </row>
    <row r="1803" ht="15.75" customHeight="1">
      <c r="A1803" s="1" t="s">
        <v>3654</v>
      </c>
      <c r="B1803" s="1" t="s">
        <v>3655</v>
      </c>
      <c r="C1803" s="1" t="s">
        <v>12</v>
      </c>
      <c r="D1803" s="1" t="s">
        <v>3656</v>
      </c>
      <c r="E1803" s="4">
        <v>1014998.0</v>
      </c>
      <c r="F1803" s="2">
        <v>1.0</v>
      </c>
      <c r="G1803" s="2" t="s">
        <v>1</v>
      </c>
      <c r="H1803" s="2" t="s">
        <v>14</v>
      </c>
      <c r="I1803" s="2" t="s">
        <v>15</v>
      </c>
      <c r="J1803" s="2" t="s">
        <v>15</v>
      </c>
    </row>
    <row r="1804" ht="15.75" customHeight="1">
      <c r="A1804" s="1" t="s">
        <v>3657</v>
      </c>
      <c r="B1804" s="1" t="s">
        <v>3658</v>
      </c>
      <c r="C1804" s="1" t="s">
        <v>12</v>
      </c>
      <c r="D1804" s="1" t="s">
        <v>3656</v>
      </c>
      <c r="E1804" s="4">
        <v>1014998.0</v>
      </c>
      <c r="F1804" s="2">
        <v>1.0</v>
      </c>
      <c r="G1804" s="2" t="s">
        <v>1</v>
      </c>
      <c r="H1804" s="2" t="s">
        <v>18</v>
      </c>
      <c r="I1804" s="2" t="s">
        <v>15</v>
      </c>
      <c r="J1804" s="2" t="s">
        <v>15</v>
      </c>
    </row>
    <row r="1805" ht="15.75" customHeight="1">
      <c r="A1805" s="1" t="s">
        <v>3659</v>
      </c>
      <c r="B1805" s="1" t="s">
        <v>3660</v>
      </c>
      <c r="C1805" s="1" t="s">
        <v>12</v>
      </c>
      <c r="D1805" s="1" t="s">
        <v>3656</v>
      </c>
      <c r="E1805" s="4">
        <v>1014998.0</v>
      </c>
      <c r="F1805" s="2">
        <v>2.0</v>
      </c>
      <c r="G1805" s="2" t="s">
        <v>1</v>
      </c>
      <c r="H1805" s="2" t="s">
        <v>14</v>
      </c>
      <c r="I1805" s="2" t="s">
        <v>15</v>
      </c>
      <c r="J1805" s="2" t="s">
        <v>15</v>
      </c>
    </row>
    <row r="1806" ht="15.75" customHeight="1">
      <c r="A1806" s="1" t="s">
        <v>3661</v>
      </c>
      <c r="B1806" s="1" t="s">
        <v>3662</v>
      </c>
      <c r="C1806" s="1" t="s">
        <v>12</v>
      </c>
      <c r="D1806" s="1" t="s">
        <v>3656</v>
      </c>
      <c r="E1806" s="4">
        <v>1014998.0</v>
      </c>
      <c r="F1806" s="2">
        <v>2.0</v>
      </c>
      <c r="G1806" s="2" t="s">
        <v>1</v>
      </c>
      <c r="H1806" s="2" t="s">
        <v>18</v>
      </c>
      <c r="I1806" s="2" t="s">
        <v>15</v>
      </c>
      <c r="J1806" s="2" t="s">
        <v>15</v>
      </c>
    </row>
    <row r="1807" ht="15.75" customHeight="1">
      <c r="A1807" s="1" t="s">
        <v>3663</v>
      </c>
      <c r="B1807" s="1" t="s">
        <v>3664</v>
      </c>
      <c r="C1807" s="1" t="s">
        <v>12</v>
      </c>
      <c r="D1807" s="1" t="s">
        <v>3656</v>
      </c>
      <c r="E1807" s="4">
        <v>1014998.0</v>
      </c>
      <c r="F1807" s="2">
        <v>3.0</v>
      </c>
      <c r="G1807" s="2" t="s">
        <v>1</v>
      </c>
      <c r="H1807" s="2" t="s">
        <v>14</v>
      </c>
      <c r="I1807" s="2" t="s">
        <v>15</v>
      </c>
      <c r="J1807" s="2" t="s">
        <v>15</v>
      </c>
    </row>
    <row r="1808" ht="15.75" customHeight="1">
      <c r="A1808" s="1" t="s">
        <v>3665</v>
      </c>
      <c r="B1808" s="1" t="s">
        <v>3666</v>
      </c>
      <c r="C1808" s="1" t="s">
        <v>12</v>
      </c>
      <c r="D1808" s="1" t="s">
        <v>3656</v>
      </c>
      <c r="E1808" s="4">
        <v>1014998.0</v>
      </c>
      <c r="F1808" s="2">
        <v>3.0</v>
      </c>
      <c r="G1808" s="2" t="s">
        <v>1</v>
      </c>
      <c r="H1808" s="2" t="s">
        <v>18</v>
      </c>
      <c r="I1808" s="2" t="s">
        <v>15</v>
      </c>
      <c r="J1808" s="2" t="s">
        <v>15</v>
      </c>
    </row>
    <row r="1809" ht="15.75" customHeight="1">
      <c r="A1809" s="1" t="s">
        <v>3667</v>
      </c>
      <c r="B1809" s="1" t="s">
        <v>3668</v>
      </c>
      <c r="C1809" s="1" t="s">
        <v>12</v>
      </c>
      <c r="D1809" s="1" t="s">
        <v>3656</v>
      </c>
      <c r="E1809" s="4">
        <v>1014998.0</v>
      </c>
      <c r="F1809" s="2">
        <v>5.0</v>
      </c>
      <c r="G1809" s="2" t="s">
        <v>1</v>
      </c>
      <c r="H1809" s="2" t="s">
        <v>14</v>
      </c>
      <c r="I1809" s="2" t="s">
        <v>15</v>
      </c>
      <c r="J1809" s="2" t="s">
        <v>15</v>
      </c>
    </row>
    <row r="1810" ht="15.75" customHeight="1">
      <c r="A1810" s="1" t="s">
        <v>3669</v>
      </c>
      <c r="B1810" s="1" t="s">
        <v>3670</v>
      </c>
      <c r="C1810" s="1" t="s">
        <v>12</v>
      </c>
      <c r="D1810" s="1" t="s">
        <v>3656</v>
      </c>
      <c r="E1810" s="4">
        <v>1014998.0</v>
      </c>
      <c r="F1810" s="2">
        <v>5.0</v>
      </c>
      <c r="G1810" s="2" t="s">
        <v>1</v>
      </c>
      <c r="H1810" s="2" t="s">
        <v>18</v>
      </c>
      <c r="I1810" s="2" t="s">
        <v>15</v>
      </c>
      <c r="J1810" s="2" t="s">
        <v>15</v>
      </c>
    </row>
    <row r="1811" ht="15.75" customHeight="1">
      <c r="A1811" s="1" t="s">
        <v>3671</v>
      </c>
      <c r="B1811" s="1" t="s">
        <v>3672</v>
      </c>
      <c r="C1811" s="1" t="s">
        <v>12</v>
      </c>
      <c r="D1811" s="1" t="s">
        <v>3656</v>
      </c>
      <c r="E1811" s="4">
        <v>1014998.0</v>
      </c>
      <c r="F1811" s="2" t="s">
        <v>30</v>
      </c>
      <c r="G1811" s="2" t="s">
        <v>1</v>
      </c>
      <c r="H1811" s="2" t="s">
        <v>14</v>
      </c>
      <c r="I1811" s="2" t="s">
        <v>15</v>
      </c>
      <c r="J1811" s="2" t="s">
        <v>15</v>
      </c>
    </row>
    <row r="1812" ht="15.75" customHeight="1">
      <c r="A1812" s="1" t="s">
        <v>3673</v>
      </c>
      <c r="B1812" s="1" t="s">
        <v>3674</v>
      </c>
      <c r="C1812" s="1" t="s">
        <v>12</v>
      </c>
      <c r="D1812" s="1" t="s">
        <v>3656</v>
      </c>
      <c r="E1812" s="4">
        <v>1014998.0</v>
      </c>
      <c r="F1812" s="2" t="s">
        <v>15</v>
      </c>
      <c r="G1812" s="2" t="s">
        <v>33</v>
      </c>
      <c r="H1812" s="2" t="s">
        <v>15</v>
      </c>
      <c r="I1812" s="2" t="s">
        <v>15</v>
      </c>
      <c r="J1812" s="2" t="s">
        <v>15</v>
      </c>
    </row>
    <row r="1813" ht="15.75" customHeight="1">
      <c r="A1813" s="1" t="s">
        <v>3675</v>
      </c>
      <c r="B1813" s="1" t="s">
        <v>3676</v>
      </c>
      <c r="C1813" s="1" t="s">
        <v>12</v>
      </c>
      <c r="D1813" s="1" t="s">
        <v>3677</v>
      </c>
      <c r="E1813" s="4">
        <v>1015062.0</v>
      </c>
      <c r="F1813" s="2" t="s">
        <v>36</v>
      </c>
      <c r="G1813" s="2" t="s">
        <v>1</v>
      </c>
      <c r="H1813" s="2" t="s">
        <v>14</v>
      </c>
      <c r="I1813" s="2" t="s">
        <v>15</v>
      </c>
      <c r="J1813" s="2" t="s">
        <v>15</v>
      </c>
    </row>
    <row r="1814" ht="15.75" customHeight="1">
      <c r="A1814" s="1" t="s">
        <v>3678</v>
      </c>
      <c r="B1814" s="1" t="s">
        <v>3679</v>
      </c>
      <c r="C1814" s="1" t="s">
        <v>12</v>
      </c>
      <c r="D1814" s="1" t="s">
        <v>3677</v>
      </c>
      <c r="E1814" s="4">
        <v>1015062.0</v>
      </c>
      <c r="F1814" s="2" t="s">
        <v>36</v>
      </c>
      <c r="G1814" s="2" t="s">
        <v>1</v>
      </c>
      <c r="H1814" s="2" t="s">
        <v>18</v>
      </c>
      <c r="I1814" s="2" t="s">
        <v>15</v>
      </c>
      <c r="J1814" s="2" t="s">
        <v>15</v>
      </c>
    </row>
    <row r="1815" ht="15.75" customHeight="1">
      <c r="A1815" s="1" t="s">
        <v>3680</v>
      </c>
      <c r="B1815" s="1" t="s">
        <v>3681</v>
      </c>
      <c r="C1815" s="1" t="s">
        <v>12</v>
      </c>
      <c r="D1815" s="1" t="s">
        <v>3677</v>
      </c>
      <c r="E1815" s="4">
        <v>1015062.0</v>
      </c>
      <c r="F1815" s="2">
        <v>1.0</v>
      </c>
      <c r="G1815" s="2" t="s">
        <v>1</v>
      </c>
      <c r="H1815" s="2" t="s">
        <v>14</v>
      </c>
      <c r="I1815" s="2" t="s">
        <v>15</v>
      </c>
      <c r="J1815" s="2" t="s">
        <v>15</v>
      </c>
    </row>
    <row r="1816" ht="15.75" customHeight="1">
      <c r="A1816" s="1" t="s">
        <v>3682</v>
      </c>
      <c r="B1816" s="1" t="s">
        <v>3683</v>
      </c>
      <c r="C1816" s="1" t="s">
        <v>12</v>
      </c>
      <c r="D1816" s="1" t="s">
        <v>3677</v>
      </c>
      <c r="E1816" s="4">
        <v>1015062.0</v>
      </c>
      <c r="F1816" s="2">
        <v>1.0</v>
      </c>
      <c r="G1816" s="2" t="s">
        <v>1</v>
      </c>
      <c r="H1816" s="2" t="s">
        <v>18</v>
      </c>
      <c r="I1816" s="2" t="s">
        <v>15</v>
      </c>
      <c r="J1816" s="2" t="s">
        <v>15</v>
      </c>
    </row>
    <row r="1817" ht="15.75" customHeight="1">
      <c r="A1817" s="1" t="s">
        <v>3684</v>
      </c>
      <c r="B1817" s="1" t="s">
        <v>3685</v>
      </c>
      <c r="C1817" s="1" t="s">
        <v>12</v>
      </c>
      <c r="D1817" s="1" t="s">
        <v>3677</v>
      </c>
      <c r="E1817" s="4">
        <v>1015062.0</v>
      </c>
      <c r="F1817" s="2">
        <v>2.0</v>
      </c>
      <c r="G1817" s="2" t="s">
        <v>1</v>
      </c>
      <c r="H1817" s="2" t="s">
        <v>14</v>
      </c>
      <c r="I1817" s="2" t="s">
        <v>15</v>
      </c>
      <c r="J1817" s="2" t="s">
        <v>15</v>
      </c>
    </row>
    <row r="1818" ht="15.75" customHeight="1">
      <c r="A1818" s="1" t="s">
        <v>3686</v>
      </c>
      <c r="B1818" s="1" t="s">
        <v>3687</v>
      </c>
      <c r="C1818" s="1" t="s">
        <v>12</v>
      </c>
      <c r="D1818" s="1" t="s">
        <v>3677</v>
      </c>
      <c r="E1818" s="4">
        <v>1015062.0</v>
      </c>
      <c r="F1818" s="2">
        <v>2.0</v>
      </c>
      <c r="G1818" s="2" t="s">
        <v>1</v>
      </c>
      <c r="H1818" s="2" t="s">
        <v>18</v>
      </c>
      <c r="I1818" s="2" t="s">
        <v>15</v>
      </c>
      <c r="J1818" s="2" t="s">
        <v>15</v>
      </c>
    </row>
    <row r="1819" ht="15.75" customHeight="1">
      <c r="A1819" s="1" t="s">
        <v>3688</v>
      </c>
      <c r="B1819" s="1" t="s">
        <v>3689</v>
      </c>
      <c r="C1819" s="1" t="s">
        <v>12</v>
      </c>
      <c r="D1819" s="1" t="s">
        <v>3677</v>
      </c>
      <c r="E1819" s="4">
        <v>1015062.0</v>
      </c>
      <c r="F1819" s="2">
        <v>5.0</v>
      </c>
      <c r="G1819" s="2" t="s">
        <v>1</v>
      </c>
      <c r="H1819" s="2" t="s">
        <v>14</v>
      </c>
      <c r="I1819" s="2" t="s">
        <v>15</v>
      </c>
      <c r="J1819" s="2" t="s">
        <v>15</v>
      </c>
    </row>
    <row r="1820" ht="15.75" customHeight="1">
      <c r="A1820" s="1" t="s">
        <v>3690</v>
      </c>
      <c r="B1820" s="1" t="s">
        <v>3691</v>
      </c>
      <c r="C1820" s="1" t="s">
        <v>12</v>
      </c>
      <c r="D1820" s="1" t="s">
        <v>3677</v>
      </c>
      <c r="E1820" s="4">
        <v>1015062.0</v>
      </c>
      <c r="F1820" s="2">
        <v>5.0</v>
      </c>
      <c r="G1820" s="2" t="s">
        <v>1</v>
      </c>
      <c r="H1820" s="2" t="s">
        <v>18</v>
      </c>
      <c r="I1820" s="2" t="s">
        <v>15</v>
      </c>
      <c r="J1820" s="2" t="s">
        <v>15</v>
      </c>
    </row>
    <row r="1821" ht="15.75" customHeight="1">
      <c r="A1821" s="1" t="s">
        <v>3692</v>
      </c>
      <c r="B1821" s="1" t="s">
        <v>3693</v>
      </c>
      <c r="C1821" s="1" t="s">
        <v>12</v>
      </c>
      <c r="D1821" s="1" t="s">
        <v>3677</v>
      </c>
      <c r="E1821" s="4">
        <v>1015062.0</v>
      </c>
      <c r="F1821" s="2" t="s">
        <v>30</v>
      </c>
      <c r="G1821" s="2" t="s">
        <v>1</v>
      </c>
      <c r="H1821" s="2" t="s">
        <v>14</v>
      </c>
      <c r="I1821" s="2" t="s">
        <v>15</v>
      </c>
      <c r="J1821" s="2" t="s">
        <v>15</v>
      </c>
    </row>
    <row r="1822" ht="15.75" customHeight="1">
      <c r="A1822" s="1" t="s">
        <v>3694</v>
      </c>
      <c r="B1822" s="1" t="s">
        <v>3695</v>
      </c>
      <c r="C1822" s="1" t="s">
        <v>12</v>
      </c>
      <c r="D1822" s="1" t="s">
        <v>3677</v>
      </c>
      <c r="E1822" s="4">
        <v>1015062.0</v>
      </c>
      <c r="F1822" s="2" t="s">
        <v>15</v>
      </c>
      <c r="G1822" s="2" t="s">
        <v>33</v>
      </c>
      <c r="H1822" s="2" t="s">
        <v>15</v>
      </c>
      <c r="I1822" s="2" t="s">
        <v>15</v>
      </c>
      <c r="J1822" s="2" t="s">
        <v>15</v>
      </c>
    </row>
    <row r="1823" ht="15.75" customHeight="1">
      <c r="A1823" s="1" t="s">
        <v>3696</v>
      </c>
      <c r="B1823" s="1" t="s">
        <v>3697</v>
      </c>
      <c r="C1823" s="1" t="s">
        <v>12</v>
      </c>
      <c r="D1823" s="1" t="s">
        <v>3698</v>
      </c>
      <c r="E1823" s="4">
        <v>1015126.0</v>
      </c>
      <c r="F1823" s="2" t="s">
        <v>36</v>
      </c>
      <c r="G1823" s="2" t="s">
        <v>1</v>
      </c>
      <c r="H1823" s="2" t="s">
        <v>14</v>
      </c>
      <c r="I1823" s="2" t="s">
        <v>15</v>
      </c>
      <c r="J1823" s="2" t="s">
        <v>15</v>
      </c>
    </row>
    <row r="1824" ht="15.75" customHeight="1">
      <c r="A1824" s="1" t="s">
        <v>3699</v>
      </c>
      <c r="B1824" s="1" t="s">
        <v>3700</v>
      </c>
      <c r="C1824" s="1" t="s">
        <v>12</v>
      </c>
      <c r="D1824" s="1" t="s">
        <v>3698</v>
      </c>
      <c r="E1824" s="4">
        <v>1015126.0</v>
      </c>
      <c r="F1824" s="2" t="s">
        <v>36</v>
      </c>
      <c r="G1824" s="2" t="s">
        <v>1</v>
      </c>
      <c r="H1824" s="2" t="s">
        <v>18</v>
      </c>
      <c r="I1824" s="2" t="s">
        <v>15</v>
      </c>
      <c r="J1824" s="2" t="s">
        <v>15</v>
      </c>
    </row>
    <row r="1825" ht="15.75" customHeight="1">
      <c r="A1825" s="1" t="s">
        <v>3701</v>
      </c>
      <c r="B1825" s="1" t="s">
        <v>3702</v>
      </c>
      <c r="C1825" s="1" t="s">
        <v>12</v>
      </c>
      <c r="D1825" s="1" t="s">
        <v>3698</v>
      </c>
      <c r="E1825" s="4">
        <v>1015126.0</v>
      </c>
      <c r="F1825" s="2">
        <v>3.0</v>
      </c>
      <c r="G1825" s="2" t="s">
        <v>1</v>
      </c>
      <c r="H1825" s="2" t="s">
        <v>14</v>
      </c>
      <c r="I1825" s="2" t="s">
        <v>15</v>
      </c>
      <c r="J1825" s="2" t="s">
        <v>15</v>
      </c>
    </row>
    <row r="1826" ht="15.75" customHeight="1">
      <c r="A1826" s="1" t="s">
        <v>3703</v>
      </c>
      <c r="B1826" s="1" t="s">
        <v>3704</v>
      </c>
      <c r="C1826" s="1" t="s">
        <v>12</v>
      </c>
      <c r="D1826" s="1" t="s">
        <v>3698</v>
      </c>
      <c r="E1826" s="4">
        <v>1015126.0</v>
      </c>
      <c r="F1826" s="2">
        <v>3.0</v>
      </c>
      <c r="G1826" s="2" t="s">
        <v>1</v>
      </c>
      <c r="H1826" s="2" t="s">
        <v>18</v>
      </c>
      <c r="I1826" s="2" t="s">
        <v>15</v>
      </c>
      <c r="J1826" s="2" t="s">
        <v>15</v>
      </c>
    </row>
    <row r="1827" ht="15.75" customHeight="1">
      <c r="A1827" s="1" t="s">
        <v>3705</v>
      </c>
      <c r="B1827" s="1" t="s">
        <v>3706</v>
      </c>
      <c r="C1827" s="1" t="s">
        <v>12</v>
      </c>
      <c r="D1827" s="1" t="s">
        <v>3698</v>
      </c>
      <c r="E1827" s="4">
        <v>1015126.0</v>
      </c>
      <c r="F1827" s="2">
        <v>4.0</v>
      </c>
      <c r="G1827" s="2" t="s">
        <v>1</v>
      </c>
      <c r="H1827" s="2" t="s">
        <v>14</v>
      </c>
      <c r="I1827" s="2" t="s">
        <v>15</v>
      </c>
      <c r="J1827" s="2" t="s">
        <v>15</v>
      </c>
    </row>
    <row r="1828" ht="15.75" customHeight="1">
      <c r="A1828" s="1" t="s">
        <v>3707</v>
      </c>
      <c r="B1828" s="1" t="s">
        <v>3708</v>
      </c>
      <c r="C1828" s="1" t="s">
        <v>12</v>
      </c>
      <c r="D1828" s="1" t="s">
        <v>3698</v>
      </c>
      <c r="E1828" s="4">
        <v>1015126.0</v>
      </c>
      <c r="F1828" s="2">
        <v>4.0</v>
      </c>
      <c r="G1828" s="2" t="s">
        <v>1</v>
      </c>
      <c r="H1828" s="2" t="s">
        <v>18</v>
      </c>
      <c r="I1828" s="2" t="s">
        <v>15</v>
      </c>
      <c r="J1828" s="2" t="s">
        <v>15</v>
      </c>
    </row>
    <row r="1829" ht="15.75" customHeight="1">
      <c r="A1829" s="1" t="s">
        <v>3709</v>
      </c>
      <c r="B1829" s="1" t="s">
        <v>3710</v>
      </c>
      <c r="C1829" s="1" t="s">
        <v>12</v>
      </c>
      <c r="D1829" s="1" t="s">
        <v>3698</v>
      </c>
      <c r="E1829" s="4">
        <v>1015126.0</v>
      </c>
      <c r="F1829" s="2" t="s">
        <v>30</v>
      </c>
      <c r="G1829" s="2" t="s">
        <v>1</v>
      </c>
      <c r="H1829" s="2" t="s">
        <v>14</v>
      </c>
      <c r="I1829" s="2" t="s">
        <v>15</v>
      </c>
      <c r="J1829" s="2" t="s">
        <v>15</v>
      </c>
    </row>
    <row r="1830" ht="15.75" customHeight="1">
      <c r="A1830" s="1" t="s">
        <v>3711</v>
      </c>
      <c r="B1830" s="1" t="s">
        <v>3712</v>
      </c>
      <c r="C1830" s="1" t="s">
        <v>12</v>
      </c>
      <c r="D1830" s="1" t="s">
        <v>3698</v>
      </c>
      <c r="E1830" s="4">
        <v>1015126.0</v>
      </c>
      <c r="F1830" s="2" t="s">
        <v>15</v>
      </c>
      <c r="G1830" s="2" t="s">
        <v>33</v>
      </c>
      <c r="H1830" s="2" t="s">
        <v>15</v>
      </c>
      <c r="I1830" s="2" t="s">
        <v>15</v>
      </c>
      <c r="J1830" s="2" t="s">
        <v>15</v>
      </c>
    </row>
    <row r="1831" ht="15.75" customHeight="1">
      <c r="A1831" s="1" t="s">
        <v>3713</v>
      </c>
      <c r="B1831" s="1" t="s">
        <v>3714</v>
      </c>
      <c r="C1831" s="1" t="s">
        <v>12</v>
      </c>
      <c r="D1831" s="1" t="s">
        <v>3715</v>
      </c>
      <c r="E1831" s="4">
        <v>1015190.0</v>
      </c>
      <c r="F1831" s="2">
        <v>1.0</v>
      </c>
      <c r="G1831" s="2" t="s">
        <v>1</v>
      </c>
      <c r="H1831" s="2" t="s">
        <v>14</v>
      </c>
      <c r="I1831" s="2" t="s">
        <v>15</v>
      </c>
      <c r="J1831" s="2" t="s">
        <v>15</v>
      </c>
    </row>
    <row r="1832" ht="15.75" customHeight="1">
      <c r="A1832" s="1" t="s">
        <v>3716</v>
      </c>
      <c r="B1832" s="1" t="s">
        <v>3717</v>
      </c>
      <c r="C1832" s="1" t="s">
        <v>12</v>
      </c>
      <c r="D1832" s="1" t="s">
        <v>3715</v>
      </c>
      <c r="E1832" s="4">
        <v>1015190.0</v>
      </c>
      <c r="F1832" s="2">
        <v>1.0</v>
      </c>
      <c r="G1832" s="2" t="s">
        <v>1</v>
      </c>
      <c r="H1832" s="2" t="s">
        <v>18</v>
      </c>
      <c r="I1832" s="2" t="s">
        <v>15</v>
      </c>
      <c r="J1832" s="2" t="s">
        <v>15</v>
      </c>
    </row>
    <row r="1833" ht="15.75" customHeight="1">
      <c r="A1833" s="1" t="s">
        <v>3718</v>
      </c>
      <c r="B1833" s="1" t="s">
        <v>3719</v>
      </c>
      <c r="C1833" s="1" t="s">
        <v>12</v>
      </c>
      <c r="D1833" s="1" t="s">
        <v>3715</v>
      </c>
      <c r="E1833" s="4">
        <v>1015190.0</v>
      </c>
      <c r="F1833" s="2">
        <v>2.0</v>
      </c>
      <c r="G1833" s="2" t="s">
        <v>1</v>
      </c>
      <c r="H1833" s="2" t="s">
        <v>14</v>
      </c>
      <c r="I1833" s="2" t="s">
        <v>15</v>
      </c>
      <c r="J1833" s="2" t="s">
        <v>15</v>
      </c>
    </row>
    <row r="1834" ht="15.75" customHeight="1">
      <c r="A1834" s="1" t="s">
        <v>3720</v>
      </c>
      <c r="B1834" s="1" t="s">
        <v>3721</v>
      </c>
      <c r="C1834" s="1" t="s">
        <v>12</v>
      </c>
      <c r="D1834" s="1" t="s">
        <v>3715</v>
      </c>
      <c r="E1834" s="4">
        <v>1015190.0</v>
      </c>
      <c r="F1834" s="2">
        <v>2.0</v>
      </c>
      <c r="G1834" s="2" t="s">
        <v>1</v>
      </c>
      <c r="H1834" s="2" t="s">
        <v>18</v>
      </c>
      <c r="I1834" s="2" t="s">
        <v>15</v>
      </c>
      <c r="J1834" s="2" t="s">
        <v>15</v>
      </c>
    </row>
    <row r="1835" ht="15.75" customHeight="1">
      <c r="A1835" s="1" t="s">
        <v>3722</v>
      </c>
      <c r="B1835" s="1" t="s">
        <v>3723</v>
      </c>
      <c r="C1835" s="1" t="s">
        <v>12</v>
      </c>
      <c r="D1835" s="1" t="s">
        <v>3715</v>
      </c>
      <c r="E1835" s="4">
        <v>1015190.0</v>
      </c>
      <c r="F1835" s="2">
        <v>3.0</v>
      </c>
      <c r="G1835" s="2" t="s">
        <v>1</v>
      </c>
      <c r="H1835" s="2" t="s">
        <v>14</v>
      </c>
      <c r="I1835" s="2" t="s">
        <v>15</v>
      </c>
      <c r="J1835" s="2" t="s">
        <v>15</v>
      </c>
    </row>
    <row r="1836" ht="15.75" customHeight="1">
      <c r="A1836" s="1" t="s">
        <v>3724</v>
      </c>
      <c r="B1836" s="1" t="s">
        <v>3725</v>
      </c>
      <c r="C1836" s="1" t="s">
        <v>12</v>
      </c>
      <c r="D1836" s="1" t="s">
        <v>3715</v>
      </c>
      <c r="E1836" s="4">
        <v>1015190.0</v>
      </c>
      <c r="F1836" s="2">
        <v>3.0</v>
      </c>
      <c r="G1836" s="2" t="s">
        <v>1</v>
      </c>
      <c r="H1836" s="2" t="s">
        <v>18</v>
      </c>
      <c r="I1836" s="2" t="s">
        <v>15</v>
      </c>
      <c r="J1836" s="2" t="s">
        <v>15</v>
      </c>
    </row>
    <row r="1837" ht="15.75" customHeight="1">
      <c r="A1837" s="1" t="s">
        <v>3726</v>
      </c>
      <c r="B1837" s="1" t="s">
        <v>3727</v>
      </c>
      <c r="C1837" s="1" t="s">
        <v>12</v>
      </c>
      <c r="D1837" s="1" t="s">
        <v>3715</v>
      </c>
      <c r="E1837" s="4">
        <v>1015190.0</v>
      </c>
      <c r="F1837" s="2" t="s">
        <v>30</v>
      </c>
      <c r="G1837" s="2" t="s">
        <v>1</v>
      </c>
      <c r="H1837" s="2" t="s">
        <v>14</v>
      </c>
      <c r="I1837" s="2" t="s">
        <v>15</v>
      </c>
      <c r="J1837" s="2" t="s">
        <v>15</v>
      </c>
    </row>
    <row r="1838" ht="15.75" customHeight="1">
      <c r="A1838" s="1" t="s">
        <v>3728</v>
      </c>
      <c r="B1838" s="1" t="s">
        <v>3729</v>
      </c>
      <c r="C1838" s="1" t="s">
        <v>12</v>
      </c>
      <c r="D1838" s="1" t="s">
        <v>3715</v>
      </c>
      <c r="E1838" s="4">
        <v>1015190.0</v>
      </c>
      <c r="F1838" s="2" t="s">
        <v>15</v>
      </c>
      <c r="G1838" s="2" t="s">
        <v>33</v>
      </c>
      <c r="H1838" s="2" t="s">
        <v>15</v>
      </c>
      <c r="I1838" s="2" t="s">
        <v>15</v>
      </c>
      <c r="J1838" s="2" t="s">
        <v>15</v>
      </c>
    </row>
    <row r="1839" ht="15.75" customHeight="1">
      <c r="A1839" s="1" t="s">
        <v>3730</v>
      </c>
      <c r="B1839" s="1" t="s">
        <v>3731</v>
      </c>
      <c r="C1839" s="1" t="s">
        <v>12</v>
      </c>
      <c r="D1839" s="1" t="s">
        <v>3732</v>
      </c>
      <c r="E1839" s="4">
        <v>1015254.0</v>
      </c>
      <c r="F1839" s="2">
        <v>2.0</v>
      </c>
      <c r="G1839" s="2" t="s">
        <v>1</v>
      </c>
      <c r="H1839" s="2" t="s">
        <v>14</v>
      </c>
      <c r="I1839" s="2" t="s">
        <v>15</v>
      </c>
      <c r="J1839" s="2" t="s">
        <v>15</v>
      </c>
    </row>
    <row r="1840" ht="15.75" customHeight="1">
      <c r="A1840" s="1" t="s">
        <v>3733</v>
      </c>
      <c r="B1840" s="1" t="s">
        <v>3734</v>
      </c>
      <c r="C1840" s="1" t="s">
        <v>12</v>
      </c>
      <c r="D1840" s="1" t="s">
        <v>3732</v>
      </c>
      <c r="E1840" s="4">
        <v>1015254.0</v>
      </c>
      <c r="F1840" s="2">
        <v>2.0</v>
      </c>
      <c r="G1840" s="2" t="s">
        <v>1</v>
      </c>
      <c r="H1840" s="2" t="s">
        <v>18</v>
      </c>
      <c r="I1840" s="2" t="s">
        <v>15</v>
      </c>
      <c r="J1840" s="2" t="s">
        <v>15</v>
      </c>
    </row>
    <row r="1841" ht="15.75" customHeight="1">
      <c r="A1841" s="1" t="s">
        <v>3735</v>
      </c>
      <c r="B1841" s="1" t="s">
        <v>3736</v>
      </c>
      <c r="C1841" s="1" t="s">
        <v>12</v>
      </c>
      <c r="D1841" s="1" t="s">
        <v>3732</v>
      </c>
      <c r="E1841" s="4">
        <v>1015254.0</v>
      </c>
      <c r="F1841" s="2">
        <v>3.0</v>
      </c>
      <c r="G1841" s="2" t="s">
        <v>1</v>
      </c>
      <c r="H1841" s="2" t="s">
        <v>14</v>
      </c>
      <c r="I1841" s="2" t="s">
        <v>15</v>
      </c>
      <c r="J1841" s="2" t="s">
        <v>15</v>
      </c>
    </row>
    <row r="1842" ht="15.75" customHeight="1">
      <c r="A1842" s="1" t="s">
        <v>3737</v>
      </c>
      <c r="B1842" s="1" t="s">
        <v>3738</v>
      </c>
      <c r="C1842" s="1" t="s">
        <v>12</v>
      </c>
      <c r="D1842" s="1" t="s">
        <v>3732</v>
      </c>
      <c r="E1842" s="4">
        <v>1015254.0</v>
      </c>
      <c r="F1842" s="2">
        <v>3.0</v>
      </c>
      <c r="G1842" s="2" t="s">
        <v>1</v>
      </c>
      <c r="H1842" s="2" t="s">
        <v>18</v>
      </c>
      <c r="I1842" s="2" t="s">
        <v>15</v>
      </c>
      <c r="J1842" s="2" t="s">
        <v>15</v>
      </c>
    </row>
    <row r="1843" ht="15.75" customHeight="1">
      <c r="A1843" s="1" t="s">
        <v>3739</v>
      </c>
      <c r="B1843" s="1" t="s">
        <v>3740</v>
      </c>
      <c r="C1843" s="1" t="s">
        <v>12</v>
      </c>
      <c r="D1843" s="1" t="s">
        <v>3732</v>
      </c>
      <c r="E1843" s="4">
        <v>1015254.0</v>
      </c>
      <c r="F1843" s="2" t="s">
        <v>30</v>
      </c>
      <c r="G1843" s="2" t="s">
        <v>1</v>
      </c>
      <c r="H1843" s="2" t="s">
        <v>14</v>
      </c>
      <c r="I1843" s="2" t="s">
        <v>15</v>
      </c>
      <c r="J1843" s="2" t="s">
        <v>15</v>
      </c>
    </row>
    <row r="1844" ht="15.75" customHeight="1">
      <c r="A1844" s="1" t="s">
        <v>3741</v>
      </c>
      <c r="B1844" s="1" t="s">
        <v>3742</v>
      </c>
      <c r="C1844" s="1" t="s">
        <v>12</v>
      </c>
      <c r="D1844" s="1" t="s">
        <v>3732</v>
      </c>
      <c r="E1844" s="4">
        <v>1015254.0</v>
      </c>
      <c r="F1844" s="2" t="s">
        <v>15</v>
      </c>
      <c r="G1844" s="2" t="s">
        <v>33</v>
      </c>
      <c r="H1844" s="2" t="s">
        <v>15</v>
      </c>
      <c r="I1844" s="2" t="s">
        <v>15</v>
      </c>
      <c r="J1844" s="2" t="s">
        <v>15</v>
      </c>
    </row>
    <row r="1845" ht="15.75" customHeight="1">
      <c r="A1845" s="1" t="s">
        <v>3743</v>
      </c>
      <c r="B1845" s="1" t="s">
        <v>3744</v>
      </c>
      <c r="C1845" s="1" t="s">
        <v>12</v>
      </c>
      <c r="D1845" s="1" t="s">
        <v>3745</v>
      </c>
      <c r="E1845" s="4">
        <v>1015318.0</v>
      </c>
      <c r="F1845" s="2">
        <v>1.0</v>
      </c>
      <c r="G1845" s="2" t="s">
        <v>1</v>
      </c>
      <c r="H1845" s="2" t="s">
        <v>14</v>
      </c>
      <c r="I1845" s="2" t="s">
        <v>15</v>
      </c>
      <c r="J1845" s="2" t="s">
        <v>15</v>
      </c>
    </row>
    <row r="1846" ht="15.75" customHeight="1">
      <c r="A1846" s="1" t="s">
        <v>3746</v>
      </c>
      <c r="B1846" s="1" t="s">
        <v>3747</v>
      </c>
      <c r="C1846" s="1" t="s">
        <v>12</v>
      </c>
      <c r="D1846" s="1" t="s">
        <v>3745</v>
      </c>
      <c r="E1846" s="4">
        <v>1015318.0</v>
      </c>
      <c r="F1846" s="2">
        <v>1.0</v>
      </c>
      <c r="G1846" s="2" t="s">
        <v>1</v>
      </c>
      <c r="H1846" s="2" t="s">
        <v>18</v>
      </c>
      <c r="I1846" s="2" t="s">
        <v>15</v>
      </c>
      <c r="J1846" s="2" t="s">
        <v>15</v>
      </c>
    </row>
    <row r="1847" ht="15.75" customHeight="1">
      <c r="A1847" s="1" t="s">
        <v>3748</v>
      </c>
      <c r="B1847" s="1" t="s">
        <v>3749</v>
      </c>
      <c r="C1847" s="1" t="s">
        <v>12</v>
      </c>
      <c r="D1847" s="1" t="s">
        <v>3745</v>
      </c>
      <c r="E1847" s="4">
        <v>1015318.0</v>
      </c>
      <c r="F1847" s="2">
        <v>2.0</v>
      </c>
      <c r="G1847" s="2" t="s">
        <v>1</v>
      </c>
      <c r="H1847" s="2" t="s">
        <v>14</v>
      </c>
      <c r="I1847" s="2" t="s">
        <v>15</v>
      </c>
      <c r="J1847" s="2" t="s">
        <v>15</v>
      </c>
    </row>
    <row r="1848" ht="15.75" customHeight="1">
      <c r="A1848" s="1" t="s">
        <v>3750</v>
      </c>
      <c r="B1848" s="1" t="s">
        <v>3751</v>
      </c>
      <c r="C1848" s="1" t="s">
        <v>12</v>
      </c>
      <c r="D1848" s="1" t="s">
        <v>3745</v>
      </c>
      <c r="E1848" s="4">
        <v>1015318.0</v>
      </c>
      <c r="F1848" s="2">
        <v>2.0</v>
      </c>
      <c r="G1848" s="2" t="s">
        <v>1</v>
      </c>
      <c r="H1848" s="2" t="s">
        <v>18</v>
      </c>
      <c r="I1848" s="2" t="s">
        <v>15</v>
      </c>
      <c r="J1848" s="2" t="s">
        <v>15</v>
      </c>
    </row>
    <row r="1849" ht="15.75" customHeight="1">
      <c r="A1849" s="1" t="s">
        <v>3752</v>
      </c>
      <c r="B1849" s="1" t="s">
        <v>3753</v>
      </c>
      <c r="C1849" s="1" t="s">
        <v>12</v>
      </c>
      <c r="D1849" s="1" t="s">
        <v>3745</v>
      </c>
      <c r="E1849" s="4">
        <v>1015318.0</v>
      </c>
      <c r="F1849" s="2">
        <v>3.0</v>
      </c>
      <c r="G1849" s="2" t="s">
        <v>1</v>
      </c>
      <c r="H1849" s="2" t="s">
        <v>14</v>
      </c>
      <c r="I1849" s="2" t="s">
        <v>15</v>
      </c>
      <c r="J1849" s="2" t="s">
        <v>15</v>
      </c>
    </row>
    <row r="1850" ht="15.75" customHeight="1">
      <c r="A1850" s="1" t="s">
        <v>3754</v>
      </c>
      <c r="B1850" s="1" t="s">
        <v>3755</v>
      </c>
      <c r="C1850" s="1" t="s">
        <v>12</v>
      </c>
      <c r="D1850" s="1" t="s">
        <v>3745</v>
      </c>
      <c r="E1850" s="4">
        <v>1015318.0</v>
      </c>
      <c r="F1850" s="2">
        <v>3.0</v>
      </c>
      <c r="G1850" s="2" t="s">
        <v>1</v>
      </c>
      <c r="H1850" s="2" t="s">
        <v>18</v>
      </c>
      <c r="I1850" s="2" t="s">
        <v>15</v>
      </c>
      <c r="J1850" s="2" t="s">
        <v>15</v>
      </c>
    </row>
    <row r="1851" ht="15.75" customHeight="1">
      <c r="A1851" s="1" t="s">
        <v>3756</v>
      </c>
      <c r="B1851" s="1" t="s">
        <v>3757</v>
      </c>
      <c r="C1851" s="1" t="s">
        <v>12</v>
      </c>
      <c r="D1851" s="1" t="s">
        <v>3745</v>
      </c>
      <c r="E1851" s="4">
        <v>1015318.0</v>
      </c>
      <c r="F1851" s="2" t="s">
        <v>30</v>
      </c>
      <c r="G1851" s="2" t="s">
        <v>1</v>
      </c>
      <c r="H1851" s="2" t="s">
        <v>14</v>
      </c>
      <c r="I1851" s="2" t="s">
        <v>15</v>
      </c>
      <c r="J1851" s="2" t="s">
        <v>15</v>
      </c>
    </row>
    <row r="1852" ht="15.75" customHeight="1">
      <c r="A1852" s="1" t="s">
        <v>3758</v>
      </c>
      <c r="B1852" s="1" t="s">
        <v>3759</v>
      </c>
      <c r="C1852" s="1" t="s">
        <v>12</v>
      </c>
      <c r="D1852" s="1" t="s">
        <v>3745</v>
      </c>
      <c r="E1852" s="4">
        <v>1015318.0</v>
      </c>
      <c r="F1852" s="2" t="s">
        <v>15</v>
      </c>
      <c r="G1852" s="2" t="s">
        <v>33</v>
      </c>
      <c r="H1852" s="2" t="s">
        <v>15</v>
      </c>
      <c r="I1852" s="2" t="s">
        <v>15</v>
      </c>
      <c r="J1852" s="2" t="s">
        <v>15</v>
      </c>
    </row>
    <row r="1853" ht="15.75" customHeight="1">
      <c r="A1853" s="1" t="s">
        <v>3760</v>
      </c>
      <c r="B1853" s="1" t="s">
        <v>3761</v>
      </c>
      <c r="C1853" s="1" t="s">
        <v>12</v>
      </c>
      <c r="D1853" s="1" t="s">
        <v>3762</v>
      </c>
      <c r="E1853" s="4">
        <v>1015382.0</v>
      </c>
      <c r="F1853" s="2">
        <v>1.0</v>
      </c>
      <c r="G1853" s="2" t="s">
        <v>1</v>
      </c>
      <c r="H1853" s="2" t="s">
        <v>14</v>
      </c>
      <c r="I1853" s="2" t="s">
        <v>15</v>
      </c>
      <c r="J1853" s="2" t="s">
        <v>15</v>
      </c>
    </row>
    <row r="1854" ht="15.75" customHeight="1">
      <c r="A1854" s="1" t="s">
        <v>3763</v>
      </c>
      <c r="B1854" s="1" t="s">
        <v>3764</v>
      </c>
      <c r="C1854" s="1" t="s">
        <v>12</v>
      </c>
      <c r="D1854" s="1" t="s">
        <v>3762</v>
      </c>
      <c r="E1854" s="4">
        <v>1015382.0</v>
      </c>
      <c r="F1854" s="2">
        <v>1.0</v>
      </c>
      <c r="G1854" s="2" t="s">
        <v>1</v>
      </c>
      <c r="H1854" s="2" t="s">
        <v>18</v>
      </c>
      <c r="I1854" s="2" t="s">
        <v>15</v>
      </c>
      <c r="J1854" s="2" t="s">
        <v>15</v>
      </c>
    </row>
    <row r="1855" ht="15.75" customHeight="1">
      <c r="A1855" s="1" t="s">
        <v>3765</v>
      </c>
      <c r="B1855" s="1" t="s">
        <v>3766</v>
      </c>
      <c r="C1855" s="1" t="s">
        <v>12</v>
      </c>
      <c r="D1855" s="1" t="s">
        <v>3762</v>
      </c>
      <c r="E1855" s="4">
        <v>1015382.0</v>
      </c>
      <c r="F1855" s="2">
        <v>2.0</v>
      </c>
      <c r="G1855" s="2" t="s">
        <v>1</v>
      </c>
      <c r="H1855" s="2" t="s">
        <v>14</v>
      </c>
      <c r="I1855" s="2" t="s">
        <v>15</v>
      </c>
      <c r="J1855" s="2" t="s">
        <v>15</v>
      </c>
    </row>
    <row r="1856" ht="15.75" customHeight="1">
      <c r="A1856" s="1" t="s">
        <v>3767</v>
      </c>
      <c r="B1856" s="1" t="s">
        <v>3768</v>
      </c>
      <c r="C1856" s="1" t="s">
        <v>12</v>
      </c>
      <c r="D1856" s="1" t="s">
        <v>3762</v>
      </c>
      <c r="E1856" s="4">
        <v>1015382.0</v>
      </c>
      <c r="F1856" s="2">
        <v>2.0</v>
      </c>
      <c r="G1856" s="2" t="s">
        <v>1</v>
      </c>
      <c r="H1856" s="2" t="s">
        <v>18</v>
      </c>
      <c r="I1856" s="2" t="s">
        <v>15</v>
      </c>
      <c r="J1856" s="2" t="s">
        <v>15</v>
      </c>
    </row>
    <row r="1857" ht="15.75" customHeight="1">
      <c r="A1857" s="1" t="s">
        <v>3769</v>
      </c>
      <c r="B1857" s="1" t="s">
        <v>3770</v>
      </c>
      <c r="C1857" s="1" t="s">
        <v>12</v>
      </c>
      <c r="D1857" s="1" t="s">
        <v>3762</v>
      </c>
      <c r="E1857" s="4">
        <v>1015382.0</v>
      </c>
      <c r="F1857" s="2">
        <v>3.0</v>
      </c>
      <c r="G1857" s="2" t="s">
        <v>1</v>
      </c>
      <c r="H1857" s="2" t="s">
        <v>14</v>
      </c>
      <c r="I1857" s="2" t="s">
        <v>15</v>
      </c>
      <c r="J1857" s="2" t="s">
        <v>15</v>
      </c>
    </row>
    <row r="1858" ht="15.75" customHeight="1">
      <c r="A1858" s="1" t="s">
        <v>3771</v>
      </c>
      <c r="B1858" s="1" t="s">
        <v>3772</v>
      </c>
      <c r="C1858" s="1" t="s">
        <v>12</v>
      </c>
      <c r="D1858" s="1" t="s">
        <v>3762</v>
      </c>
      <c r="E1858" s="4">
        <v>1015382.0</v>
      </c>
      <c r="F1858" s="2">
        <v>3.0</v>
      </c>
      <c r="G1858" s="2" t="s">
        <v>1</v>
      </c>
      <c r="H1858" s="2" t="s">
        <v>18</v>
      </c>
      <c r="I1858" s="2" t="s">
        <v>15</v>
      </c>
      <c r="J1858" s="2" t="s">
        <v>15</v>
      </c>
    </row>
    <row r="1859" ht="15.75" customHeight="1">
      <c r="A1859" s="1" t="s">
        <v>3773</v>
      </c>
      <c r="B1859" s="1" t="s">
        <v>3774</v>
      </c>
      <c r="C1859" s="1" t="s">
        <v>12</v>
      </c>
      <c r="D1859" s="1" t="s">
        <v>3762</v>
      </c>
      <c r="E1859" s="4">
        <v>1015382.0</v>
      </c>
      <c r="F1859" s="2" t="s">
        <v>30</v>
      </c>
      <c r="G1859" s="2" t="s">
        <v>1</v>
      </c>
      <c r="H1859" s="2" t="s">
        <v>14</v>
      </c>
      <c r="I1859" s="2" t="s">
        <v>15</v>
      </c>
      <c r="J1859" s="2" t="s">
        <v>15</v>
      </c>
    </row>
    <row r="1860" ht="15.75" customHeight="1">
      <c r="A1860" s="1" t="s">
        <v>3775</v>
      </c>
      <c r="B1860" s="1" t="s">
        <v>3776</v>
      </c>
      <c r="C1860" s="1" t="s">
        <v>12</v>
      </c>
      <c r="D1860" s="1" t="s">
        <v>3762</v>
      </c>
      <c r="E1860" s="4">
        <v>1015382.0</v>
      </c>
      <c r="F1860" s="2" t="s">
        <v>15</v>
      </c>
      <c r="G1860" s="2" t="s">
        <v>33</v>
      </c>
      <c r="H1860" s="2" t="s">
        <v>15</v>
      </c>
      <c r="I1860" s="2" t="s">
        <v>15</v>
      </c>
      <c r="J1860" s="2" t="s">
        <v>15</v>
      </c>
    </row>
    <row r="1861" ht="15.75" customHeight="1">
      <c r="A1861" s="1" t="s">
        <v>3777</v>
      </c>
      <c r="B1861" s="1" t="s">
        <v>3778</v>
      </c>
      <c r="C1861" s="1" t="s">
        <v>12</v>
      </c>
      <c r="D1861" s="1" t="s">
        <v>3779</v>
      </c>
      <c r="E1861" s="4">
        <v>1015446.0</v>
      </c>
      <c r="F1861" s="2" t="s">
        <v>36</v>
      </c>
      <c r="G1861" s="2" t="s">
        <v>1</v>
      </c>
      <c r="H1861" s="2" t="s">
        <v>14</v>
      </c>
      <c r="I1861" s="2" t="s">
        <v>15</v>
      </c>
      <c r="J1861" s="2" t="s">
        <v>15</v>
      </c>
    </row>
    <row r="1862" ht="15.75" customHeight="1">
      <c r="A1862" s="1" t="s">
        <v>3780</v>
      </c>
      <c r="B1862" s="1" t="s">
        <v>3781</v>
      </c>
      <c r="C1862" s="1" t="s">
        <v>12</v>
      </c>
      <c r="D1862" s="1" t="s">
        <v>3779</v>
      </c>
      <c r="E1862" s="4">
        <v>1015446.0</v>
      </c>
      <c r="F1862" s="2" t="s">
        <v>36</v>
      </c>
      <c r="G1862" s="2" t="s">
        <v>1</v>
      </c>
      <c r="H1862" s="2" t="s">
        <v>18</v>
      </c>
      <c r="I1862" s="2" t="s">
        <v>15</v>
      </c>
      <c r="J1862" s="2" t="s">
        <v>15</v>
      </c>
    </row>
    <row r="1863" ht="15.75" customHeight="1">
      <c r="A1863" s="1" t="s">
        <v>3782</v>
      </c>
      <c r="B1863" s="1" t="s">
        <v>3783</v>
      </c>
      <c r="C1863" s="1" t="s">
        <v>12</v>
      </c>
      <c r="D1863" s="1" t="s">
        <v>3779</v>
      </c>
      <c r="E1863" s="4">
        <v>1015446.0</v>
      </c>
      <c r="F1863" s="2">
        <v>1.0</v>
      </c>
      <c r="G1863" s="2" t="s">
        <v>1</v>
      </c>
      <c r="H1863" s="2" t="s">
        <v>14</v>
      </c>
      <c r="I1863" s="2" t="s">
        <v>15</v>
      </c>
      <c r="J1863" s="2" t="s">
        <v>15</v>
      </c>
    </row>
    <row r="1864" ht="15.75" customHeight="1">
      <c r="A1864" s="1" t="s">
        <v>3784</v>
      </c>
      <c r="B1864" s="1" t="s">
        <v>3785</v>
      </c>
      <c r="C1864" s="1" t="s">
        <v>12</v>
      </c>
      <c r="D1864" s="1" t="s">
        <v>3779</v>
      </c>
      <c r="E1864" s="4">
        <v>1015446.0</v>
      </c>
      <c r="F1864" s="2">
        <v>1.0</v>
      </c>
      <c r="G1864" s="2" t="s">
        <v>1</v>
      </c>
      <c r="H1864" s="2" t="s">
        <v>18</v>
      </c>
      <c r="I1864" s="2" t="s">
        <v>15</v>
      </c>
      <c r="J1864" s="2" t="s">
        <v>15</v>
      </c>
    </row>
    <row r="1865" ht="15.75" customHeight="1">
      <c r="A1865" s="1" t="s">
        <v>3786</v>
      </c>
      <c r="B1865" s="1" t="s">
        <v>3787</v>
      </c>
      <c r="C1865" s="1" t="s">
        <v>12</v>
      </c>
      <c r="D1865" s="1" t="s">
        <v>3779</v>
      </c>
      <c r="E1865" s="4">
        <v>1015446.0</v>
      </c>
      <c r="F1865" s="2">
        <v>2.0</v>
      </c>
      <c r="G1865" s="2" t="s">
        <v>1</v>
      </c>
      <c r="H1865" s="2" t="s">
        <v>14</v>
      </c>
      <c r="I1865" s="2" t="s">
        <v>15</v>
      </c>
      <c r="J1865" s="2" t="s">
        <v>15</v>
      </c>
    </row>
    <row r="1866" ht="15.75" customHeight="1">
      <c r="A1866" s="1" t="s">
        <v>3788</v>
      </c>
      <c r="B1866" s="1" t="s">
        <v>3789</v>
      </c>
      <c r="C1866" s="1" t="s">
        <v>12</v>
      </c>
      <c r="D1866" s="1" t="s">
        <v>3779</v>
      </c>
      <c r="E1866" s="4">
        <v>1015446.0</v>
      </c>
      <c r="F1866" s="2">
        <v>2.0</v>
      </c>
      <c r="G1866" s="2" t="s">
        <v>1</v>
      </c>
      <c r="H1866" s="2" t="s">
        <v>18</v>
      </c>
      <c r="I1866" s="2" t="s">
        <v>15</v>
      </c>
      <c r="J1866" s="2" t="s">
        <v>15</v>
      </c>
    </row>
    <row r="1867" ht="15.75" customHeight="1">
      <c r="A1867" s="1" t="s">
        <v>3790</v>
      </c>
      <c r="B1867" s="1" t="s">
        <v>3791</v>
      </c>
      <c r="C1867" s="1" t="s">
        <v>12</v>
      </c>
      <c r="D1867" s="1" t="s">
        <v>3779</v>
      </c>
      <c r="E1867" s="4">
        <v>1015446.0</v>
      </c>
      <c r="F1867" s="2">
        <v>3.0</v>
      </c>
      <c r="G1867" s="2" t="s">
        <v>1</v>
      </c>
      <c r="H1867" s="2" t="s">
        <v>14</v>
      </c>
      <c r="I1867" s="2" t="s">
        <v>15</v>
      </c>
      <c r="J1867" s="2" t="s">
        <v>15</v>
      </c>
    </row>
    <row r="1868" ht="15.75" customHeight="1">
      <c r="A1868" s="1" t="s">
        <v>3792</v>
      </c>
      <c r="B1868" s="1" t="s">
        <v>3793</v>
      </c>
      <c r="C1868" s="1" t="s">
        <v>12</v>
      </c>
      <c r="D1868" s="1" t="s">
        <v>3779</v>
      </c>
      <c r="E1868" s="4">
        <v>1015446.0</v>
      </c>
      <c r="F1868" s="2">
        <v>3.0</v>
      </c>
      <c r="G1868" s="2" t="s">
        <v>1</v>
      </c>
      <c r="H1868" s="2" t="s">
        <v>18</v>
      </c>
      <c r="I1868" s="2" t="s">
        <v>15</v>
      </c>
      <c r="J1868" s="2" t="s">
        <v>15</v>
      </c>
    </row>
    <row r="1869" ht="15.75" customHeight="1">
      <c r="A1869" s="1" t="s">
        <v>3794</v>
      </c>
      <c r="B1869" s="1" t="s">
        <v>3795</v>
      </c>
      <c r="C1869" s="1" t="s">
        <v>12</v>
      </c>
      <c r="D1869" s="1" t="s">
        <v>3779</v>
      </c>
      <c r="E1869" s="4">
        <v>1015446.0</v>
      </c>
      <c r="F1869" s="2" t="s">
        <v>30</v>
      </c>
      <c r="G1869" s="2" t="s">
        <v>1</v>
      </c>
      <c r="H1869" s="2" t="s">
        <v>14</v>
      </c>
      <c r="I1869" s="2" t="s">
        <v>15</v>
      </c>
      <c r="J1869" s="2" t="s">
        <v>15</v>
      </c>
    </row>
    <row r="1870" ht="15.75" customHeight="1">
      <c r="A1870" s="1" t="s">
        <v>3796</v>
      </c>
      <c r="B1870" s="1" t="s">
        <v>3797</v>
      </c>
      <c r="C1870" s="1" t="s">
        <v>12</v>
      </c>
      <c r="D1870" s="1" t="s">
        <v>3779</v>
      </c>
      <c r="E1870" s="4">
        <v>1015446.0</v>
      </c>
      <c r="F1870" s="2" t="s">
        <v>15</v>
      </c>
      <c r="G1870" s="2" t="s">
        <v>33</v>
      </c>
      <c r="H1870" s="2" t="s">
        <v>15</v>
      </c>
      <c r="I1870" s="2" t="s">
        <v>15</v>
      </c>
      <c r="J1870" s="2" t="s">
        <v>15</v>
      </c>
    </row>
    <row r="1871" ht="15.75" customHeight="1">
      <c r="A1871" s="1" t="s">
        <v>3798</v>
      </c>
      <c r="B1871" s="1" t="s">
        <v>3799</v>
      </c>
      <c r="C1871" s="1" t="s">
        <v>12</v>
      </c>
      <c r="D1871" s="1" t="s">
        <v>3800</v>
      </c>
      <c r="E1871" s="4">
        <v>1015510.0</v>
      </c>
      <c r="F1871" s="2">
        <v>1.0</v>
      </c>
      <c r="G1871" s="2" t="s">
        <v>1</v>
      </c>
      <c r="H1871" s="2" t="s">
        <v>14</v>
      </c>
      <c r="I1871" s="2" t="s">
        <v>15</v>
      </c>
      <c r="J1871" s="2" t="s">
        <v>15</v>
      </c>
    </row>
    <row r="1872" ht="15.75" customHeight="1">
      <c r="A1872" s="1" t="s">
        <v>3801</v>
      </c>
      <c r="B1872" s="1" t="s">
        <v>3802</v>
      </c>
      <c r="C1872" s="1" t="s">
        <v>12</v>
      </c>
      <c r="D1872" s="1" t="s">
        <v>3800</v>
      </c>
      <c r="E1872" s="4">
        <v>1015510.0</v>
      </c>
      <c r="F1872" s="2">
        <v>1.0</v>
      </c>
      <c r="G1872" s="2" t="s">
        <v>1</v>
      </c>
      <c r="H1872" s="2" t="s">
        <v>18</v>
      </c>
      <c r="I1872" s="2" t="s">
        <v>15</v>
      </c>
      <c r="J1872" s="2" t="s">
        <v>15</v>
      </c>
    </row>
    <row r="1873" ht="15.75" customHeight="1">
      <c r="A1873" s="1" t="s">
        <v>3803</v>
      </c>
      <c r="B1873" s="1" t="s">
        <v>3804</v>
      </c>
      <c r="C1873" s="1" t="s">
        <v>12</v>
      </c>
      <c r="D1873" s="1" t="s">
        <v>3800</v>
      </c>
      <c r="E1873" s="4">
        <v>1015510.0</v>
      </c>
      <c r="F1873" s="2">
        <v>2.0</v>
      </c>
      <c r="G1873" s="2" t="s">
        <v>1</v>
      </c>
      <c r="H1873" s="2" t="s">
        <v>14</v>
      </c>
      <c r="I1873" s="2" t="s">
        <v>15</v>
      </c>
      <c r="J1873" s="2" t="s">
        <v>15</v>
      </c>
    </row>
    <row r="1874" ht="15.75" customHeight="1">
      <c r="A1874" s="1" t="s">
        <v>3805</v>
      </c>
      <c r="B1874" s="1" t="s">
        <v>3806</v>
      </c>
      <c r="C1874" s="1" t="s">
        <v>12</v>
      </c>
      <c r="D1874" s="1" t="s">
        <v>3800</v>
      </c>
      <c r="E1874" s="4">
        <v>1015510.0</v>
      </c>
      <c r="F1874" s="2">
        <v>2.0</v>
      </c>
      <c r="G1874" s="2" t="s">
        <v>1</v>
      </c>
      <c r="H1874" s="2" t="s">
        <v>18</v>
      </c>
      <c r="I1874" s="2" t="s">
        <v>15</v>
      </c>
      <c r="J1874" s="2" t="s">
        <v>15</v>
      </c>
    </row>
    <row r="1875" ht="15.75" customHeight="1">
      <c r="A1875" s="1" t="s">
        <v>3807</v>
      </c>
      <c r="B1875" s="1" t="s">
        <v>3808</v>
      </c>
      <c r="C1875" s="1" t="s">
        <v>12</v>
      </c>
      <c r="D1875" s="1" t="s">
        <v>3800</v>
      </c>
      <c r="E1875" s="4">
        <v>1015510.0</v>
      </c>
      <c r="F1875" s="2" t="s">
        <v>30</v>
      </c>
      <c r="G1875" s="2" t="s">
        <v>1</v>
      </c>
      <c r="H1875" s="2" t="s">
        <v>14</v>
      </c>
      <c r="I1875" s="2" t="s">
        <v>15</v>
      </c>
      <c r="J1875" s="2" t="s">
        <v>15</v>
      </c>
    </row>
    <row r="1876" ht="15.75" customHeight="1">
      <c r="A1876" s="1" t="s">
        <v>3809</v>
      </c>
      <c r="B1876" s="1" t="s">
        <v>3810</v>
      </c>
      <c r="C1876" s="1" t="s">
        <v>12</v>
      </c>
      <c r="D1876" s="1" t="s">
        <v>3800</v>
      </c>
      <c r="E1876" s="4">
        <v>1015510.0</v>
      </c>
      <c r="F1876" s="2" t="s">
        <v>15</v>
      </c>
      <c r="G1876" s="2" t="s">
        <v>33</v>
      </c>
      <c r="H1876" s="2" t="s">
        <v>15</v>
      </c>
      <c r="I1876" s="2" t="s">
        <v>15</v>
      </c>
      <c r="J1876" s="2" t="s">
        <v>15</v>
      </c>
    </row>
    <row r="1877" ht="15.75" customHeight="1">
      <c r="A1877" s="1" t="s">
        <v>3811</v>
      </c>
      <c r="B1877" s="1" t="s">
        <v>3812</v>
      </c>
      <c r="C1877" s="1" t="s">
        <v>12</v>
      </c>
      <c r="D1877" s="1" t="s">
        <v>3813</v>
      </c>
      <c r="E1877" s="4">
        <v>1015574.0</v>
      </c>
      <c r="F1877" s="2">
        <v>1.0</v>
      </c>
      <c r="G1877" s="2" t="s">
        <v>1</v>
      </c>
      <c r="H1877" s="2" t="s">
        <v>14</v>
      </c>
      <c r="I1877" s="2" t="s">
        <v>15</v>
      </c>
      <c r="J1877" s="2" t="s">
        <v>15</v>
      </c>
    </row>
    <row r="1878" ht="15.75" customHeight="1">
      <c r="A1878" s="1" t="s">
        <v>3814</v>
      </c>
      <c r="B1878" s="1" t="s">
        <v>3815</v>
      </c>
      <c r="C1878" s="1" t="s">
        <v>12</v>
      </c>
      <c r="D1878" s="1" t="s">
        <v>3813</v>
      </c>
      <c r="E1878" s="4">
        <v>1015574.0</v>
      </c>
      <c r="F1878" s="2">
        <v>1.0</v>
      </c>
      <c r="G1878" s="2" t="s">
        <v>1</v>
      </c>
      <c r="H1878" s="2" t="s">
        <v>18</v>
      </c>
      <c r="I1878" s="2" t="s">
        <v>15</v>
      </c>
      <c r="J1878" s="2" t="s">
        <v>15</v>
      </c>
    </row>
    <row r="1879" ht="15.75" customHeight="1">
      <c r="A1879" s="1" t="s">
        <v>3816</v>
      </c>
      <c r="B1879" s="1" t="s">
        <v>3817</v>
      </c>
      <c r="C1879" s="1" t="s">
        <v>12</v>
      </c>
      <c r="D1879" s="1" t="s">
        <v>3813</v>
      </c>
      <c r="E1879" s="4">
        <v>1015574.0</v>
      </c>
      <c r="F1879" s="2">
        <v>2.0</v>
      </c>
      <c r="G1879" s="2" t="s">
        <v>1</v>
      </c>
      <c r="H1879" s="2" t="s">
        <v>14</v>
      </c>
      <c r="I1879" s="2" t="s">
        <v>15</v>
      </c>
      <c r="J1879" s="2" t="s">
        <v>15</v>
      </c>
    </row>
    <row r="1880" ht="15.75" customHeight="1">
      <c r="A1880" s="1" t="s">
        <v>3818</v>
      </c>
      <c r="B1880" s="1" t="s">
        <v>3819</v>
      </c>
      <c r="C1880" s="1" t="s">
        <v>12</v>
      </c>
      <c r="D1880" s="1" t="s">
        <v>3813</v>
      </c>
      <c r="E1880" s="4">
        <v>1015574.0</v>
      </c>
      <c r="F1880" s="2">
        <v>2.0</v>
      </c>
      <c r="G1880" s="2" t="s">
        <v>1</v>
      </c>
      <c r="H1880" s="2" t="s">
        <v>18</v>
      </c>
      <c r="I1880" s="2" t="s">
        <v>15</v>
      </c>
      <c r="J1880" s="2" t="s">
        <v>15</v>
      </c>
    </row>
    <row r="1881" ht="15.75" customHeight="1">
      <c r="A1881" s="1" t="s">
        <v>3820</v>
      </c>
      <c r="B1881" s="1" t="s">
        <v>3821</v>
      </c>
      <c r="C1881" s="1" t="s">
        <v>12</v>
      </c>
      <c r="D1881" s="1" t="s">
        <v>3813</v>
      </c>
      <c r="E1881" s="4">
        <v>1015574.0</v>
      </c>
      <c r="F1881" s="2">
        <v>3.0</v>
      </c>
      <c r="G1881" s="2" t="s">
        <v>1</v>
      </c>
      <c r="H1881" s="2" t="s">
        <v>14</v>
      </c>
      <c r="I1881" s="2" t="s">
        <v>15</v>
      </c>
      <c r="J1881" s="2" t="s">
        <v>15</v>
      </c>
    </row>
    <row r="1882" ht="15.75" customHeight="1">
      <c r="A1882" s="1" t="s">
        <v>3822</v>
      </c>
      <c r="B1882" s="1" t="s">
        <v>3823</v>
      </c>
      <c r="C1882" s="1" t="s">
        <v>12</v>
      </c>
      <c r="D1882" s="1" t="s">
        <v>3813</v>
      </c>
      <c r="E1882" s="4">
        <v>1015574.0</v>
      </c>
      <c r="F1882" s="2">
        <v>3.0</v>
      </c>
      <c r="G1882" s="2" t="s">
        <v>1</v>
      </c>
      <c r="H1882" s="2" t="s">
        <v>18</v>
      </c>
      <c r="I1882" s="2" t="s">
        <v>15</v>
      </c>
      <c r="J1882" s="2" t="s">
        <v>15</v>
      </c>
    </row>
    <row r="1883" ht="15.75" customHeight="1">
      <c r="A1883" s="1" t="s">
        <v>3824</v>
      </c>
      <c r="B1883" s="1" t="s">
        <v>3825</v>
      </c>
      <c r="C1883" s="1" t="s">
        <v>12</v>
      </c>
      <c r="D1883" s="1" t="s">
        <v>3813</v>
      </c>
      <c r="E1883" s="4">
        <v>1015574.0</v>
      </c>
      <c r="F1883" s="2" t="s">
        <v>2490</v>
      </c>
      <c r="G1883" s="2" t="s">
        <v>1</v>
      </c>
      <c r="H1883" s="2" t="s">
        <v>14</v>
      </c>
      <c r="I1883" s="2" t="s">
        <v>15</v>
      </c>
      <c r="J1883" s="2" t="s">
        <v>15</v>
      </c>
    </row>
    <row r="1884" ht="15.75" customHeight="1">
      <c r="A1884" s="1" t="s">
        <v>3826</v>
      </c>
      <c r="B1884" s="1" t="s">
        <v>3827</v>
      </c>
      <c r="C1884" s="1" t="s">
        <v>12</v>
      </c>
      <c r="D1884" s="1" t="s">
        <v>3813</v>
      </c>
      <c r="E1884" s="4">
        <v>1015574.0</v>
      </c>
      <c r="F1884" s="2" t="s">
        <v>2490</v>
      </c>
      <c r="G1884" s="2" t="s">
        <v>1</v>
      </c>
      <c r="H1884" s="2" t="s">
        <v>18</v>
      </c>
      <c r="I1884" s="2" t="s">
        <v>15</v>
      </c>
      <c r="J1884" s="2" t="s">
        <v>15</v>
      </c>
    </row>
    <row r="1885" ht="15.75" customHeight="1">
      <c r="A1885" s="1" t="s">
        <v>3828</v>
      </c>
      <c r="B1885" s="1" t="s">
        <v>3829</v>
      </c>
      <c r="C1885" s="1" t="s">
        <v>12</v>
      </c>
      <c r="D1885" s="1" t="s">
        <v>3813</v>
      </c>
      <c r="E1885" s="4">
        <v>1015574.0</v>
      </c>
      <c r="F1885" s="2" t="s">
        <v>30</v>
      </c>
      <c r="G1885" s="2" t="s">
        <v>1</v>
      </c>
      <c r="H1885" s="2" t="s">
        <v>14</v>
      </c>
      <c r="I1885" s="2" t="s">
        <v>15</v>
      </c>
      <c r="J1885" s="2" t="s">
        <v>15</v>
      </c>
    </row>
    <row r="1886" ht="15.75" customHeight="1">
      <c r="A1886" s="1" t="s">
        <v>3830</v>
      </c>
      <c r="B1886" s="1" t="s">
        <v>3831</v>
      </c>
      <c r="C1886" s="1" t="s">
        <v>12</v>
      </c>
      <c r="D1886" s="1" t="s">
        <v>3813</v>
      </c>
      <c r="E1886" s="4">
        <v>1015574.0</v>
      </c>
      <c r="F1886" s="2" t="s">
        <v>15</v>
      </c>
      <c r="G1886" s="2" t="s">
        <v>33</v>
      </c>
      <c r="H1886" s="2" t="s">
        <v>15</v>
      </c>
      <c r="I1886" s="2" t="s">
        <v>15</v>
      </c>
      <c r="J1886" s="2" t="s">
        <v>15</v>
      </c>
    </row>
    <row r="1887" ht="15.75" customHeight="1">
      <c r="A1887" s="1" t="s">
        <v>3832</v>
      </c>
      <c r="B1887" s="1" t="s">
        <v>3833</v>
      </c>
      <c r="C1887" s="1" t="s">
        <v>12</v>
      </c>
      <c r="D1887" s="1" t="s">
        <v>3834</v>
      </c>
      <c r="E1887" s="4">
        <v>1015638.0</v>
      </c>
      <c r="F1887" s="2" t="s">
        <v>2490</v>
      </c>
      <c r="G1887" s="2" t="s">
        <v>1</v>
      </c>
      <c r="H1887" s="2" t="s">
        <v>14</v>
      </c>
      <c r="I1887" s="2" t="s">
        <v>15</v>
      </c>
      <c r="J1887" s="2" t="s">
        <v>15</v>
      </c>
    </row>
    <row r="1888" ht="15.75" customHeight="1">
      <c r="A1888" s="1" t="s">
        <v>3835</v>
      </c>
      <c r="B1888" s="1" t="s">
        <v>3836</v>
      </c>
      <c r="C1888" s="1" t="s">
        <v>12</v>
      </c>
      <c r="D1888" s="1" t="s">
        <v>3834</v>
      </c>
      <c r="E1888" s="4">
        <v>1015638.0</v>
      </c>
      <c r="F1888" s="2" t="s">
        <v>2490</v>
      </c>
      <c r="G1888" s="2" t="s">
        <v>1</v>
      </c>
      <c r="H1888" s="2" t="s">
        <v>18</v>
      </c>
      <c r="I1888" s="2" t="s">
        <v>15</v>
      </c>
      <c r="J1888" s="2" t="s">
        <v>15</v>
      </c>
    </row>
    <row r="1889" ht="15.75" customHeight="1">
      <c r="A1889" s="1" t="s">
        <v>3837</v>
      </c>
      <c r="B1889" s="1" t="s">
        <v>3838</v>
      </c>
      <c r="C1889" s="1" t="s">
        <v>12</v>
      </c>
      <c r="D1889" s="1" t="s">
        <v>3834</v>
      </c>
      <c r="E1889" s="4">
        <v>1015638.0</v>
      </c>
      <c r="F1889" s="2" t="s">
        <v>15</v>
      </c>
      <c r="G1889" s="2" t="s">
        <v>33</v>
      </c>
      <c r="H1889" s="2" t="s">
        <v>15</v>
      </c>
      <c r="I1889" s="2" t="s">
        <v>15</v>
      </c>
      <c r="J1889" s="2" t="s">
        <v>15</v>
      </c>
    </row>
    <row r="1890" ht="15.75" customHeight="1">
      <c r="A1890" s="1" t="s">
        <v>3839</v>
      </c>
      <c r="B1890" s="1" t="s">
        <v>3840</v>
      </c>
      <c r="C1890" s="1" t="s">
        <v>12</v>
      </c>
      <c r="D1890" s="1" t="s">
        <v>3841</v>
      </c>
      <c r="E1890" s="4">
        <v>1015702.0</v>
      </c>
      <c r="F1890" s="2" t="s">
        <v>2490</v>
      </c>
      <c r="G1890" s="2" t="s">
        <v>1</v>
      </c>
      <c r="H1890" s="2" t="s">
        <v>14</v>
      </c>
      <c r="I1890" s="2" t="s">
        <v>15</v>
      </c>
      <c r="J1890" s="2" t="s">
        <v>15</v>
      </c>
    </row>
    <row r="1891" ht="15.75" customHeight="1">
      <c r="A1891" s="1" t="s">
        <v>3842</v>
      </c>
      <c r="B1891" s="1" t="s">
        <v>3843</v>
      </c>
      <c r="C1891" s="1" t="s">
        <v>12</v>
      </c>
      <c r="D1891" s="1" t="s">
        <v>3841</v>
      </c>
      <c r="E1891" s="4">
        <v>1015702.0</v>
      </c>
      <c r="F1891" s="2" t="s">
        <v>2490</v>
      </c>
      <c r="G1891" s="2" t="s">
        <v>1</v>
      </c>
      <c r="H1891" s="2" t="s">
        <v>18</v>
      </c>
      <c r="I1891" s="2" t="s">
        <v>15</v>
      </c>
      <c r="J1891" s="2" t="s">
        <v>15</v>
      </c>
    </row>
    <row r="1892" ht="15.75" customHeight="1">
      <c r="A1892" s="1" t="s">
        <v>3844</v>
      </c>
      <c r="B1892" s="1" t="s">
        <v>3845</v>
      </c>
      <c r="C1892" s="1" t="s">
        <v>12</v>
      </c>
      <c r="D1892" s="1" t="s">
        <v>3841</v>
      </c>
      <c r="E1892" s="4">
        <v>1015702.0</v>
      </c>
      <c r="F1892" s="2" t="s">
        <v>15</v>
      </c>
      <c r="G1892" s="2" t="s">
        <v>33</v>
      </c>
      <c r="H1892" s="2" t="s">
        <v>15</v>
      </c>
      <c r="I1892" s="2" t="s">
        <v>15</v>
      </c>
      <c r="J1892" s="2" t="s">
        <v>15</v>
      </c>
    </row>
    <row r="1893" ht="15.75" customHeight="1">
      <c r="A1893" s="1" t="s">
        <v>3846</v>
      </c>
      <c r="B1893" s="1" t="s">
        <v>3847</v>
      </c>
      <c r="C1893" s="1" t="s">
        <v>12</v>
      </c>
      <c r="D1893" s="1" t="s">
        <v>3848</v>
      </c>
      <c r="E1893" s="4">
        <v>1015766.0</v>
      </c>
      <c r="F1893" s="2">
        <v>1.0</v>
      </c>
      <c r="G1893" s="2" t="s">
        <v>1</v>
      </c>
      <c r="H1893" s="2" t="s">
        <v>14</v>
      </c>
      <c r="I1893" s="5" t="str">
        <f>IFERROR(
  MID(
    SUBSTITUTE(B1893, CHAR(10), ""),
    FIND("_Gross ROI=", SUBSTITUTE(B1893, CHAR(10), "")) + LEN("_Gross ROI="),
    FIND("%", SUBSTITUTE(B1893, CHAR(10), ""), FIND("_Gross ROI=", SUBSTITUTE(B1893, CHAR(10), "")))
      - FIND("_Gross ROI=", SUBSTITUTE(B1893, CHAR(10), "")) - LEN("_Gross ROI=") + 1
  ),
  ""
)</f>
        <v>7.29%</v>
      </c>
      <c r="J1893" s="5" t="str">
        <f>IFERROR(
  MID(
    SUBSTITUTE(B1893, CHAR(10), ""),
    FIND("_Median annual rent=", SUBSTITUTE(B1893, CHAR(10), "")) + LEN("_Median annual rent="),
    FIND("K", SUBSTITUTE(B1893, CHAR(10), ""), FIND("_Median annual rent=", SUBSTITUTE(B1893, CHAR(10), "")))
      - FIND("_Median annual rent=", SUBSTITUTE(B1893, CHAR(10), "")) - LEN("_Median annual rent=") + 1
  ),
  "")</f>
        <v>100K</v>
      </c>
    </row>
    <row r="1894" ht="15.75" customHeight="1">
      <c r="A1894" s="1" t="s">
        <v>3849</v>
      </c>
      <c r="B1894" s="1" t="s">
        <v>3850</v>
      </c>
      <c r="C1894" s="1" t="s">
        <v>12</v>
      </c>
      <c r="D1894" s="1" t="s">
        <v>3848</v>
      </c>
      <c r="E1894" s="4">
        <v>1015766.0</v>
      </c>
      <c r="F1894" s="2">
        <v>1.0</v>
      </c>
      <c r="G1894" s="2" t="s">
        <v>1</v>
      </c>
      <c r="H1894" s="2" t="s">
        <v>18</v>
      </c>
      <c r="I1894" s="2" t="s">
        <v>15</v>
      </c>
      <c r="J1894" s="2" t="s">
        <v>15</v>
      </c>
    </row>
    <row r="1895" ht="15.75" customHeight="1">
      <c r="A1895" s="1" t="s">
        <v>3851</v>
      </c>
      <c r="B1895" s="1" t="s">
        <v>3852</v>
      </c>
      <c r="C1895" s="1" t="s">
        <v>12</v>
      </c>
      <c r="D1895" s="1" t="s">
        <v>3848</v>
      </c>
      <c r="E1895" s="4">
        <v>1015766.0</v>
      </c>
      <c r="F1895" s="2">
        <v>1.0</v>
      </c>
      <c r="G1895" s="2" t="s">
        <v>1</v>
      </c>
      <c r="H1895" s="2" t="s">
        <v>53</v>
      </c>
      <c r="I1895" s="2" t="s">
        <v>15</v>
      </c>
      <c r="J1895" s="2" t="s">
        <v>15</v>
      </c>
    </row>
    <row r="1896" ht="15.75" customHeight="1">
      <c r="A1896" s="1" t="s">
        <v>3853</v>
      </c>
      <c r="B1896" s="1" t="s">
        <v>3854</v>
      </c>
      <c r="C1896" s="1" t="s">
        <v>12</v>
      </c>
      <c r="D1896" s="1" t="s">
        <v>3848</v>
      </c>
      <c r="E1896" s="4">
        <v>1015766.0</v>
      </c>
      <c r="F1896" s="2">
        <v>2.0</v>
      </c>
      <c r="G1896" s="2" t="s">
        <v>1</v>
      </c>
      <c r="H1896" s="2" t="s">
        <v>14</v>
      </c>
      <c r="I1896" s="5" t="str">
        <f>IFERROR(
  MID(
    SUBSTITUTE(B1896, CHAR(10), ""),
    FIND("_Gross ROI=", SUBSTITUTE(B1896, CHAR(10), "")) + LEN("_Gross ROI="),
    FIND("%", SUBSTITUTE(B1896, CHAR(10), ""), FIND("_Gross ROI=", SUBSTITUTE(B1896, CHAR(10), "")))
      - FIND("_Gross ROI=", SUBSTITUTE(B1896, CHAR(10), "")) - LEN("_Gross ROI=") + 1
  ),
  ""
)</f>
        <v>7.25%</v>
      </c>
      <c r="J1896" s="5" t="str">
        <f>IFERROR(
  MID(
    SUBSTITUTE(B1896, CHAR(10), ""),
    FIND("_Median annual rent=", SUBSTITUTE(B1896, CHAR(10), "")) + LEN("_Median annual rent="),
    FIND("K", SUBSTITUTE(B1896, CHAR(10), ""), FIND("_Median annual rent=", SUBSTITUTE(B1896, CHAR(10), "")))
      - FIND("_Median annual rent=", SUBSTITUTE(B1896, CHAR(10), "")) - LEN("_Median annual rent=") + 1
  ),
  "")</f>
        <v>150K</v>
      </c>
    </row>
    <row r="1897" ht="15.75" customHeight="1">
      <c r="A1897" s="1" t="s">
        <v>3855</v>
      </c>
      <c r="B1897" s="1" t="s">
        <v>3856</v>
      </c>
      <c r="C1897" s="1" t="s">
        <v>12</v>
      </c>
      <c r="D1897" s="1" t="s">
        <v>3848</v>
      </c>
      <c r="E1897" s="4">
        <v>1015766.0</v>
      </c>
      <c r="F1897" s="2">
        <v>2.0</v>
      </c>
      <c r="G1897" s="2" t="s">
        <v>1</v>
      </c>
      <c r="H1897" s="2" t="s">
        <v>18</v>
      </c>
      <c r="I1897" s="2" t="s">
        <v>15</v>
      </c>
      <c r="J1897" s="2" t="s">
        <v>15</v>
      </c>
    </row>
    <row r="1898" ht="15.75" customHeight="1">
      <c r="A1898" s="1" t="s">
        <v>3857</v>
      </c>
      <c r="B1898" s="1" t="s">
        <v>3858</v>
      </c>
      <c r="C1898" s="1" t="s">
        <v>12</v>
      </c>
      <c r="D1898" s="1" t="s">
        <v>3848</v>
      </c>
      <c r="E1898" s="4">
        <v>1015766.0</v>
      </c>
      <c r="F1898" s="2">
        <v>2.0</v>
      </c>
      <c r="G1898" s="2" t="s">
        <v>1</v>
      </c>
      <c r="H1898" s="2" t="s">
        <v>53</v>
      </c>
      <c r="I1898" s="2" t="s">
        <v>15</v>
      </c>
      <c r="J1898" s="2" t="s">
        <v>15</v>
      </c>
    </row>
    <row r="1899" ht="15.75" customHeight="1">
      <c r="A1899" s="1" t="s">
        <v>3859</v>
      </c>
      <c r="B1899" s="1" t="s">
        <v>3860</v>
      </c>
      <c r="C1899" s="1" t="s">
        <v>12</v>
      </c>
      <c r="D1899" s="1" t="s">
        <v>3848</v>
      </c>
      <c r="E1899" s="4">
        <v>1015766.0</v>
      </c>
      <c r="F1899" s="2">
        <v>3.0</v>
      </c>
      <c r="G1899" s="2" t="s">
        <v>1</v>
      </c>
      <c r="H1899" s="2" t="s">
        <v>14</v>
      </c>
      <c r="I1899" s="5" t="str">
        <f>IFERROR(
  MID(
    SUBSTITUTE(B1899, CHAR(10), ""),
    FIND("_Gross ROI=", SUBSTITUTE(B1899, CHAR(10), "")) + LEN("_Gross ROI="),
    FIND("%", SUBSTITUTE(B1899, CHAR(10), ""), FIND("_Gross ROI=", SUBSTITUTE(B1899, CHAR(10), "")))
      - FIND("_Gross ROI=", SUBSTITUTE(B1899, CHAR(10), "")) - LEN("_Gross ROI=") + 1
  ),
  ""
)</f>
        <v>7.49%</v>
      </c>
      <c r="J1899" s="5" t="str">
        <f>IFERROR(
  MID(
    SUBSTITUTE(B1899, CHAR(10), ""),
    FIND("_Median annual rent=", SUBSTITUTE(B1899, CHAR(10), "")) + LEN("_Median annual rent="),
    FIND("K", SUBSTITUTE(B1899, CHAR(10), ""), FIND("_Median annual rent=", SUBSTITUTE(B1899, CHAR(10), "")))
      - FIND("_Median annual rent=", SUBSTITUTE(B1899, CHAR(10), "")) - LEN("_Median annual rent=") + 1
  ),
  "")</f>
        <v>182.5K</v>
      </c>
    </row>
    <row r="1900" ht="15.75" customHeight="1">
      <c r="A1900" s="1" t="s">
        <v>3861</v>
      </c>
      <c r="B1900" s="1" t="s">
        <v>3862</v>
      </c>
      <c r="C1900" s="1" t="s">
        <v>12</v>
      </c>
      <c r="D1900" s="1" t="s">
        <v>3848</v>
      </c>
      <c r="E1900" s="4">
        <v>1015766.0</v>
      </c>
      <c r="F1900" s="2">
        <v>3.0</v>
      </c>
      <c r="G1900" s="2" t="s">
        <v>1</v>
      </c>
      <c r="H1900" s="2" t="s">
        <v>18</v>
      </c>
      <c r="I1900" s="2" t="s">
        <v>15</v>
      </c>
      <c r="J1900" s="2" t="s">
        <v>15</v>
      </c>
    </row>
    <row r="1901" ht="15.75" customHeight="1">
      <c r="A1901" s="1" t="s">
        <v>3863</v>
      </c>
      <c r="B1901" s="1" t="s">
        <v>3864</v>
      </c>
      <c r="C1901" s="1" t="s">
        <v>12</v>
      </c>
      <c r="D1901" s="1" t="s">
        <v>3848</v>
      </c>
      <c r="E1901" s="4">
        <v>1015766.0</v>
      </c>
      <c r="F1901" s="2">
        <v>3.0</v>
      </c>
      <c r="G1901" s="2" t="s">
        <v>1</v>
      </c>
      <c r="H1901" s="2" t="s">
        <v>53</v>
      </c>
      <c r="I1901" s="2" t="s">
        <v>15</v>
      </c>
      <c r="J1901" s="2" t="s">
        <v>15</v>
      </c>
    </row>
    <row r="1902" ht="15.75" customHeight="1">
      <c r="A1902" s="1" t="s">
        <v>3865</v>
      </c>
      <c r="B1902" s="1" t="s">
        <v>3866</v>
      </c>
      <c r="C1902" s="1" t="s">
        <v>12</v>
      </c>
      <c r="D1902" s="1" t="s">
        <v>3848</v>
      </c>
      <c r="E1902" s="4">
        <v>1015766.0</v>
      </c>
      <c r="F1902" s="2" t="s">
        <v>15</v>
      </c>
      <c r="G1902" s="2" t="s">
        <v>1</v>
      </c>
      <c r="H1902" s="2" t="s">
        <v>53</v>
      </c>
      <c r="I1902" s="2" t="s">
        <v>15</v>
      </c>
      <c r="J1902" s="2" t="s">
        <v>15</v>
      </c>
    </row>
    <row r="1903" ht="15.75" customHeight="1">
      <c r="A1903" s="1" t="s">
        <v>3867</v>
      </c>
      <c r="B1903" s="1" t="s">
        <v>3868</v>
      </c>
      <c r="C1903" s="1" t="s">
        <v>12</v>
      </c>
      <c r="D1903" s="1" t="s">
        <v>3848</v>
      </c>
      <c r="E1903" s="4">
        <v>1015766.0</v>
      </c>
      <c r="F1903" s="2" t="s">
        <v>15</v>
      </c>
      <c r="G1903" s="2" t="s">
        <v>1</v>
      </c>
      <c r="H1903" s="2" t="s">
        <v>53</v>
      </c>
      <c r="I1903" s="2" t="s">
        <v>15</v>
      </c>
      <c r="J1903" s="2" t="s">
        <v>15</v>
      </c>
    </row>
    <row r="1904" ht="15.75" customHeight="1">
      <c r="A1904" s="1" t="s">
        <v>3869</v>
      </c>
      <c r="B1904" s="1" t="s">
        <v>3870</v>
      </c>
      <c r="C1904" s="1" t="s">
        <v>12</v>
      </c>
      <c r="D1904" s="1" t="s">
        <v>3848</v>
      </c>
      <c r="E1904" s="4">
        <v>1015766.0</v>
      </c>
      <c r="F1904" s="2" t="s">
        <v>15</v>
      </c>
      <c r="G1904" s="2" t="s">
        <v>1</v>
      </c>
      <c r="H1904" s="2" t="s">
        <v>53</v>
      </c>
      <c r="I1904" s="2" t="s">
        <v>15</v>
      </c>
      <c r="J1904" s="2" t="s">
        <v>15</v>
      </c>
    </row>
    <row r="1905" ht="15.75" customHeight="1">
      <c r="A1905" s="1" t="s">
        <v>3871</v>
      </c>
      <c r="B1905" s="1" t="s">
        <v>3872</v>
      </c>
      <c r="C1905" s="1" t="s">
        <v>12</v>
      </c>
      <c r="D1905" s="1" t="s">
        <v>3848</v>
      </c>
      <c r="E1905" s="4">
        <v>1015766.0</v>
      </c>
      <c r="F1905" s="2" t="s">
        <v>30</v>
      </c>
      <c r="G1905" s="2" t="s">
        <v>1</v>
      </c>
      <c r="H1905" s="2" t="s">
        <v>53</v>
      </c>
      <c r="I1905" s="2" t="s">
        <v>15</v>
      </c>
      <c r="J1905" s="2" t="s">
        <v>15</v>
      </c>
    </row>
    <row r="1906" ht="15.75" customHeight="1">
      <c r="A1906" s="1" t="s">
        <v>3873</v>
      </c>
      <c r="B1906" s="1" t="s">
        <v>3874</v>
      </c>
      <c r="C1906" s="1" t="s">
        <v>12</v>
      </c>
      <c r="D1906" s="1" t="s">
        <v>3848</v>
      </c>
      <c r="E1906" s="4">
        <v>1015766.0</v>
      </c>
      <c r="F1906" s="2" t="s">
        <v>30</v>
      </c>
      <c r="G1906" s="2" t="s">
        <v>1</v>
      </c>
      <c r="H1906" s="2" t="s">
        <v>14</v>
      </c>
      <c r="I1906" s="2" t="s">
        <v>15</v>
      </c>
      <c r="J1906" s="2" t="s">
        <v>15</v>
      </c>
    </row>
    <row r="1907" ht="15.75" customHeight="1">
      <c r="A1907" s="1" t="s">
        <v>3875</v>
      </c>
      <c r="B1907" s="1" t="s">
        <v>3876</v>
      </c>
      <c r="C1907" s="1" t="s">
        <v>12</v>
      </c>
      <c r="D1907" s="1" t="s">
        <v>3848</v>
      </c>
      <c r="E1907" s="4">
        <v>1015766.0</v>
      </c>
      <c r="F1907" s="2" t="s">
        <v>15</v>
      </c>
      <c r="G1907" s="2" t="s">
        <v>33</v>
      </c>
      <c r="H1907" s="2" t="s">
        <v>15</v>
      </c>
      <c r="I1907" s="2" t="s">
        <v>15</v>
      </c>
      <c r="J1907" s="2" t="s">
        <v>15</v>
      </c>
    </row>
    <row r="1908" ht="15.75" customHeight="1">
      <c r="A1908" s="1" t="s">
        <v>3877</v>
      </c>
      <c r="B1908" s="1" t="s">
        <v>3878</v>
      </c>
      <c r="C1908" s="1" t="s">
        <v>12</v>
      </c>
      <c r="D1908" s="1" t="s">
        <v>3879</v>
      </c>
      <c r="E1908" s="4">
        <v>1015830.0</v>
      </c>
      <c r="F1908" s="2">
        <v>1.0</v>
      </c>
      <c r="G1908" s="2" t="s">
        <v>1</v>
      </c>
      <c r="H1908" s="2" t="s">
        <v>14</v>
      </c>
      <c r="I1908" s="2" t="s">
        <v>15</v>
      </c>
      <c r="J1908" s="2" t="s">
        <v>15</v>
      </c>
    </row>
    <row r="1909" ht="15.75" customHeight="1">
      <c r="A1909" s="1" t="s">
        <v>3880</v>
      </c>
      <c r="B1909" s="1" t="s">
        <v>3881</v>
      </c>
      <c r="C1909" s="1" t="s">
        <v>12</v>
      </c>
      <c r="D1909" s="1" t="s">
        <v>3879</v>
      </c>
      <c r="E1909" s="4">
        <v>1015830.0</v>
      </c>
      <c r="F1909" s="2">
        <v>1.0</v>
      </c>
      <c r="G1909" s="2" t="s">
        <v>1</v>
      </c>
      <c r="H1909" s="2" t="s">
        <v>18</v>
      </c>
      <c r="I1909" s="2" t="s">
        <v>15</v>
      </c>
      <c r="J1909" s="2" t="s">
        <v>15</v>
      </c>
    </row>
    <row r="1910" ht="15.75" customHeight="1">
      <c r="A1910" s="1" t="s">
        <v>3882</v>
      </c>
      <c r="B1910" s="1" t="s">
        <v>3883</v>
      </c>
      <c r="C1910" s="1" t="s">
        <v>12</v>
      </c>
      <c r="D1910" s="1" t="s">
        <v>3879</v>
      </c>
      <c r="E1910" s="4">
        <v>1015830.0</v>
      </c>
      <c r="F1910" s="2">
        <v>1.0</v>
      </c>
      <c r="G1910" s="2" t="s">
        <v>1</v>
      </c>
      <c r="H1910" s="2" t="s">
        <v>21</v>
      </c>
      <c r="I1910" s="2" t="s">
        <v>15</v>
      </c>
      <c r="J1910" s="2" t="s">
        <v>15</v>
      </c>
    </row>
    <row r="1911" ht="15.75" customHeight="1">
      <c r="A1911" s="1" t="s">
        <v>3884</v>
      </c>
      <c r="B1911" s="1" t="s">
        <v>3885</v>
      </c>
      <c r="C1911" s="1" t="s">
        <v>12</v>
      </c>
      <c r="D1911" s="1" t="s">
        <v>3879</v>
      </c>
      <c r="E1911" s="4">
        <v>1015830.0</v>
      </c>
      <c r="F1911" s="2">
        <v>2.0</v>
      </c>
      <c r="G1911" s="2" t="s">
        <v>1</v>
      </c>
      <c r="H1911" s="2" t="s">
        <v>14</v>
      </c>
      <c r="I1911" s="2" t="s">
        <v>15</v>
      </c>
      <c r="J1911" s="2" t="s">
        <v>15</v>
      </c>
    </row>
    <row r="1912" ht="15.75" customHeight="1">
      <c r="A1912" s="1" t="s">
        <v>3886</v>
      </c>
      <c r="B1912" s="1" t="s">
        <v>3887</v>
      </c>
      <c r="C1912" s="1" t="s">
        <v>12</v>
      </c>
      <c r="D1912" s="1" t="s">
        <v>3879</v>
      </c>
      <c r="E1912" s="4">
        <v>1015830.0</v>
      </c>
      <c r="F1912" s="2">
        <v>2.0</v>
      </c>
      <c r="G1912" s="2" t="s">
        <v>1</v>
      </c>
      <c r="H1912" s="2" t="s">
        <v>18</v>
      </c>
      <c r="I1912" s="2" t="s">
        <v>15</v>
      </c>
      <c r="J1912" s="2" t="s">
        <v>15</v>
      </c>
    </row>
    <row r="1913" ht="15.75" customHeight="1">
      <c r="A1913" s="1" t="s">
        <v>3888</v>
      </c>
      <c r="B1913" s="1" t="s">
        <v>3889</v>
      </c>
      <c r="C1913" s="1" t="s">
        <v>12</v>
      </c>
      <c r="D1913" s="1" t="s">
        <v>3879</v>
      </c>
      <c r="E1913" s="4">
        <v>1015830.0</v>
      </c>
      <c r="F1913" s="2">
        <v>2.0</v>
      </c>
      <c r="G1913" s="2" t="s">
        <v>1</v>
      </c>
      <c r="H1913" s="2" t="s">
        <v>21</v>
      </c>
      <c r="I1913" s="2" t="s">
        <v>15</v>
      </c>
      <c r="J1913" s="2" t="s">
        <v>15</v>
      </c>
    </row>
    <row r="1914" ht="15.75" customHeight="1">
      <c r="A1914" s="1" t="s">
        <v>3890</v>
      </c>
      <c r="B1914" s="1" t="s">
        <v>3891</v>
      </c>
      <c r="C1914" s="1" t="s">
        <v>12</v>
      </c>
      <c r="D1914" s="1" t="s">
        <v>3879</v>
      </c>
      <c r="E1914" s="4">
        <v>1015830.0</v>
      </c>
      <c r="F1914" s="2">
        <v>3.0</v>
      </c>
      <c r="G1914" s="2" t="s">
        <v>1</v>
      </c>
      <c r="H1914" s="2" t="s">
        <v>14</v>
      </c>
      <c r="I1914" s="2" t="s">
        <v>15</v>
      </c>
      <c r="J1914" s="2" t="s">
        <v>15</v>
      </c>
    </row>
    <row r="1915" ht="15.75" customHeight="1">
      <c r="A1915" s="1" t="s">
        <v>3892</v>
      </c>
      <c r="B1915" s="1" t="s">
        <v>3893</v>
      </c>
      <c r="C1915" s="1" t="s">
        <v>12</v>
      </c>
      <c r="D1915" s="1" t="s">
        <v>3879</v>
      </c>
      <c r="E1915" s="4">
        <v>1015830.0</v>
      </c>
      <c r="F1915" s="2">
        <v>3.0</v>
      </c>
      <c r="G1915" s="2" t="s">
        <v>1</v>
      </c>
      <c r="H1915" s="2" t="s">
        <v>18</v>
      </c>
      <c r="I1915" s="2" t="s">
        <v>15</v>
      </c>
      <c r="J1915" s="2" t="s">
        <v>15</v>
      </c>
    </row>
    <row r="1916" ht="15.75" customHeight="1">
      <c r="A1916" s="1" t="s">
        <v>3894</v>
      </c>
      <c r="B1916" s="1" t="s">
        <v>3895</v>
      </c>
      <c r="C1916" s="1" t="s">
        <v>12</v>
      </c>
      <c r="D1916" s="1" t="s">
        <v>3879</v>
      </c>
      <c r="E1916" s="4">
        <v>1015830.0</v>
      </c>
      <c r="F1916" s="2">
        <v>3.0</v>
      </c>
      <c r="G1916" s="2" t="s">
        <v>1</v>
      </c>
      <c r="H1916" s="2" t="s">
        <v>21</v>
      </c>
      <c r="I1916" s="2" t="s">
        <v>15</v>
      </c>
      <c r="J1916" s="2" t="s">
        <v>15</v>
      </c>
    </row>
    <row r="1917" ht="15.75" customHeight="1">
      <c r="A1917" s="1" t="s">
        <v>3896</v>
      </c>
      <c r="B1917" s="1" t="s">
        <v>3897</v>
      </c>
      <c r="C1917" s="1" t="s">
        <v>12</v>
      </c>
      <c r="D1917" s="1" t="s">
        <v>3879</v>
      </c>
      <c r="E1917" s="4">
        <v>1015830.0</v>
      </c>
      <c r="F1917" s="2">
        <v>4.0</v>
      </c>
      <c r="G1917" s="2" t="s">
        <v>1</v>
      </c>
      <c r="H1917" s="2" t="s">
        <v>14</v>
      </c>
      <c r="I1917" s="2" t="s">
        <v>15</v>
      </c>
      <c r="J1917" s="2" t="s">
        <v>15</v>
      </c>
    </row>
    <row r="1918" ht="15.75" customHeight="1">
      <c r="A1918" s="1" t="s">
        <v>3898</v>
      </c>
      <c r="B1918" s="1" t="s">
        <v>3899</v>
      </c>
      <c r="C1918" s="1" t="s">
        <v>12</v>
      </c>
      <c r="D1918" s="1" t="s">
        <v>3879</v>
      </c>
      <c r="E1918" s="4">
        <v>1015830.0</v>
      </c>
      <c r="F1918" s="2">
        <v>4.0</v>
      </c>
      <c r="G1918" s="2" t="s">
        <v>1</v>
      </c>
      <c r="H1918" s="2" t="s">
        <v>18</v>
      </c>
      <c r="I1918" s="2" t="s">
        <v>15</v>
      </c>
      <c r="J1918" s="2" t="s">
        <v>15</v>
      </c>
    </row>
    <row r="1919" ht="15.75" customHeight="1">
      <c r="A1919" s="1" t="s">
        <v>3900</v>
      </c>
      <c r="B1919" s="1" t="s">
        <v>3901</v>
      </c>
      <c r="C1919" s="1" t="s">
        <v>12</v>
      </c>
      <c r="D1919" s="1" t="s">
        <v>3879</v>
      </c>
      <c r="E1919" s="4">
        <v>1015830.0</v>
      </c>
      <c r="F1919" s="2">
        <v>4.0</v>
      </c>
      <c r="G1919" s="2" t="s">
        <v>1</v>
      </c>
      <c r="H1919" s="2" t="s">
        <v>21</v>
      </c>
      <c r="I1919" s="2" t="s">
        <v>15</v>
      </c>
      <c r="J1919" s="2" t="s">
        <v>15</v>
      </c>
    </row>
    <row r="1920" ht="15.75" customHeight="1">
      <c r="A1920" s="1" t="s">
        <v>3902</v>
      </c>
      <c r="B1920" s="1" t="s">
        <v>3903</v>
      </c>
      <c r="C1920" s="1" t="s">
        <v>12</v>
      </c>
      <c r="D1920" s="1" t="s">
        <v>3879</v>
      </c>
      <c r="E1920" s="4">
        <v>1015830.0</v>
      </c>
      <c r="F1920" s="2" t="s">
        <v>30</v>
      </c>
      <c r="G1920" s="2" t="s">
        <v>1</v>
      </c>
      <c r="H1920" s="2" t="s">
        <v>14</v>
      </c>
      <c r="I1920" s="2" t="s">
        <v>15</v>
      </c>
      <c r="J1920" s="2" t="s">
        <v>15</v>
      </c>
    </row>
    <row r="1921" ht="15.75" customHeight="1">
      <c r="A1921" s="1" t="s">
        <v>3904</v>
      </c>
      <c r="B1921" s="1" t="s">
        <v>3905</v>
      </c>
      <c r="C1921" s="1" t="s">
        <v>12</v>
      </c>
      <c r="D1921" s="1" t="s">
        <v>3879</v>
      </c>
      <c r="E1921" s="4">
        <v>1015830.0</v>
      </c>
      <c r="F1921" s="2" t="s">
        <v>15</v>
      </c>
      <c r="G1921" s="2" t="s">
        <v>33</v>
      </c>
      <c r="H1921" s="2" t="s">
        <v>15</v>
      </c>
      <c r="I1921" s="2" t="s">
        <v>15</v>
      </c>
      <c r="J1921" s="2" t="s">
        <v>15</v>
      </c>
    </row>
    <row r="1922" ht="15.75" customHeight="1">
      <c r="A1922" s="1" t="s">
        <v>3906</v>
      </c>
      <c r="B1922" s="1" t="s">
        <v>3907</v>
      </c>
      <c r="C1922" s="1" t="s">
        <v>12</v>
      </c>
      <c r="D1922" s="1" t="s">
        <v>3879</v>
      </c>
      <c r="E1922" s="4">
        <v>1015830.0</v>
      </c>
      <c r="F1922" s="2">
        <v>1.0</v>
      </c>
      <c r="G1922" s="2" t="s">
        <v>1</v>
      </c>
      <c r="H1922" s="2" t="s">
        <v>37</v>
      </c>
      <c r="I1922" s="2" t="s">
        <v>15</v>
      </c>
      <c r="J1922" s="2" t="s">
        <v>15</v>
      </c>
    </row>
    <row r="1923" ht="15.75" customHeight="1">
      <c r="A1923" s="1" t="s">
        <v>3908</v>
      </c>
      <c r="B1923" s="1" t="s">
        <v>3909</v>
      </c>
      <c r="C1923" s="1" t="s">
        <v>12</v>
      </c>
      <c r="D1923" s="1" t="s">
        <v>3879</v>
      </c>
      <c r="E1923" s="4">
        <v>1015830.0</v>
      </c>
      <c r="F1923" s="2">
        <v>2.0</v>
      </c>
      <c r="G1923" s="2" t="s">
        <v>1</v>
      </c>
      <c r="H1923" s="2" t="s">
        <v>37</v>
      </c>
      <c r="I1923" s="2" t="s">
        <v>15</v>
      </c>
      <c r="J1923" s="2" t="s">
        <v>15</v>
      </c>
    </row>
    <row r="1924" ht="15.75" customHeight="1">
      <c r="A1924" s="1" t="s">
        <v>3910</v>
      </c>
      <c r="B1924" s="1" t="s">
        <v>3911</v>
      </c>
      <c r="C1924" s="1" t="s">
        <v>12</v>
      </c>
      <c r="D1924" s="1" t="s">
        <v>3879</v>
      </c>
      <c r="E1924" s="4">
        <v>1015830.0</v>
      </c>
      <c r="F1924" s="2">
        <v>3.0</v>
      </c>
      <c r="G1924" s="2" t="s">
        <v>1</v>
      </c>
      <c r="H1924" s="2" t="s">
        <v>37</v>
      </c>
      <c r="I1924" s="2" t="s">
        <v>15</v>
      </c>
      <c r="J1924" s="2" t="s">
        <v>15</v>
      </c>
    </row>
    <row r="1925" ht="15.75" customHeight="1">
      <c r="A1925" s="1" t="s">
        <v>3912</v>
      </c>
      <c r="B1925" s="1" t="s">
        <v>3913</v>
      </c>
      <c r="C1925" s="1" t="s">
        <v>12</v>
      </c>
      <c r="D1925" s="1" t="s">
        <v>3879</v>
      </c>
      <c r="E1925" s="4">
        <v>1015830.0</v>
      </c>
      <c r="F1925" s="2">
        <v>4.0</v>
      </c>
      <c r="G1925" s="2" t="s">
        <v>1</v>
      </c>
      <c r="H1925" s="2" t="s">
        <v>37</v>
      </c>
      <c r="I1925" s="2" t="s">
        <v>15</v>
      </c>
      <c r="J1925" s="2" t="s">
        <v>15</v>
      </c>
    </row>
    <row r="1926" ht="15.75" customHeight="1">
      <c r="A1926" s="1" t="s">
        <v>3914</v>
      </c>
      <c r="B1926" s="1" t="s">
        <v>3915</v>
      </c>
      <c r="C1926" s="1" t="s">
        <v>12</v>
      </c>
      <c r="D1926" s="1" t="s">
        <v>3879</v>
      </c>
      <c r="E1926" s="4">
        <v>1015830.0</v>
      </c>
      <c r="F1926" s="2" t="s">
        <v>30</v>
      </c>
      <c r="G1926" s="2" t="s">
        <v>1</v>
      </c>
      <c r="H1926" s="2" t="s">
        <v>37</v>
      </c>
      <c r="I1926" s="2" t="s">
        <v>15</v>
      </c>
      <c r="J1926" s="2" t="s">
        <v>15</v>
      </c>
    </row>
    <row r="1927" ht="15.75" customHeight="1">
      <c r="A1927" s="1" t="s">
        <v>3916</v>
      </c>
      <c r="B1927" s="1" t="s">
        <v>3917</v>
      </c>
      <c r="C1927" s="1" t="s">
        <v>12</v>
      </c>
      <c r="D1927" s="1" t="s">
        <v>3918</v>
      </c>
      <c r="E1927" s="4">
        <v>1015894.0</v>
      </c>
      <c r="F1927" s="2">
        <v>1.0</v>
      </c>
      <c r="G1927" s="2" t="s">
        <v>1</v>
      </c>
      <c r="H1927" s="2" t="s">
        <v>14</v>
      </c>
      <c r="I1927" s="2" t="s">
        <v>15</v>
      </c>
      <c r="J1927" s="2" t="s">
        <v>15</v>
      </c>
    </row>
    <row r="1928" ht="15.75" customHeight="1">
      <c r="A1928" s="1" t="s">
        <v>3919</v>
      </c>
      <c r="B1928" s="1" t="s">
        <v>3920</v>
      </c>
      <c r="C1928" s="1" t="s">
        <v>12</v>
      </c>
      <c r="D1928" s="1" t="s">
        <v>3918</v>
      </c>
      <c r="E1928" s="4">
        <v>1015894.0</v>
      </c>
      <c r="F1928" s="2">
        <v>1.0</v>
      </c>
      <c r="G1928" s="2" t="s">
        <v>1</v>
      </c>
      <c r="H1928" s="2" t="s">
        <v>18</v>
      </c>
      <c r="I1928" s="2" t="s">
        <v>15</v>
      </c>
      <c r="J1928" s="2" t="s">
        <v>15</v>
      </c>
    </row>
    <row r="1929" ht="15.75" customHeight="1">
      <c r="A1929" s="1" t="s">
        <v>3921</v>
      </c>
      <c r="B1929" s="1" t="s">
        <v>3922</v>
      </c>
      <c r="C1929" s="1" t="s">
        <v>12</v>
      </c>
      <c r="D1929" s="1" t="s">
        <v>3918</v>
      </c>
      <c r="E1929" s="4">
        <v>1015894.0</v>
      </c>
      <c r="F1929" s="2">
        <v>1.0</v>
      </c>
      <c r="G1929" s="2" t="s">
        <v>1</v>
      </c>
      <c r="H1929" s="2" t="s">
        <v>21</v>
      </c>
      <c r="I1929" s="2" t="s">
        <v>15</v>
      </c>
      <c r="J1929" s="2" t="s">
        <v>15</v>
      </c>
    </row>
    <row r="1930" ht="15.75" customHeight="1">
      <c r="A1930" s="1" t="s">
        <v>3923</v>
      </c>
      <c r="B1930" s="1" t="s">
        <v>3924</v>
      </c>
      <c r="C1930" s="1" t="s">
        <v>12</v>
      </c>
      <c r="D1930" s="1" t="s">
        <v>3918</v>
      </c>
      <c r="E1930" s="4">
        <v>1015894.0</v>
      </c>
      <c r="F1930" s="2">
        <v>2.0</v>
      </c>
      <c r="G1930" s="2" t="s">
        <v>1</v>
      </c>
      <c r="H1930" s="2" t="s">
        <v>14</v>
      </c>
      <c r="I1930" s="2" t="s">
        <v>15</v>
      </c>
      <c r="J1930" s="2" t="s">
        <v>15</v>
      </c>
    </row>
    <row r="1931" ht="15.75" customHeight="1">
      <c r="A1931" s="1" t="s">
        <v>3925</v>
      </c>
      <c r="B1931" s="1" t="s">
        <v>3926</v>
      </c>
      <c r="C1931" s="1" t="s">
        <v>12</v>
      </c>
      <c r="D1931" s="1" t="s">
        <v>3918</v>
      </c>
      <c r="E1931" s="4">
        <v>1015894.0</v>
      </c>
      <c r="F1931" s="2">
        <v>2.0</v>
      </c>
      <c r="G1931" s="2" t="s">
        <v>1</v>
      </c>
      <c r="H1931" s="2" t="s">
        <v>18</v>
      </c>
      <c r="I1931" s="2" t="s">
        <v>15</v>
      </c>
      <c r="J1931" s="2" t="s">
        <v>15</v>
      </c>
    </row>
    <row r="1932" ht="15.75" customHeight="1">
      <c r="A1932" s="1" t="s">
        <v>3927</v>
      </c>
      <c r="B1932" s="1" t="s">
        <v>3928</v>
      </c>
      <c r="C1932" s="1" t="s">
        <v>12</v>
      </c>
      <c r="D1932" s="1" t="s">
        <v>3918</v>
      </c>
      <c r="E1932" s="4">
        <v>1015894.0</v>
      </c>
      <c r="F1932" s="2">
        <v>2.0</v>
      </c>
      <c r="G1932" s="2" t="s">
        <v>1</v>
      </c>
      <c r="H1932" s="2" t="s">
        <v>21</v>
      </c>
      <c r="I1932" s="2" t="s">
        <v>15</v>
      </c>
      <c r="J1932" s="2" t="s">
        <v>15</v>
      </c>
    </row>
    <row r="1933" ht="15.75" customHeight="1">
      <c r="A1933" s="1" t="s">
        <v>3929</v>
      </c>
      <c r="B1933" s="1" t="s">
        <v>3930</v>
      </c>
      <c r="C1933" s="1" t="s">
        <v>12</v>
      </c>
      <c r="D1933" s="1" t="s">
        <v>3918</v>
      </c>
      <c r="E1933" s="4">
        <v>1015894.0</v>
      </c>
      <c r="F1933" s="2" t="s">
        <v>30</v>
      </c>
      <c r="G1933" s="2" t="s">
        <v>1</v>
      </c>
      <c r="H1933" s="2" t="s">
        <v>14</v>
      </c>
      <c r="I1933" s="2" t="s">
        <v>15</v>
      </c>
      <c r="J1933" s="2" t="s">
        <v>15</v>
      </c>
    </row>
    <row r="1934" ht="15.75" customHeight="1">
      <c r="A1934" s="1" t="s">
        <v>3931</v>
      </c>
      <c r="B1934" s="1" t="s">
        <v>3932</v>
      </c>
      <c r="C1934" s="1" t="s">
        <v>12</v>
      </c>
      <c r="D1934" s="1" t="s">
        <v>3918</v>
      </c>
      <c r="E1934" s="4">
        <v>1015894.0</v>
      </c>
      <c r="F1934" s="2" t="s">
        <v>15</v>
      </c>
      <c r="G1934" s="2" t="s">
        <v>33</v>
      </c>
      <c r="H1934" s="2" t="s">
        <v>15</v>
      </c>
      <c r="I1934" s="2" t="s">
        <v>15</v>
      </c>
      <c r="J1934" s="2" t="s">
        <v>15</v>
      </c>
    </row>
    <row r="1935" ht="15.75" customHeight="1">
      <c r="A1935" s="1" t="s">
        <v>3933</v>
      </c>
      <c r="B1935" s="1" t="s">
        <v>3934</v>
      </c>
      <c r="C1935" s="1" t="s">
        <v>12</v>
      </c>
      <c r="D1935" s="1" t="s">
        <v>3918</v>
      </c>
      <c r="E1935" s="4">
        <v>1015894.0</v>
      </c>
      <c r="F1935" s="2">
        <v>1.0</v>
      </c>
      <c r="G1935" s="2" t="s">
        <v>1</v>
      </c>
      <c r="H1935" s="2" t="s">
        <v>37</v>
      </c>
      <c r="I1935" s="2" t="s">
        <v>15</v>
      </c>
      <c r="J1935" s="2" t="s">
        <v>15</v>
      </c>
    </row>
    <row r="1936" ht="15.75" customHeight="1">
      <c r="A1936" s="1" t="s">
        <v>3935</v>
      </c>
      <c r="B1936" s="1" t="s">
        <v>3936</v>
      </c>
      <c r="C1936" s="1" t="s">
        <v>12</v>
      </c>
      <c r="D1936" s="1" t="s">
        <v>3918</v>
      </c>
      <c r="E1936" s="4">
        <v>1015894.0</v>
      </c>
      <c r="F1936" s="2">
        <v>2.0</v>
      </c>
      <c r="G1936" s="2" t="s">
        <v>1</v>
      </c>
      <c r="H1936" s="2" t="s">
        <v>37</v>
      </c>
      <c r="I1936" s="2" t="s">
        <v>15</v>
      </c>
      <c r="J1936" s="2" t="s">
        <v>15</v>
      </c>
    </row>
    <row r="1937" ht="15.75" customHeight="1">
      <c r="A1937" s="1" t="s">
        <v>3937</v>
      </c>
      <c r="B1937" s="1" t="s">
        <v>3938</v>
      </c>
      <c r="C1937" s="1" t="s">
        <v>12</v>
      </c>
      <c r="D1937" s="1" t="s">
        <v>3918</v>
      </c>
      <c r="E1937" s="4">
        <v>1015894.0</v>
      </c>
      <c r="F1937" s="2" t="s">
        <v>30</v>
      </c>
      <c r="G1937" s="2" t="s">
        <v>1</v>
      </c>
      <c r="H1937" s="2" t="s">
        <v>37</v>
      </c>
      <c r="I1937" s="2" t="s">
        <v>15</v>
      </c>
      <c r="J1937" s="2" t="s">
        <v>15</v>
      </c>
    </row>
    <row r="1938" ht="15.75" customHeight="1">
      <c r="A1938" s="1" t="s">
        <v>3939</v>
      </c>
      <c r="B1938" s="1" t="s">
        <v>3940</v>
      </c>
      <c r="C1938" s="1" t="s">
        <v>12</v>
      </c>
      <c r="D1938" s="1" t="s">
        <v>3941</v>
      </c>
      <c r="E1938" s="4">
        <v>1015958.0</v>
      </c>
      <c r="F1938" s="2">
        <v>1.0</v>
      </c>
      <c r="G1938" s="2" t="s">
        <v>1</v>
      </c>
      <c r="H1938" s="2" t="s">
        <v>14</v>
      </c>
      <c r="I1938" s="2" t="s">
        <v>15</v>
      </c>
      <c r="J1938" s="2" t="s">
        <v>15</v>
      </c>
    </row>
    <row r="1939" ht="15.75" customHeight="1">
      <c r="A1939" s="1" t="s">
        <v>3942</v>
      </c>
      <c r="B1939" s="1" t="s">
        <v>3943</v>
      </c>
      <c r="C1939" s="1" t="s">
        <v>12</v>
      </c>
      <c r="D1939" s="1" t="s">
        <v>3941</v>
      </c>
      <c r="E1939" s="4">
        <v>1015958.0</v>
      </c>
      <c r="F1939" s="2">
        <v>1.0</v>
      </c>
      <c r="G1939" s="2" t="s">
        <v>1</v>
      </c>
      <c r="H1939" s="2" t="s">
        <v>18</v>
      </c>
      <c r="I1939" s="2" t="s">
        <v>15</v>
      </c>
      <c r="J1939" s="2" t="s">
        <v>15</v>
      </c>
    </row>
    <row r="1940" ht="15.75" customHeight="1">
      <c r="A1940" s="1" t="s">
        <v>3944</v>
      </c>
      <c r="B1940" s="1" t="s">
        <v>3945</v>
      </c>
      <c r="C1940" s="1" t="s">
        <v>12</v>
      </c>
      <c r="D1940" s="1" t="s">
        <v>3941</v>
      </c>
      <c r="E1940" s="4">
        <v>1015958.0</v>
      </c>
      <c r="F1940" s="2">
        <v>1.0</v>
      </c>
      <c r="G1940" s="2" t="s">
        <v>1</v>
      </c>
      <c r="H1940" s="2" t="s">
        <v>21</v>
      </c>
      <c r="I1940" s="2" t="s">
        <v>15</v>
      </c>
      <c r="J1940" s="2" t="s">
        <v>15</v>
      </c>
    </row>
    <row r="1941" ht="15.75" customHeight="1">
      <c r="A1941" s="1" t="s">
        <v>3946</v>
      </c>
      <c r="B1941" s="1" t="s">
        <v>3947</v>
      </c>
      <c r="C1941" s="1" t="s">
        <v>12</v>
      </c>
      <c r="D1941" s="1" t="s">
        <v>3941</v>
      </c>
      <c r="E1941" s="4">
        <v>1015958.0</v>
      </c>
      <c r="F1941" s="2">
        <v>2.0</v>
      </c>
      <c r="G1941" s="2" t="s">
        <v>1</v>
      </c>
      <c r="H1941" s="2" t="s">
        <v>14</v>
      </c>
      <c r="I1941" s="2" t="s">
        <v>15</v>
      </c>
      <c r="J1941" s="2" t="s">
        <v>15</v>
      </c>
    </row>
    <row r="1942" ht="15.75" customHeight="1">
      <c r="A1942" s="1" t="s">
        <v>3948</v>
      </c>
      <c r="B1942" s="1" t="s">
        <v>3949</v>
      </c>
      <c r="C1942" s="1" t="s">
        <v>12</v>
      </c>
      <c r="D1942" s="1" t="s">
        <v>3941</v>
      </c>
      <c r="E1942" s="4">
        <v>1015958.0</v>
      </c>
      <c r="F1942" s="2">
        <v>2.0</v>
      </c>
      <c r="G1942" s="2" t="s">
        <v>1</v>
      </c>
      <c r="H1942" s="2" t="s">
        <v>18</v>
      </c>
      <c r="I1942" s="2" t="s">
        <v>15</v>
      </c>
      <c r="J1942" s="2" t="s">
        <v>15</v>
      </c>
    </row>
    <row r="1943" ht="15.75" customHeight="1">
      <c r="A1943" s="1" t="s">
        <v>3950</v>
      </c>
      <c r="B1943" s="1" t="s">
        <v>3951</v>
      </c>
      <c r="C1943" s="1" t="s">
        <v>12</v>
      </c>
      <c r="D1943" s="1" t="s">
        <v>3941</v>
      </c>
      <c r="E1943" s="4">
        <v>1015958.0</v>
      </c>
      <c r="F1943" s="2">
        <v>2.0</v>
      </c>
      <c r="G1943" s="2" t="s">
        <v>1</v>
      </c>
      <c r="H1943" s="2" t="s">
        <v>21</v>
      </c>
      <c r="I1943" s="2" t="s">
        <v>15</v>
      </c>
      <c r="J1943" s="2" t="s">
        <v>15</v>
      </c>
    </row>
    <row r="1944" ht="15.75" customHeight="1">
      <c r="A1944" s="1" t="s">
        <v>3952</v>
      </c>
      <c r="B1944" s="1" t="s">
        <v>3953</v>
      </c>
      <c r="C1944" s="1" t="s">
        <v>12</v>
      </c>
      <c r="D1944" s="1" t="s">
        <v>3941</v>
      </c>
      <c r="E1944" s="4">
        <v>1015958.0</v>
      </c>
      <c r="F1944" s="2">
        <v>3.0</v>
      </c>
      <c r="G1944" s="2" t="s">
        <v>1</v>
      </c>
      <c r="H1944" s="2" t="s">
        <v>14</v>
      </c>
      <c r="I1944" s="2" t="s">
        <v>15</v>
      </c>
      <c r="J1944" s="2" t="s">
        <v>15</v>
      </c>
    </row>
    <row r="1945" ht="15.75" customHeight="1">
      <c r="A1945" s="1" t="s">
        <v>3954</v>
      </c>
      <c r="B1945" s="1" t="s">
        <v>3955</v>
      </c>
      <c r="C1945" s="1" t="s">
        <v>12</v>
      </c>
      <c r="D1945" s="1" t="s">
        <v>3941</v>
      </c>
      <c r="E1945" s="4">
        <v>1015958.0</v>
      </c>
      <c r="F1945" s="2">
        <v>3.0</v>
      </c>
      <c r="G1945" s="2" t="s">
        <v>1</v>
      </c>
      <c r="H1945" s="2" t="s">
        <v>18</v>
      </c>
      <c r="I1945" s="2" t="s">
        <v>15</v>
      </c>
      <c r="J1945" s="2" t="s">
        <v>15</v>
      </c>
    </row>
    <row r="1946" ht="15.75" customHeight="1">
      <c r="A1946" s="1" t="s">
        <v>3956</v>
      </c>
      <c r="B1946" s="1" t="s">
        <v>3957</v>
      </c>
      <c r="C1946" s="1" t="s">
        <v>12</v>
      </c>
      <c r="D1946" s="1" t="s">
        <v>3941</v>
      </c>
      <c r="E1946" s="4">
        <v>1015958.0</v>
      </c>
      <c r="F1946" s="2">
        <v>3.0</v>
      </c>
      <c r="G1946" s="2" t="s">
        <v>1</v>
      </c>
      <c r="H1946" s="2" t="s">
        <v>21</v>
      </c>
      <c r="I1946" s="2" t="s">
        <v>15</v>
      </c>
      <c r="J1946" s="2" t="s">
        <v>15</v>
      </c>
    </row>
    <row r="1947" ht="15.75" customHeight="1">
      <c r="A1947" s="1" t="s">
        <v>3958</v>
      </c>
      <c r="B1947" s="1" t="s">
        <v>3959</v>
      </c>
      <c r="C1947" s="1" t="s">
        <v>12</v>
      </c>
      <c r="D1947" s="1" t="s">
        <v>3941</v>
      </c>
      <c r="E1947" s="4">
        <v>1015958.0</v>
      </c>
      <c r="F1947" s="2">
        <v>4.0</v>
      </c>
      <c r="G1947" s="2" t="s">
        <v>1</v>
      </c>
      <c r="H1947" s="2" t="s">
        <v>14</v>
      </c>
      <c r="I1947" s="2" t="s">
        <v>15</v>
      </c>
      <c r="J1947" s="2" t="s">
        <v>15</v>
      </c>
    </row>
    <row r="1948" ht="15.75" customHeight="1">
      <c r="A1948" s="1" t="s">
        <v>3960</v>
      </c>
      <c r="B1948" s="1" t="s">
        <v>3961</v>
      </c>
      <c r="C1948" s="1" t="s">
        <v>12</v>
      </c>
      <c r="D1948" s="1" t="s">
        <v>3941</v>
      </c>
      <c r="E1948" s="4">
        <v>1015958.0</v>
      </c>
      <c r="F1948" s="2">
        <v>4.0</v>
      </c>
      <c r="G1948" s="2" t="s">
        <v>1</v>
      </c>
      <c r="H1948" s="2" t="s">
        <v>18</v>
      </c>
      <c r="I1948" s="2" t="s">
        <v>15</v>
      </c>
      <c r="J1948" s="2" t="s">
        <v>15</v>
      </c>
    </row>
    <row r="1949" ht="15.75" customHeight="1">
      <c r="A1949" s="1" t="s">
        <v>3962</v>
      </c>
      <c r="B1949" s="1" t="s">
        <v>3963</v>
      </c>
      <c r="C1949" s="1" t="s">
        <v>12</v>
      </c>
      <c r="D1949" s="1" t="s">
        <v>3941</v>
      </c>
      <c r="E1949" s="4">
        <v>1015958.0</v>
      </c>
      <c r="F1949" s="2">
        <v>4.0</v>
      </c>
      <c r="G1949" s="2" t="s">
        <v>1</v>
      </c>
      <c r="H1949" s="2" t="s">
        <v>21</v>
      </c>
      <c r="I1949" s="2" t="s">
        <v>15</v>
      </c>
      <c r="J1949" s="2" t="s">
        <v>15</v>
      </c>
    </row>
    <row r="1950" ht="15.75" customHeight="1">
      <c r="A1950" s="1" t="s">
        <v>3964</v>
      </c>
      <c r="B1950" s="1" t="s">
        <v>3965</v>
      </c>
      <c r="C1950" s="1" t="s">
        <v>12</v>
      </c>
      <c r="D1950" s="1" t="s">
        <v>3941</v>
      </c>
      <c r="E1950" s="4">
        <v>1015958.0</v>
      </c>
      <c r="F1950" s="2" t="s">
        <v>30</v>
      </c>
      <c r="G1950" s="2" t="s">
        <v>1</v>
      </c>
      <c r="H1950" s="2" t="s">
        <v>14</v>
      </c>
      <c r="I1950" s="2" t="s">
        <v>15</v>
      </c>
      <c r="J1950" s="2" t="s">
        <v>15</v>
      </c>
    </row>
    <row r="1951" ht="15.75" customHeight="1">
      <c r="A1951" s="1" t="s">
        <v>3966</v>
      </c>
      <c r="B1951" s="1" t="s">
        <v>3967</v>
      </c>
      <c r="C1951" s="1" t="s">
        <v>12</v>
      </c>
      <c r="D1951" s="1" t="s">
        <v>3941</v>
      </c>
      <c r="E1951" s="4">
        <v>1015958.0</v>
      </c>
      <c r="F1951" s="2" t="s">
        <v>15</v>
      </c>
      <c r="G1951" s="2" t="s">
        <v>33</v>
      </c>
      <c r="H1951" s="2" t="s">
        <v>15</v>
      </c>
      <c r="I1951" s="2" t="s">
        <v>15</v>
      </c>
      <c r="J1951" s="2" t="s">
        <v>15</v>
      </c>
    </row>
    <row r="1952" ht="15.75" customHeight="1">
      <c r="A1952" s="1" t="s">
        <v>3968</v>
      </c>
      <c r="B1952" s="1" t="s">
        <v>3969</v>
      </c>
      <c r="C1952" s="1" t="s">
        <v>12</v>
      </c>
      <c r="D1952" s="1" t="s">
        <v>3941</v>
      </c>
      <c r="E1952" s="4">
        <v>1015958.0</v>
      </c>
      <c r="F1952" s="2">
        <v>1.0</v>
      </c>
      <c r="G1952" s="2" t="s">
        <v>1</v>
      </c>
      <c r="H1952" s="2" t="s">
        <v>37</v>
      </c>
      <c r="I1952" s="2" t="s">
        <v>15</v>
      </c>
      <c r="J1952" s="2" t="s">
        <v>15</v>
      </c>
    </row>
    <row r="1953" ht="15.75" customHeight="1">
      <c r="A1953" s="1" t="s">
        <v>3970</v>
      </c>
      <c r="B1953" s="1" t="s">
        <v>3971</v>
      </c>
      <c r="C1953" s="1" t="s">
        <v>12</v>
      </c>
      <c r="D1953" s="1" t="s">
        <v>3941</v>
      </c>
      <c r="E1953" s="4">
        <v>1015958.0</v>
      </c>
      <c r="F1953" s="2">
        <v>2.0</v>
      </c>
      <c r="G1953" s="2" t="s">
        <v>1</v>
      </c>
      <c r="H1953" s="2" t="s">
        <v>37</v>
      </c>
      <c r="I1953" s="2" t="s">
        <v>15</v>
      </c>
      <c r="J1953" s="2" t="s">
        <v>15</v>
      </c>
    </row>
    <row r="1954" ht="15.75" customHeight="1">
      <c r="A1954" s="1" t="s">
        <v>3972</v>
      </c>
      <c r="B1954" s="1" t="s">
        <v>3973</v>
      </c>
      <c r="C1954" s="1" t="s">
        <v>12</v>
      </c>
      <c r="D1954" s="1" t="s">
        <v>3941</v>
      </c>
      <c r="E1954" s="4">
        <v>1015958.0</v>
      </c>
      <c r="F1954" s="2">
        <v>3.0</v>
      </c>
      <c r="G1954" s="2" t="s">
        <v>1</v>
      </c>
      <c r="H1954" s="2" t="s">
        <v>37</v>
      </c>
      <c r="I1954" s="2" t="s">
        <v>15</v>
      </c>
      <c r="J1954" s="2" t="s">
        <v>15</v>
      </c>
    </row>
    <row r="1955" ht="15.75" customHeight="1">
      <c r="A1955" s="1" t="s">
        <v>3974</v>
      </c>
      <c r="B1955" s="1" t="s">
        <v>3975</v>
      </c>
      <c r="C1955" s="1" t="s">
        <v>12</v>
      </c>
      <c r="D1955" s="1" t="s">
        <v>3941</v>
      </c>
      <c r="E1955" s="4">
        <v>1015958.0</v>
      </c>
      <c r="F1955" s="2">
        <v>4.0</v>
      </c>
      <c r="G1955" s="2" t="s">
        <v>1</v>
      </c>
      <c r="H1955" s="2" t="s">
        <v>37</v>
      </c>
      <c r="I1955" s="2" t="s">
        <v>15</v>
      </c>
      <c r="J1955" s="2" t="s">
        <v>15</v>
      </c>
    </row>
    <row r="1956" ht="15.75" customHeight="1">
      <c r="A1956" s="1" t="s">
        <v>3976</v>
      </c>
      <c r="B1956" s="1" t="s">
        <v>3977</v>
      </c>
      <c r="C1956" s="1" t="s">
        <v>12</v>
      </c>
      <c r="D1956" s="1" t="s">
        <v>3941</v>
      </c>
      <c r="E1956" s="4">
        <v>1015958.0</v>
      </c>
      <c r="F1956" s="2" t="s">
        <v>30</v>
      </c>
      <c r="G1956" s="2" t="s">
        <v>1</v>
      </c>
      <c r="H1956" s="2" t="s">
        <v>37</v>
      </c>
      <c r="I1956" s="2" t="s">
        <v>15</v>
      </c>
      <c r="J1956" s="2" t="s">
        <v>15</v>
      </c>
    </row>
    <row r="1957" ht="15.75" customHeight="1">
      <c r="A1957" s="1" t="s">
        <v>3978</v>
      </c>
      <c r="B1957" s="1" t="s">
        <v>3979</v>
      </c>
      <c r="C1957" s="1" t="s">
        <v>12</v>
      </c>
      <c r="D1957" s="1" t="s">
        <v>3980</v>
      </c>
      <c r="E1957" s="4">
        <v>1016022.0</v>
      </c>
      <c r="F1957" s="2" t="s">
        <v>36</v>
      </c>
      <c r="G1957" s="2" t="s">
        <v>1</v>
      </c>
      <c r="H1957" s="2" t="s">
        <v>14</v>
      </c>
      <c r="I1957" s="5" t="str">
        <f>IFERROR(
  MID(
    SUBSTITUTE(B1957, CHAR(10), ""),
    FIND("_Gross ROI=", SUBSTITUTE(B1957, CHAR(10), "")) + LEN("_Gross ROI="),
    FIND("%", SUBSTITUTE(B1957, CHAR(10), ""), FIND("_Gross ROI=", SUBSTITUTE(B1957, CHAR(10), "")))
      - FIND("_Gross ROI=", SUBSTITUTE(B1957, CHAR(10), "")) - LEN("_Gross ROI=") + 1
  ),
  ""
)</f>
        <v>9.64%</v>
      </c>
      <c r="J1957" s="5" t="str">
        <f>IFERROR(
  MID(
    SUBSTITUTE(B1957, CHAR(10), ""),
    FIND("_Median annual rent=", SUBSTITUTE(B1957, CHAR(10), "")) + LEN("_Median annual rent="),
    FIND("K", SUBSTITUTE(B1957, CHAR(10), ""), FIND("_Median annual rent=", SUBSTITUTE(B1957, CHAR(10), "")))
      - FIND("_Median annual rent=", SUBSTITUTE(B1957, CHAR(10), "")) - LEN("_Median annual rent=") + 1
  ),
  "")</f>
        <v>68.1K</v>
      </c>
    </row>
    <row r="1958" ht="15.75" customHeight="1">
      <c r="A1958" s="1" t="s">
        <v>3981</v>
      </c>
      <c r="B1958" s="1" t="s">
        <v>3982</v>
      </c>
      <c r="C1958" s="1" t="s">
        <v>12</v>
      </c>
      <c r="D1958" s="1" t="s">
        <v>3980</v>
      </c>
      <c r="E1958" s="4">
        <v>1016022.0</v>
      </c>
      <c r="F1958" s="2" t="s">
        <v>36</v>
      </c>
      <c r="G1958" s="2" t="s">
        <v>1</v>
      </c>
      <c r="H1958" s="2" t="s">
        <v>18</v>
      </c>
      <c r="I1958" s="2" t="s">
        <v>15</v>
      </c>
      <c r="J1958" s="2" t="s">
        <v>15</v>
      </c>
    </row>
    <row r="1959" ht="15.75" customHeight="1">
      <c r="A1959" s="1" t="s">
        <v>3983</v>
      </c>
      <c r="B1959" s="1" t="s">
        <v>3984</v>
      </c>
      <c r="C1959" s="1" t="s">
        <v>12</v>
      </c>
      <c r="D1959" s="1" t="s">
        <v>3980</v>
      </c>
      <c r="E1959" s="4">
        <v>1016022.0</v>
      </c>
      <c r="F1959" s="2" t="s">
        <v>36</v>
      </c>
      <c r="G1959" s="2" t="s">
        <v>1</v>
      </c>
      <c r="H1959" s="2" t="s">
        <v>53</v>
      </c>
      <c r="I1959" s="2" t="s">
        <v>15</v>
      </c>
      <c r="J1959" s="2" t="s">
        <v>15</v>
      </c>
    </row>
    <row r="1960" ht="15.75" customHeight="1">
      <c r="A1960" s="1" t="s">
        <v>3985</v>
      </c>
      <c r="B1960" s="1" t="s">
        <v>3986</v>
      </c>
      <c r="C1960" s="1" t="s">
        <v>12</v>
      </c>
      <c r="D1960" s="1" t="s">
        <v>3980</v>
      </c>
      <c r="E1960" s="4">
        <v>1016022.0</v>
      </c>
      <c r="F1960" s="2">
        <v>1.0</v>
      </c>
      <c r="G1960" s="2" t="s">
        <v>1</v>
      </c>
      <c r="H1960" s="2" t="s">
        <v>14</v>
      </c>
      <c r="I1960" s="5" t="str">
        <f>IFERROR(
  MID(
    SUBSTITUTE(B1960, CHAR(10), ""),
    FIND("_Gross ROI=", SUBSTITUTE(B1960, CHAR(10), "")) + LEN("_Gross ROI="),
    FIND("%", SUBSTITUTE(B1960, CHAR(10), ""), FIND("_Gross ROI=", SUBSTITUTE(B1960, CHAR(10), "")))
      - FIND("_Gross ROI=", SUBSTITUTE(B1960, CHAR(10), "")) - LEN("_Gross ROI=") + 1
  ),
  ""
)</f>
        <v>6.41%</v>
      </c>
      <c r="J1960" s="5" t="str">
        <f>IFERROR(
  MID(
    SUBSTITUTE(B1960, CHAR(10), ""),
    FIND("_Median annual rent=", SUBSTITUTE(B1960, CHAR(10), "")) + LEN("_Median annual rent="),
    FIND("K", SUBSTITUTE(B1960, CHAR(10), ""), FIND("_Median annual rent=", SUBSTITUTE(B1960, CHAR(10), "")))
      - FIND("_Median annual rent=", SUBSTITUTE(B1960, CHAR(10), "")) - LEN("_Median annual rent=") + 1
  ),
  "")</f>
        <v>100K</v>
      </c>
    </row>
    <row r="1961" ht="15.75" customHeight="1">
      <c r="A1961" s="1" t="s">
        <v>3987</v>
      </c>
      <c r="B1961" s="1" t="s">
        <v>3988</v>
      </c>
      <c r="C1961" s="1" t="s">
        <v>12</v>
      </c>
      <c r="D1961" s="1" t="s">
        <v>3980</v>
      </c>
      <c r="E1961" s="4">
        <v>1016022.0</v>
      </c>
      <c r="F1961" s="2">
        <v>1.0</v>
      </c>
      <c r="G1961" s="2" t="s">
        <v>1</v>
      </c>
      <c r="H1961" s="2" t="s">
        <v>18</v>
      </c>
      <c r="I1961" s="2" t="s">
        <v>15</v>
      </c>
      <c r="J1961" s="2" t="s">
        <v>15</v>
      </c>
    </row>
    <row r="1962" ht="15.75" customHeight="1">
      <c r="A1962" s="1" t="s">
        <v>3989</v>
      </c>
      <c r="B1962" s="1" t="s">
        <v>3990</v>
      </c>
      <c r="C1962" s="1" t="s">
        <v>12</v>
      </c>
      <c r="D1962" s="1" t="s">
        <v>3980</v>
      </c>
      <c r="E1962" s="4">
        <v>1016022.0</v>
      </c>
      <c r="F1962" s="2">
        <v>1.0</v>
      </c>
      <c r="G1962" s="2" t="s">
        <v>1</v>
      </c>
      <c r="H1962" s="2" t="s">
        <v>53</v>
      </c>
      <c r="I1962" s="2" t="s">
        <v>15</v>
      </c>
      <c r="J1962" s="2" t="s">
        <v>15</v>
      </c>
    </row>
    <row r="1963" ht="15.75" customHeight="1">
      <c r="A1963" s="1" t="s">
        <v>3991</v>
      </c>
      <c r="B1963" s="1" t="s">
        <v>3992</v>
      </c>
      <c r="C1963" s="1" t="s">
        <v>12</v>
      </c>
      <c r="D1963" s="1" t="s">
        <v>3980</v>
      </c>
      <c r="E1963" s="4">
        <v>1016022.0</v>
      </c>
      <c r="F1963" s="2">
        <v>2.0</v>
      </c>
      <c r="G1963" s="2" t="s">
        <v>1</v>
      </c>
      <c r="H1963" s="2" t="s">
        <v>14</v>
      </c>
      <c r="I1963" s="5" t="str">
        <f>IFERROR(
  MID(
    SUBSTITUTE(B1963, CHAR(10), ""),
    FIND("_Gross ROI=", SUBSTITUTE(B1963, CHAR(10), "")) + LEN("_Gross ROI="),
    FIND("%", SUBSTITUTE(B1963, CHAR(10), ""), FIND("_Gross ROI=", SUBSTITUTE(B1963, CHAR(10), "")))
      - FIND("_Gross ROI=", SUBSTITUTE(B1963, CHAR(10), "")) - LEN("_Gross ROI=") + 1
  ),
  ""
)</f>
        <v>6.8%</v>
      </c>
      <c r="J1963" s="5" t="str">
        <f>IFERROR(
  MID(
    SUBSTITUTE(B1963, CHAR(10), ""),
    FIND("_Median annual rent=", SUBSTITUTE(B1963, CHAR(10), "")) + LEN("_Median annual rent="),
    FIND("K", SUBSTITUTE(B1963, CHAR(10), ""), FIND("_Median annual rent=", SUBSTITUTE(B1963, CHAR(10), "")))
      - FIND("_Median annual rent=", SUBSTITUTE(B1963, CHAR(10), "")) - LEN("_Median annual rent=") + 1
  ),
  "")</f>
        <v>137.5K</v>
      </c>
    </row>
    <row r="1964" ht="15.75" customHeight="1">
      <c r="A1964" s="1" t="s">
        <v>3993</v>
      </c>
      <c r="B1964" s="1" t="s">
        <v>3994</v>
      </c>
      <c r="C1964" s="1" t="s">
        <v>12</v>
      </c>
      <c r="D1964" s="1" t="s">
        <v>3980</v>
      </c>
      <c r="E1964" s="4">
        <v>1016022.0</v>
      </c>
      <c r="F1964" s="2">
        <v>2.0</v>
      </c>
      <c r="G1964" s="2" t="s">
        <v>1</v>
      </c>
      <c r="H1964" s="2" t="s">
        <v>18</v>
      </c>
      <c r="I1964" s="2" t="s">
        <v>15</v>
      </c>
      <c r="J1964" s="2" t="s">
        <v>15</v>
      </c>
    </row>
    <row r="1965" ht="15.75" customHeight="1">
      <c r="A1965" s="1" t="s">
        <v>3995</v>
      </c>
      <c r="B1965" s="1" t="s">
        <v>3996</v>
      </c>
      <c r="C1965" s="1" t="s">
        <v>12</v>
      </c>
      <c r="D1965" s="1" t="s">
        <v>3980</v>
      </c>
      <c r="E1965" s="4">
        <v>1016022.0</v>
      </c>
      <c r="F1965" s="2">
        <v>2.0</v>
      </c>
      <c r="G1965" s="2" t="s">
        <v>1</v>
      </c>
      <c r="H1965" s="2" t="s">
        <v>53</v>
      </c>
      <c r="I1965" s="2" t="s">
        <v>15</v>
      </c>
      <c r="J1965" s="2" t="s">
        <v>15</v>
      </c>
    </row>
    <row r="1966" ht="15.75" customHeight="1">
      <c r="A1966" s="1" t="s">
        <v>3997</v>
      </c>
      <c r="B1966" s="1" t="s">
        <v>3998</v>
      </c>
      <c r="C1966" s="1" t="s">
        <v>12</v>
      </c>
      <c r="D1966" s="1" t="s">
        <v>3980</v>
      </c>
      <c r="E1966" s="4">
        <v>1016022.0</v>
      </c>
      <c r="F1966" s="2">
        <v>3.0</v>
      </c>
      <c r="G1966" s="2" t="s">
        <v>1</v>
      </c>
      <c r="H1966" s="2" t="s">
        <v>14</v>
      </c>
      <c r="I1966" s="5" t="str">
        <f>IFERROR(
  MID(
    SUBSTITUTE(B1966, CHAR(10), ""),
    FIND("_Gross ROI=", SUBSTITUTE(B1966, CHAR(10), "")) + LEN("_Gross ROI="),
    FIND("%", SUBSTITUTE(B1966, CHAR(10), ""), FIND("_Gross ROI=", SUBSTITUTE(B1966, CHAR(10), "")))
      - FIND("_Gross ROI=", SUBSTITUTE(B1966, CHAR(10), "")) - LEN("_Gross ROI=") + 1
  ),
  ""
)</f>
        <v>6.99%</v>
      </c>
      <c r="J1966" s="5" t="str">
        <f>IFERROR(
  MID(
    SUBSTITUTE(B1966, CHAR(10), ""),
    FIND("_Median annual rent=", SUBSTITUTE(B1966, CHAR(10), "")) + LEN("_Median annual rent="),
    FIND("K", SUBSTITUTE(B1966, CHAR(10), ""), FIND("_Median annual rent=", SUBSTITUTE(B1966, CHAR(10), "")))
      - FIND("_Median annual rent=", SUBSTITUTE(B1966, CHAR(10), "")) - LEN("_Median annual rent=") + 1
  ),
  "")</f>
        <v>180K</v>
      </c>
    </row>
    <row r="1967" ht="15.75" customHeight="1">
      <c r="A1967" s="1" t="s">
        <v>3999</v>
      </c>
      <c r="B1967" s="1" t="s">
        <v>4000</v>
      </c>
      <c r="C1967" s="1" t="s">
        <v>12</v>
      </c>
      <c r="D1967" s="1" t="s">
        <v>3980</v>
      </c>
      <c r="E1967" s="4">
        <v>1016022.0</v>
      </c>
      <c r="F1967" s="2">
        <v>3.0</v>
      </c>
      <c r="G1967" s="2" t="s">
        <v>1</v>
      </c>
      <c r="H1967" s="2" t="s">
        <v>18</v>
      </c>
      <c r="I1967" s="2" t="s">
        <v>15</v>
      </c>
      <c r="J1967" s="2" t="s">
        <v>15</v>
      </c>
    </row>
    <row r="1968" ht="15.75" customHeight="1">
      <c r="A1968" s="1" t="s">
        <v>4001</v>
      </c>
      <c r="B1968" s="1" t="s">
        <v>4002</v>
      </c>
      <c r="C1968" s="1" t="s">
        <v>12</v>
      </c>
      <c r="D1968" s="1" t="s">
        <v>3980</v>
      </c>
      <c r="E1968" s="4">
        <v>1016022.0</v>
      </c>
      <c r="F1968" s="2">
        <v>3.0</v>
      </c>
      <c r="G1968" s="2" t="s">
        <v>1</v>
      </c>
      <c r="H1968" s="2" t="s">
        <v>53</v>
      </c>
      <c r="I1968" s="2" t="s">
        <v>15</v>
      </c>
      <c r="J1968" s="2" t="s">
        <v>15</v>
      </c>
    </row>
    <row r="1969" ht="15.75" customHeight="1">
      <c r="A1969" s="1" t="s">
        <v>4003</v>
      </c>
      <c r="B1969" s="1" t="s">
        <v>4004</v>
      </c>
      <c r="C1969" s="1" t="s">
        <v>12</v>
      </c>
      <c r="D1969" s="1" t="s">
        <v>3980</v>
      </c>
      <c r="E1969" s="4">
        <v>1016022.0</v>
      </c>
      <c r="F1969" s="2" t="s">
        <v>381</v>
      </c>
      <c r="G1969" s="2" t="s">
        <v>1</v>
      </c>
      <c r="H1969" s="2" t="s">
        <v>53</v>
      </c>
      <c r="I1969" s="2" t="s">
        <v>15</v>
      </c>
      <c r="J1969" s="2" t="s">
        <v>15</v>
      </c>
    </row>
    <row r="1970" ht="15.75" customHeight="1">
      <c r="A1970" s="1" t="s">
        <v>4005</v>
      </c>
      <c r="B1970" s="1" t="s">
        <v>4006</v>
      </c>
      <c r="C1970" s="1" t="s">
        <v>12</v>
      </c>
      <c r="D1970" s="1" t="s">
        <v>3980</v>
      </c>
      <c r="E1970" s="4">
        <v>1016022.0</v>
      </c>
      <c r="F1970" s="2" t="s">
        <v>30</v>
      </c>
      <c r="G1970" s="2" t="s">
        <v>1</v>
      </c>
      <c r="H1970" s="2" t="s">
        <v>53</v>
      </c>
      <c r="I1970" s="2" t="s">
        <v>15</v>
      </c>
      <c r="J1970" s="2" t="s">
        <v>15</v>
      </c>
    </row>
    <row r="1971" ht="15.75" customHeight="1">
      <c r="A1971" s="1" t="s">
        <v>4007</v>
      </c>
      <c r="B1971" s="1" t="s">
        <v>4008</v>
      </c>
      <c r="C1971" s="1" t="s">
        <v>12</v>
      </c>
      <c r="D1971" s="1" t="s">
        <v>3980</v>
      </c>
      <c r="E1971" s="4">
        <v>1016022.0</v>
      </c>
      <c r="F1971" s="2" t="s">
        <v>30</v>
      </c>
      <c r="G1971" s="2" t="s">
        <v>1</v>
      </c>
      <c r="H1971" s="2" t="s">
        <v>14</v>
      </c>
      <c r="I1971" s="2" t="s">
        <v>15</v>
      </c>
      <c r="J1971" s="2" t="s">
        <v>15</v>
      </c>
    </row>
    <row r="1972" ht="15.75" customHeight="1">
      <c r="A1972" s="1" t="s">
        <v>4009</v>
      </c>
      <c r="B1972" s="1" t="s">
        <v>4010</v>
      </c>
      <c r="C1972" s="1" t="s">
        <v>12</v>
      </c>
      <c r="D1972" s="1" t="s">
        <v>3980</v>
      </c>
      <c r="E1972" s="4">
        <v>1016022.0</v>
      </c>
      <c r="F1972" s="2" t="s">
        <v>15</v>
      </c>
      <c r="G1972" s="2" t="s">
        <v>33</v>
      </c>
      <c r="H1972" s="2" t="s">
        <v>15</v>
      </c>
      <c r="I1972" s="2" t="s">
        <v>15</v>
      </c>
      <c r="J1972" s="2" t="s">
        <v>15</v>
      </c>
    </row>
    <row r="1973" ht="15.75" customHeight="1">
      <c r="A1973" s="1" t="s">
        <v>4011</v>
      </c>
      <c r="B1973" s="1" t="s">
        <v>4012</v>
      </c>
      <c r="C1973" s="1" t="s">
        <v>12</v>
      </c>
      <c r="D1973" s="1" t="s">
        <v>3980</v>
      </c>
      <c r="E1973" s="4">
        <v>1016022.0</v>
      </c>
      <c r="F1973" s="2" t="s">
        <v>381</v>
      </c>
      <c r="G1973" s="2" t="s">
        <v>1</v>
      </c>
      <c r="H1973" s="2" t="s">
        <v>37</v>
      </c>
      <c r="I1973" s="2" t="s">
        <v>15</v>
      </c>
      <c r="J1973" s="2" t="s">
        <v>15</v>
      </c>
    </row>
    <row r="1974" ht="15.75" customHeight="1">
      <c r="A1974" s="1" t="s">
        <v>4013</v>
      </c>
      <c r="B1974" s="1" t="s">
        <v>4014</v>
      </c>
      <c r="C1974" s="1" t="s">
        <v>12</v>
      </c>
      <c r="D1974" s="1" t="s">
        <v>3980</v>
      </c>
      <c r="E1974" s="4">
        <v>1016022.0</v>
      </c>
      <c r="F1974" s="2" t="s">
        <v>30</v>
      </c>
      <c r="G1974" s="2" t="s">
        <v>1</v>
      </c>
      <c r="H1974" s="2" t="s">
        <v>37</v>
      </c>
      <c r="I1974" s="2" t="s">
        <v>15</v>
      </c>
      <c r="J1974" s="2" t="s">
        <v>15</v>
      </c>
    </row>
    <row r="1975" ht="15.75" customHeight="1">
      <c r="A1975" s="1" t="s">
        <v>4015</v>
      </c>
      <c r="B1975" s="1" t="s">
        <v>4016</v>
      </c>
      <c r="C1975" s="1" t="s">
        <v>12</v>
      </c>
      <c r="D1975" s="1" t="s">
        <v>4017</v>
      </c>
      <c r="E1975" s="4">
        <v>1016086.0</v>
      </c>
      <c r="F1975" s="2">
        <v>1.0</v>
      </c>
      <c r="G1975" s="2" t="s">
        <v>1</v>
      </c>
      <c r="H1975" s="2" t="s">
        <v>14</v>
      </c>
      <c r="I1975" s="5" t="str">
        <f>IFERROR(
  MID(
    SUBSTITUTE(B1975, CHAR(10), ""),
    FIND("_Gross ROI=", SUBSTITUTE(B1975, CHAR(10), "")) + LEN("_Gross ROI="),
    FIND("%", SUBSTITUTE(B1975, CHAR(10), ""), FIND("_Gross ROI=", SUBSTITUTE(B1975, CHAR(10), "")))
      - FIND("_Gross ROI=", SUBSTITUTE(B1975, CHAR(10), "")) - LEN("_Gross ROI=") + 1
  ),
  ""
)</f>
        <v>4.82%</v>
      </c>
      <c r="J1975" s="5" t="str">
        <f>IFERROR(
  MID(
    SUBSTITUTE(B1975, CHAR(10), ""),
    FIND("_Median annual rent=", SUBSTITUTE(B1975, CHAR(10), "")) + LEN("_Median annual rent="),
    FIND("K", SUBSTITUTE(B1975, CHAR(10), ""), FIND("_Median annual rent=", SUBSTITUTE(B1975, CHAR(10), "")))
      - FIND("_Median annual rent=", SUBSTITUTE(B1975, CHAR(10), "")) - LEN("_Median annual rent=") + 1
  ),
  "")</f>
        <v>132.5K</v>
      </c>
    </row>
    <row r="1976" ht="15.75" customHeight="1">
      <c r="A1976" s="1" t="s">
        <v>4018</v>
      </c>
      <c r="B1976" s="1" t="s">
        <v>4019</v>
      </c>
      <c r="C1976" s="1" t="s">
        <v>12</v>
      </c>
      <c r="D1976" s="1" t="s">
        <v>4017</v>
      </c>
      <c r="E1976" s="4">
        <v>1016086.0</v>
      </c>
      <c r="F1976" s="2">
        <v>1.0</v>
      </c>
      <c r="G1976" s="2" t="s">
        <v>1</v>
      </c>
      <c r="H1976" s="2" t="s">
        <v>18</v>
      </c>
      <c r="I1976" s="2" t="s">
        <v>15</v>
      </c>
      <c r="J1976" s="2" t="s">
        <v>15</v>
      </c>
    </row>
    <row r="1977" ht="15.75" customHeight="1">
      <c r="A1977" s="1" t="s">
        <v>4020</v>
      </c>
      <c r="B1977" s="1" t="s">
        <v>4021</v>
      </c>
      <c r="C1977" s="1" t="s">
        <v>12</v>
      </c>
      <c r="D1977" s="1" t="s">
        <v>4017</v>
      </c>
      <c r="E1977" s="4">
        <v>1016086.0</v>
      </c>
      <c r="F1977" s="2">
        <v>1.0</v>
      </c>
      <c r="G1977" s="2" t="s">
        <v>1</v>
      </c>
      <c r="H1977" s="2" t="s">
        <v>53</v>
      </c>
      <c r="I1977" s="2" t="s">
        <v>15</v>
      </c>
      <c r="J1977" s="2" t="s">
        <v>15</v>
      </c>
    </row>
    <row r="1978" ht="15.75" customHeight="1">
      <c r="A1978" s="1" t="s">
        <v>4022</v>
      </c>
      <c r="B1978" s="1" t="s">
        <v>4023</v>
      </c>
      <c r="C1978" s="1" t="s">
        <v>12</v>
      </c>
      <c r="D1978" s="1" t="s">
        <v>4017</v>
      </c>
      <c r="E1978" s="4">
        <v>1016086.0</v>
      </c>
      <c r="F1978" s="2">
        <v>1.0</v>
      </c>
      <c r="G1978" s="2" t="s">
        <v>1</v>
      </c>
      <c r="H1978" s="2" t="s">
        <v>21</v>
      </c>
      <c r="I1978" s="2" t="s">
        <v>15</v>
      </c>
      <c r="J1978" s="2" t="s">
        <v>15</v>
      </c>
    </row>
    <row r="1979" ht="15.75" customHeight="1">
      <c r="A1979" s="1" t="s">
        <v>4024</v>
      </c>
      <c r="B1979" s="1" t="s">
        <v>4025</v>
      </c>
      <c r="C1979" s="1" t="s">
        <v>12</v>
      </c>
      <c r="D1979" s="1" t="s">
        <v>4017</v>
      </c>
      <c r="E1979" s="4">
        <v>1016086.0</v>
      </c>
      <c r="F1979" s="2">
        <v>2.0</v>
      </c>
      <c r="G1979" s="2" t="s">
        <v>1</v>
      </c>
      <c r="H1979" s="2" t="s">
        <v>14</v>
      </c>
      <c r="I1979" s="5" t="str">
        <f>IFERROR(
  MID(
    SUBSTITUTE(B1979, CHAR(10), ""),
    FIND("_Gross ROI=", SUBSTITUTE(B1979, CHAR(10), "")) + LEN("_Gross ROI="),
    FIND("%", SUBSTITUTE(B1979, CHAR(10), ""), FIND("_Gross ROI=", SUBSTITUTE(B1979, CHAR(10), "")))
      - FIND("_Gross ROI=", SUBSTITUTE(B1979, CHAR(10), "")) - LEN("_Gross ROI=") + 1
  ),
  ""
)</f>
        <v>4.8%</v>
      </c>
      <c r="J1979" s="5" t="str">
        <f>IFERROR(
  MID(
    SUBSTITUTE(B1979, CHAR(10), ""),
    FIND("_Median annual rent=", SUBSTITUTE(B1979, CHAR(10), "")) + LEN("_Median annual rent="),
    FIND("K", SUBSTITUTE(B1979, CHAR(10), ""), FIND("_Median annual rent=", SUBSTITUTE(B1979, CHAR(10), "")))
      - FIND("_Median annual rent=", SUBSTITUTE(B1979, CHAR(10), "")) - LEN("_Median annual rent=") + 1
  ),
  "")</f>
        <v>242.5K</v>
      </c>
    </row>
    <row r="1980" ht="15.75" customHeight="1">
      <c r="A1980" s="1" t="s">
        <v>4026</v>
      </c>
      <c r="B1980" s="1" t="s">
        <v>4027</v>
      </c>
      <c r="C1980" s="1" t="s">
        <v>12</v>
      </c>
      <c r="D1980" s="1" t="s">
        <v>4017</v>
      </c>
      <c r="E1980" s="4">
        <v>1016086.0</v>
      </c>
      <c r="F1980" s="2">
        <v>2.0</v>
      </c>
      <c r="G1980" s="2" t="s">
        <v>1</v>
      </c>
      <c r="H1980" s="2" t="s">
        <v>18</v>
      </c>
      <c r="I1980" s="2" t="s">
        <v>15</v>
      </c>
      <c r="J1980" s="2" t="s">
        <v>15</v>
      </c>
    </row>
    <row r="1981" ht="15.75" customHeight="1">
      <c r="A1981" s="1" t="s">
        <v>4028</v>
      </c>
      <c r="B1981" s="1" t="s">
        <v>4029</v>
      </c>
      <c r="C1981" s="1" t="s">
        <v>12</v>
      </c>
      <c r="D1981" s="1" t="s">
        <v>4017</v>
      </c>
      <c r="E1981" s="4">
        <v>1016086.0</v>
      </c>
      <c r="F1981" s="2">
        <v>2.0</v>
      </c>
      <c r="G1981" s="2" t="s">
        <v>1</v>
      </c>
      <c r="H1981" s="2" t="s">
        <v>53</v>
      </c>
      <c r="I1981" s="2" t="s">
        <v>15</v>
      </c>
      <c r="J1981" s="2" t="s">
        <v>15</v>
      </c>
    </row>
    <row r="1982" ht="15.75" customHeight="1">
      <c r="A1982" s="1" t="s">
        <v>4030</v>
      </c>
      <c r="B1982" s="1" t="s">
        <v>4031</v>
      </c>
      <c r="C1982" s="1" t="s">
        <v>12</v>
      </c>
      <c r="D1982" s="1" t="s">
        <v>4017</v>
      </c>
      <c r="E1982" s="4">
        <v>1016086.0</v>
      </c>
      <c r="F1982" s="2">
        <v>2.0</v>
      </c>
      <c r="G1982" s="2" t="s">
        <v>1</v>
      </c>
      <c r="H1982" s="2" t="s">
        <v>21</v>
      </c>
      <c r="I1982" s="2" t="s">
        <v>15</v>
      </c>
      <c r="J1982" s="2" t="s">
        <v>15</v>
      </c>
    </row>
    <row r="1983" ht="15.75" customHeight="1">
      <c r="A1983" s="1" t="s">
        <v>4032</v>
      </c>
      <c r="B1983" s="1" t="s">
        <v>4033</v>
      </c>
      <c r="C1983" s="1" t="s">
        <v>12</v>
      </c>
      <c r="D1983" s="1" t="s">
        <v>4017</v>
      </c>
      <c r="E1983" s="4">
        <v>1016086.0</v>
      </c>
      <c r="F1983" s="2">
        <v>3.0</v>
      </c>
      <c r="G1983" s="2" t="s">
        <v>1</v>
      </c>
      <c r="H1983" s="2" t="s">
        <v>14</v>
      </c>
      <c r="I1983" s="5" t="str">
        <f>IFERROR(
  MID(
    SUBSTITUTE(B1983, CHAR(10), ""),
    FIND("_Gross ROI=", SUBSTITUTE(B1983, CHAR(10), "")) + LEN("_Gross ROI="),
    FIND("%", SUBSTITUTE(B1983, CHAR(10), ""), FIND("_Gross ROI=", SUBSTITUTE(B1983, CHAR(10), "")))
      - FIND("_Gross ROI=", SUBSTITUTE(B1983, CHAR(10), "")) - LEN("_Gross ROI=") + 1
  ),
  ""
)</f>
        <v>5.39%</v>
      </c>
      <c r="J1983" s="5" t="str">
        <f>IFERROR(
  MID(
    SUBSTITUTE(B1983, CHAR(10), ""),
    FIND("_Median annual rent=", SUBSTITUTE(B1983, CHAR(10), "")) + LEN("_Median annual rent="),
    FIND("K", SUBSTITUTE(B1983, CHAR(10), ""), FIND("_Median annual rent=", SUBSTITUTE(B1983, CHAR(10), "")))
      - FIND("_Median annual rent=", SUBSTITUTE(B1983, CHAR(10), "")) - LEN("_Median annual rent=") + 1
  ),
  "")</f>
        <v>350K</v>
      </c>
    </row>
    <row r="1984" ht="15.75" customHeight="1">
      <c r="A1984" s="1" t="s">
        <v>4034</v>
      </c>
      <c r="B1984" s="1" t="s">
        <v>4035</v>
      </c>
      <c r="C1984" s="1" t="s">
        <v>12</v>
      </c>
      <c r="D1984" s="1" t="s">
        <v>4017</v>
      </c>
      <c r="E1984" s="4">
        <v>1016086.0</v>
      </c>
      <c r="F1984" s="2">
        <v>3.0</v>
      </c>
      <c r="G1984" s="2" t="s">
        <v>1</v>
      </c>
      <c r="H1984" s="2" t="s">
        <v>18</v>
      </c>
      <c r="I1984" s="2" t="s">
        <v>15</v>
      </c>
      <c r="J1984" s="2" t="s">
        <v>15</v>
      </c>
    </row>
    <row r="1985" ht="15.75" customHeight="1">
      <c r="A1985" s="1" t="s">
        <v>4036</v>
      </c>
      <c r="B1985" s="1" t="s">
        <v>4037</v>
      </c>
      <c r="C1985" s="1" t="s">
        <v>12</v>
      </c>
      <c r="D1985" s="1" t="s">
        <v>4017</v>
      </c>
      <c r="E1985" s="4">
        <v>1016086.0</v>
      </c>
      <c r="F1985" s="2">
        <v>3.0</v>
      </c>
      <c r="G1985" s="2" t="s">
        <v>1</v>
      </c>
      <c r="H1985" s="2" t="s">
        <v>53</v>
      </c>
      <c r="I1985" s="2" t="s">
        <v>15</v>
      </c>
      <c r="J1985" s="2" t="s">
        <v>15</v>
      </c>
    </row>
    <row r="1986" ht="15.75" customHeight="1">
      <c r="A1986" s="1" t="s">
        <v>4038</v>
      </c>
      <c r="B1986" s="1" t="s">
        <v>4039</v>
      </c>
      <c r="C1986" s="1" t="s">
        <v>12</v>
      </c>
      <c r="D1986" s="1" t="s">
        <v>4017</v>
      </c>
      <c r="E1986" s="4">
        <v>1016086.0</v>
      </c>
      <c r="F1986" s="2">
        <v>3.0</v>
      </c>
      <c r="G1986" s="2" t="s">
        <v>1</v>
      </c>
      <c r="H1986" s="2" t="s">
        <v>21</v>
      </c>
      <c r="I1986" s="2" t="s">
        <v>15</v>
      </c>
      <c r="J1986" s="2" t="s">
        <v>15</v>
      </c>
    </row>
    <row r="1987" ht="15.75" customHeight="1">
      <c r="A1987" s="1" t="s">
        <v>4040</v>
      </c>
      <c r="B1987" s="1" t="s">
        <v>4041</v>
      </c>
      <c r="C1987" s="1" t="s">
        <v>12</v>
      </c>
      <c r="D1987" s="1" t="s">
        <v>4017</v>
      </c>
      <c r="E1987" s="4">
        <v>1016086.0</v>
      </c>
      <c r="F1987" s="2">
        <v>4.0</v>
      </c>
      <c r="G1987" s="2" t="s">
        <v>1</v>
      </c>
      <c r="H1987" s="2" t="s">
        <v>14</v>
      </c>
      <c r="I1987" s="2" t="s">
        <v>15</v>
      </c>
      <c r="J1987" s="2" t="s">
        <v>15</v>
      </c>
    </row>
    <row r="1988" ht="15.75" customHeight="1">
      <c r="A1988" s="1" t="s">
        <v>4042</v>
      </c>
      <c r="B1988" s="1" t="s">
        <v>4043</v>
      </c>
      <c r="C1988" s="1" t="s">
        <v>12</v>
      </c>
      <c r="D1988" s="1" t="s">
        <v>4017</v>
      </c>
      <c r="E1988" s="4">
        <v>1016086.0</v>
      </c>
      <c r="F1988" s="2">
        <v>4.0</v>
      </c>
      <c r="G1988" s="2" t="s">
        <v>1</v>
      </c>
      <c r="H1988" s="2" t="s">
        <v>18</v>
      </c>
      <c r="I1988" s="2" t="s">
        <v>15</v>
      </c>
      <c r="J1988" s="2" t="s">
        <v>15</v>
      </c>
    </row>
    <row r="1989" ht="15.75" customHeight="1">
      <c r="A1989" s="1" t="s">
        <v>4044</v>
      </c>
      <c r="B1989" s="1" t="s">
        <v>4045</v>
      </c>
      <c r="C1989" s="1" t="s">
        <v>12</v>
      </c>
      <c r="D1989" s="1" t="s">
        <v>4017</v>
      </c>
      <c r="E1989" s="4">
        <v>1016086.0</v>
      </c>
      <c r="F1989" s="2">
        <v>4.0</v>
      </c>
      <c r="G1989" s="2" t="s">
        <v>1</v>
      </c>
      <c r="H1989" s="2" t="s">
        <v>21</v>
      </c>
      <c r="I1989" s="2" t="s">
        <v>15</v>
      </c>
      <c r="J1989" s="2" t="s">
        <v>15</v>
      </c>
    </row>
    <row r="1990" ht="15.75" customHeight="1">
      <c r="A1990" s="1" t="s">
        <v>4046</v>
      </c>
      <c r="B1990" s="1" t="s">
        <v>4047</v>
      </c>
      <c r="C1990" s="1" t="s">
        <v>12</v>
      </c>
      <c r="D1990" s="1" t="s">
        <v>4017</v>
      </c>
      <c r="E1990" s="4">
        <v>1016086.0</v>
      </c>
      <c r="F1990" s="2" t="s">
        <v>15</v>
      </c>
      <c r="G1990" s="2" t="s">
        <v>1</v>
      </c>
      <c r="H1990" s="2" t="s">
        <v>53</v>
      </c>
      <c r="I1990" s="2" t="s">
        <v>15</v>
      </c>
      <c r="J1990" s="2" t="s">
        <v>15</v>
      </c>
    </row>
    <row r="1991" ht="15.75" customHeight="1">
      <c r="A1991" s="1" t="s">
        <v>4048</v>
      </c>
      <c r="B1991" s="1" t="s">
        <v>4049</v>
      </c>
      <c r="C1991" s="1" t="s">
        <v>12</v>
      </c>
      <c r="D1991" s="1" t="s">
        <v>4017</v>
      </c>
      <c r="E1991" s="4">
        <v>1016086.0</v>
      </c>
      <c r="F1991" s="2" t="s">
        <v>30</v>
      </c>
      <c r="G1991" s="2" t="s">
        <v>1</v>
      </c>
      <c r="H1991" s="2" t="s">
        <v>53</v>
      </c>
      <c r="I1991" s="2" t="s">
        <v>15</v>
      </c>
      <c r="J1991" s="2" t="s">
        <v>15</v>
      </c>
    </row>
    <row r="1992" ht="15.75" customHeight="1">
      <c r="A1992" s="1" t="s">
        <v>4050</v>
      </c>
      <c r="B1992" s="1" t="s">
        <v>4051</v>
      </c>
      <c r="C1992" s="1" t="s">
        <v>12</v>
      </c>
      <c r="D1992" s="1" t="s">
        <v>4017</v>
      </c>
      <c r="E1992" s="4">
        <v>1016086.0</v>
      </c>
      <c r="F1992" s="2" t="s">
        <v>30</v>
      </c>
      <c r="G1992" s="2" t="s">
        <v>1</v>
      </c>
      <c r="H1992" s="2" t="s">
        <v>14</v>
      </c>
      <c r="I1992" s="2" t="s">
        <v>15</v>
      </c>
      <c r="J1992" s="2" t="s">
        <v>15</v>
      </c>
    </row>
    <row r="1993" ht="15.75" customHeight="1">
      <c r="A1993" s="1" t="s">
        <v>4052</v>
      </c>
      <c r="B1993" s="1" t="s">
        <v>4053</v>
      </c>
      <c r="C1993" s="1" t="s">
        <v>12</v>
      </c>
      <c r="D1993" s="1" t="s">
        <v>4017</v>
      </c>
      <c r="E1993" s="4">
        <v>1016086.0</v>
      </c>
      <c r="F1993" s="2" t="s">
        <v>15</v>
      </c>
      <c r="G1993" s="2" t="s">
        <v>33</v>
      </c>
      <c r="H1993" s="2" t="s">
        <v>15</v>
      </c>
      <c r="I1993" s="2" t="s">
        <v>15</v>
      </c>
      <c r="J1993" s="2" t="s">
        <v>15</v>
      </c>
    </row>
    <row r="1994" ht="15.75" customHeight="1">
      <c r="A1994" s="1" t="s">
        <v>4054</v>
      </c>
      <c r="B1994" s="1" t="s">
        <v>4055</v>
      </c>
      <c r="C1994" s="1" t="s">
        <v>12</v>
      </c>
      <c r="D1994" s="1" t="s">
        <v>4017</v>
      </c>
      <c r="E1994" s="4">
        <v>1016086.0</v>
      </c>
      <c r="F1994" s="2">
        <v>1.0</v>
      </c>
      <c r="G1994" s="2" t="s">
        <v>1</v>
      </c>
      <c r="H1994" s="2" t="s">
        <v>37</v>
      </c>
      <c r="I1994" s="2" t="s">
        <v>15</v>
      </c>
      <c r="J1994" s="2" t="s">
        <v>15</v>
      </c>
    </row>
    <row r="1995" ht="15.75" customHeight="1">
      <c r="A1995" s="1" t="s">
        <v>4056</v>
      </c>
      <c r="B1995" s="1" t="s">
        <v>4057</v>
      </c>
      <c r="C1995" s="1" t="s">
        <v>12</v>
      </c>
      <c r="D1995" s="1" t="s">
        <v>4017</v>
      </c>
      <c r="E1995" s="4">
        <v>1016086.0</v>
      </c>
      <c r="F1995" s="2">
        <v>2.0</v>
      </c>
      <c r="G1995" s="2" t="s">
        <v>1</v>
      </c>
      <c r="H1995" s="2" t="s">
        <v>37</v>
      </c>
      <c r="I1995" s="2" t="s">
        <v>15</v>
      </c>
      <c r="J1995" s="2" t="s">
        <v>15</v>
      </c>
    </row>
    <row r="1996" ht="15.75" customHeight="1">
      <c r="A1996" s="1" t="s">
        <v>4058</v>
      </c>
      <c r="B1996" s="1" t="s">
        <v>4059</v>
      </c>
      <c r="C1996" s="1" t="s">
        <v>12</v>
      </c>
      <c r="D1996" s="1" t="s">
        <v>4017</v>
      </c>
      <c r="E1996" s="4">
        <v>1016086.0</v>
      </c>
      <c r="F1996" s="2">
        <v>3.0</v>
      </c>
      <c r="G1996" s="2" t="s">
        <v>1</v>
      </c>
      <c r="H1996" s="2" t="s">
        <v>37</v>
      </c>
      <c r="I1996" s="2" t="s">
        <v>15</v>
      </c>
      <c r="J1996" s="2" t="s">
        <v>15</v>
      </c>
    </row>
    <row r="1997" ht="15.75" customHeight="1">
      <c r="A1997" s="1" t="s">
        <v>4060</v>
      </c>
      <c r="B1997" s="1" t="s">
        <v>4061</v>
      </c>
      <c r="C1997" s="1" t="s">
        <v>12</v>
      </c>
      <c r="D1997" s="1" t="s">
        <v>4017</v>
      </c>
      <c r="E1997" s="4">
        <v>1016086.0</v>
      </c>
      <c r="F1997" s="2">
        <v>4.0</v>
      </c>
      <c r="G1997" s="2" t="s">
        <v>1</v>
      </c>
      <c r="H1997" s="2" t="s">
        <v>37</v>
      </c>
      <c r="I1997" s="2" t="s">
        <v>15</v>
      </c>
      <c r="J1997" s="2" t="s">
        <v>15</v>
      </c>
    </row>
    <row r="1998" ht="15.75" customHeight="1">
      <c r="A1998" s="1" t="s">
        <v>4062</v>
      </c>
      <c r="B1998" s="1" t="s">
        <v>4063</v>
      </c>
      <c r="C1998" s="1" t="s">
        <v>12</v>
      </c>
      <c r="D1998" s="1" t="s">
        <v>4017</v>
      </c>
      <c r="E1998" s="4">
        <v>1016086.0</v>
      </c>
      <c r="F1998" s="2" t="s">
        <v>30</v>
      </c>
      <c r="G1998" s="2" t="s">
        <v>1</v>
      </c>
      <c r="H1998" s="2" t="s">
        <v>37</v>
      </c>
      <c r="I1998" s="2" t="s">
        <v>15</v>
      </c>
      <c r="J1998" s="2" t="s">
        <v>15</v>
      </c>
    </row>
    <row r="1999" ht="15.75" customHeight="1">
      <c r="A1999" s="1" t="s">
        <v>4064</v>
      </c>
      <c r="B1999" s="1" t="s">
        <v>4065</v>
      </c>
      <c r="C1999" s="1" t="s">
        <v>12</v>
      </c>
      <c r="D1999" s="1" t="s">
        <v>4066</v>
      </c>
      <c r="E1999" s="4">
        <v>1016150.0</v>
      </c>
      <c r="F1999" s="2">
        <v>1.0</v>
      </c>
      <c r="G1999" s="2" t="s">
        <v>1</v>
      </c>
      <c r="H1999" s="2" t="s">
        <v>14</v>
      </c>
      <c r="I1999" s="5" t="str">
        <f>IFERROR(
  MID(
    SUBSTITUTE(B1999, CHAR(10), ""),
    FIND("_Gross ROI=", SUBSTITUTE(B1999, CHAR(10), "")) + LEN("_Gross ROI="),
    FIND("%", SUBSTITUTE(B1999, CHAR(10), ""), FIND("_Gross ROI=", SUBSTITUTE(B1999, CHAR(10), "")))
      - FIND("_Gross ROI=", SUBSTITUTE(B1999, CHAR(10), "")) - LEN("_Gross ROI=") + 1
  ),
  ""
)</f>
        <v>4.91%</v>
      </c>
      <c r="J1999" s="5" t="str">
        <f>IFERROR(
  MID(
    SUBSTITUTE(B1999, CHAR(10), ""),
    FIND("_Median annual rent=", SUBSTITUTE(B1999, CHAR(10), "")) + LEN("_Median annual rent="),
    FIND("K", SUBSTITUTE(B1999, CHAR(10), ""), FIND("_Median annual rent=", SUBSTITUTE(B1999, CHAR(10), "")))
      - FIND("_Median annual rent=", SUBSTITUTE(B1999, CHAR(10), "")) - LEN("_Median annual rent=") + 1
  ),
  "")</f>
        <v>132.5K</v>
      </c>
    </row>
    <row r="2000" ht="15.75" customHeight="1">
      <c r="A2000" s="1" t="s">
        <v>4067</v>
      </c>
      <c r="B2000" s="1" t="s">
        <v>4068</v>
      </c>
      <c r="C2000" s="1" t="s">
        <v>12</v>
      </c>
      <c r="D2000" s="1" t="s">
        <v>4066</v>
      </c>
      <c r="E2000" s="4">
        <v>1016150.0</v>
      </c>
      <c r="F2000" s="2">
        <v>1.0</v>
      </c>
      <c r="G2000" s="2" t="s">
        <v>1</v>
      </c>
      <c r="H2000" s="2" t="s">
        <v>18</v>
      </c>
      <c r="I2000" s="2" t="s">
        <v>15</v>
      </c>
      <c r="J2000" s="2" t="s">
        <v>15</v>
      </c>
    </row>
    <row r="2001" ht="15.75" customHeight="1">
      <c r="A2001" s="1" t="s">
        <v>4069</v>
      </c>
      <c r="B2001" s="1" t="s">
        <v>4021</v>
      </c>
      <c r="C2001" s="1" t="s">
        <v>12</v>
      </c>
      <c r="D2001" s="1" t="s">
        <v>4066</v>
      </c>
      <c r="E2001" s="4">
        <v>1016150.0</v>
      </c>
      <c r="F2001" s="2">
        <v>1.0</v>
      </c>
      <c r="G2001" s="2" t="s">
        <v>1</v>
      </c>
      <c r="H2001" s="2" t="s">
        <v>53</v>
      </c>
      <c r="I2001" s="2" t="s">
        <v>15</v>
      </c>
      <c r="J2001" s="2" t="s">
        <v>15</v>
      </c>
    </row>
    <row r="2002" ht="15.75" customHeight="1">
      <c r="A2002" s="1" t="s">
        <v>4070</v>
      </c>
      <c r="B2002" s="1" t="s">
        <v>4071</v>
      </c>
      <c r="C2002" s="1" t="s">
        <v>12</v>
      </c>
      <c r="D2002" s="1" t="s">
        <v>4066</v>
      </c>
      <c r="E2002" s="4">
        <v>1016150.0</v>
      </c>
      <c r="F2002" s="2">
        <v>1.0</v>
      </c>
      <c r="G2002" s="2" t="s">
        <v>1</v>
      </c>
      <c r="H2002" s="2" t="s">
        <v>21</v>
      </c>
      <c r="I2002" s="2" t="s">
        <v>15</v>
      </c>
      <c r="J2002" s="2" t="s">
        <v>15</v>
      </c>
    </row>
    <row r="2003" ht="15.75" customHeight="1">
      <c r="A2003" s="1" t="s">
        <v>4072</v>
      </c>
      <c r="B2003" s="1" t="s">
        <v>4073</v>
      </c>
      <c r="C2003" s="1" t="s">
        <v>12</v>
      </c>
      <c r="D2003" s="1" t="s">
        <v>4066</v>
      </c>
      <c r="E2003" s="4">
        <v>1016150.0</v>
      </c>
      <c r="F2003" s="2">
        <v>2.0</v>
      </c>
      <c r="G2003" s="2" t="s">
        <v>1</v>
      </c>
      <c r="H2003" s="2" t="s">
        <v>14</v>
      </c>
      <c r="I2003" s="5" t="str">
        <f>IFERROR(
  MID(
    SUBSTITUTE(B2003, CHAR(10), ""),
    FIND("_Gross ROI=", SUBSTITUTE(B2003, CHAR(10), "")) + LEN("_Gross ROI="),
    FIND("%", SUBSTITUTE(B2003, CHAR(10), ""), FIND("_Gross ROI=", SUBSTITUTE(B2003, CHAR(10), "")))
      - FIND("_Gross ROI=", SUBSTITUTE(B2003, CHAR(10), "")) - LEN("_Gross ROI=") + 1
  ),
  ""
)</f>
        <v>6.05%</v>
      </c>
      <c r="J2003" s="5" t="str">
        <f>IFERROR(
  MID(
    SUBSTITUTE(B2003, CHAR(10), ""),
    FIND("_Median annual rent=", SUBSTITUTE(B2003, CHAR(10), "")) + LEN("_Median annual rent="),
    FIND("K", SUBSTITUTE(B2003, CHAR(10), ""), FIND("_Median annual rent=", SUBSTITUTE(B2003, CHAR(10), "")))
      - FIND("_Median annual rent=", SUBSTITUTE(B2003, CHAR(10), "")) - LEN("_Median annual rent=") + 1
  ),
  "")</f>
        <v>242.5K</v>
      </c>
    </row>
    <row r="2004" ht="15.75" customHeight="1">
      <c r="A2004" s="1" t="s">
        <v>4074</v>
      </c>
      <c r="B2004" s="1" t="s">
        <v>4075</v>
      </c>
      <c r="C2004" s="1" t="s">
        <v>12</v>
      </c>
      <c r="D2004" s="1" t="s">
        <v>4066</v>
      </c>
      <c r="E2004" s="4">
        <v>1016150.0</v>
      </c>
      <c r="F2004" s="2">
        <v>2.0</v>
      </c>
      <c r="G2004" s="2" t="s">
        <v>1</v>
      </c>
      <c r="H2004" s="2" t="s">
        <v>18</v>
      </c>
      <c r="I2004" s="2" t="s">
        <v>15</v>
      </c>
      <c r="J2004" s="2" t="s">
        <v>15</v>
      </c>
    </row>
    <row r="2005" ht="15.75" customHeight="1">
      <c r="A2005" s="1" t="s">
        <v>4076</v>
      </c>
      <c r="B2005" s="1" t="s">
        <v>4029</v>
      </c>
      <c r="C2005" s="1" t="s">
        <v>12</v>
      </c>
      <c r="D2005" s="1" t="s">
        <v>4066</v>
      </c>
      <c r="E2005" s="4">
        <v>1016150.0</v>
      </c>
      <c r="F2005" s="2">
        <v>2.0</v>
      </c>
      <c r="G2005" s="2" t="s">
        <v>1</v>
      </c>
      <c r="H2005" s="2" t="s">
        <v>53</v>
      </c>
      <c r="I2005" s="2" t="s">
        <v>15</v>
      </c>
      <c r="J2005" s="2" t="s">
        <v>15</v>
      </c>
    </row>
    <row r="2006" ht="15.75" customHeight="1">
      <c r="A2006" s="1" t="s">
        <v>4077</v>
      </c>
      <c r="B2006" s="1" t="s">
        <v>4078</v>
      </c>
      <c r="C2006" s="1" t="s">
        <v>12</v>
      </c>
      <c r="D2006" s="1" t="s">
        <v>4066</v>
      </c>
      <c r="E2006" s="4">
        <v>1016150.0</v>
      </c>
      <c r="F2006" s="2">
        <v>2.0</v>
      </c>
      <c r="G2006" s="2" t="s">
        <v>1</v>
      </c>
      <c r="H2006" s="2" t="s">
        <v>21</v>
      </c>
      <c r="I2006" s="2" t="s">
        <v>15</v>
      </c>
      <c r="J2006" s="2" t="s">
        <v>15</v>
      </c>
    </row>
    <row r="2007" ht="15.75" customHeight="1">
      <c r="A2007" s="1" t="s">
        <v>4079</v>
      </c>
      <c r="B2007" s="1" t="s">
        <v>4080</v>
      </c>
      <c r="C2007" s="1" t="s">
        <v>12</v>
      </c>
      <c r="D2007" s="1" t="s">
        <v>4066</v>
      </c>
      <c r="E2007" s="4">
        <v>1016150.0</v>
      </c>
      <c r="F2007" s="2">
        <v>3.0</v>
      </c>
      <c r="G2007" s="2" t="s">
        <v>1</v>
      </c>
      <c r="H2007" s="2" t="s">
        <v>14</v>
      </c>
      <c r="I2007" s="5" t="str">
        <f>IFERROR(
  MID(
    SUBSTITUTE(B2007, CHAR(10), ""),
    FIND("_Gross ROI=", SUBSTITUTE(B2007, CHAR(10), "")) + LEN("_Gross ROI="),
    FIND("%", SUBSTITUTE(B2007, CHAR(10), ""), FIND("_Gross ROI=", SUBSTITUTE(B2007, CHAR(10), "")))
      - FIND("_Gross ROI=", SUBSTITUTE(B2007, CHAR(10), "")) - LEN("_Gross ROI=") + 1
  ),
  ""
)</f>
        <v>5.18%</v>
      </c>
      <c r="J2007" s="5" t="str">
        <f>IFERROR(
  MID(
    SUBSTITUTE(B2007, CHAR(10), ""),
    FIND("_Median annual rent=", SUBSTITUTE(B2007, CHAR(10), "")) + LEN("_Median annual rent="),
    FIND("K", SUBSTITUTE(B2007, CHAR(10), ""), FIND("_Median annual rent=", SUBSTITUTE(B2007, CHAR(10), "")))
      - FIND("_Median annual rent=", SUBSTITUTE(B2007, CHAR(10), "")) - LEN("_Median annual rent=") + 1
  ),
  "")</f>
        <v>350K</v>
      </c>
    </row>
    <row r="2008" ht="15.75" customHeight="1">
      <c r="A2008" s="1" t="s">
        <v>4081</v>
      </c>
      <c r="B2008" s="1" t="s">
        <v>4082</v>
      </c>
      <c r="C2008" s="1" t="s">
        <v>12</v>
      </c>
      <c r="D2008" s="1" t="s">
        <v>4066</v>
      </c>
      <c r="E2008" s="4">
        <v>1016150.0</v>
      </c>
      <c r="F2008" s="2">
        <v>3.0</v>
      </c>
      <c r="G2008" s="2" t="s">
        <v>1</v>
      </c>
      <c r="H2008" s="2" t="s">
        <v>18</v>
      </c>
      <c r="I2008" s="2" t="s">
        <v>15</v>
      </c>
      <c r="J2008" s="2" t="s">
        <v>15</v>
      </c>
    </row>
    <row r="2009" ht="15.75" customHeight="1">
      <c r="A2009" s="1" t="s">
        <v>4083</v>
      </c>
      <c r="B2009" s="1" t="s">
        <v>4037</v>
      </c>
      <c r="C2009" s="1" t="s">
        <v>12</v>
      </c>
      <c r="D2009" s="1" t="s">
        <v>4066</v>
      </c>
      <c r="E2009" s="4">
        <v>1016150.0</v>
      </c>
      <c r="F2009" s="2">
        <v>3.0</v>
      </c>
      <c r="G2009" s="2" t="s">
        <v>1</v>
      </c>
      <c r="H2009" s="2" t="s">
        <v>53</v>
      </c>
      <c r="I2009" s="2" t="s">
        <v>15</v>
      </c>
      <c r="J2009" s="2" t="s">
        <v>15</v>
      </c>
    </row>
    <row r="2010" ht="15.75" customHeight="1">
      <c r="A2010" s="1" t="s">
        <v>4084</v>
      </c>
      <c r="B2010" s="1" t="s">
        <v>4085</v>
      </c>
      <c r="C2010" s="1" t="s">
        <v>12</v>
      </c>
      <c r="D2010" s="1" t="s">
        <v>4066</v>
      </c>
      <c r="E2010" s="4">
        <v>1016150.0</v>
      </c>
      <c r="F2010" s="2">
        <v>3.0</v>
      </c>
      <c r="G2010" s="2" t="s">
        <v>1</v>
      </c>
      <c r="H2010" s="2" t="s">
        <v>21</v>
      </c>
      <c r="I2010" s="2" t="s">
        <v>15</v>
      </c>
      <c r="J2010" s="2" t="s">
        <v>15</v>
      </c>
    </row>
    <row r="2011" ht="15.75" customHeight="1">
      <c r="A2011" s="1" t="s">
        <v>4086</v>
      </c>
      <c r="B2011" s="1" t="s">
        <v>4047</v>
      </c>
      <c r="C2011" s="1" t="s">
        <v>12</v>
      </c>
      <c r="D2011" s="1" t="s">
        <v>4066</v>
      </c>
      <c r="E2011" s="4">
        <v>1016150.0</v>
      </c>
      <c r="F2011" s="2" t="s">
        <v>15</v>
      </c>
      <c r="G2011" s="2" t="s">
        <v>1</v>
      </c>
      <c r="H2011" s="2" t="s">
        <v>53</v>
      </c>
      <c r="I2011" s="2" t="s">
        <v>15</v>
      </c>
      <c r="J2011" s="2" t="s">
        <v>15</v>
      </c>
    </row>
    <row r="2012" ht="15.75" customHeight="1">
      <c r="A2012" s="1" t="s">
        <v>4087</v>
      </c>
      <c r="B2012" s="1" t="s">
        <v>4049</v>
      </c>
      <c r="C2012" s="1" t="s">
        <v>12</v>
      </c>
      <c r="D2012" s="1" t="s">
        <v>4066</v>
      </c>
      <c r="E2012" s="4">
        <v>1016150.0</v>
      </c>
      <c r="F2012" s="2" t="s">
        <v>30</v>
      </c>
      <c r="G2012" s="2" t="s">
        <v>1</v>
      </c>
      <c r="H2012" s="2" t="s">
        <v>53</v>
      </c>
      <c r="I2012" s="2" t="s">
        <v>15</v>
      </c>
      <c r="J2012" s="2" t="s">
        <v>15</v>
      </c>
    </row>
    <row r="2013" ht="15.75" customHeight="1">
      <c r="A2013" s="1" t="s">
        <v>4088</v>
      </c>
      <c r="B2013" s="1" t="s">
        <v>4089</v>
      </c>
      <c r="C2013" s="1" t="s">
        <v>12</v>
      </c>
      <c r="D2013" s="1" t="s">
        <v>4066</v>
      </c>
      <c r="E2013" s="4">
        <v>1016150.0</v>
      </c>
      <c r="F2013" s="2" t="s">
        <v>30</v>
      </c>
      <c r="G2013" s="2" t="s">
        <v>1</v>
      </c>
      <c r="H2013" s="2" t="s">
        <v>14</v>
      </c>
      <c r="I2013" s="2" t="s">
        <v>15</v>
      </c>
      <c r="J2013" s="2" t="s">
        <v>15</v>
      </c>
    </row>
    <row r="2014" ht="15.75" customHeight="1">
      <c r="A2014" s="1" t="s">
        <v>4090</v>
      </c>
      <c r="B2014" s="1" t="s">
        <v>4091</v>
      </c>
      <c r="C2014" s="1" t="s">
        <v>12</v>
      </c>
      <c r="D2014" s="1" t="s">
        <v>4066</v>
      </c>
      <c r="E2014" s="4">
        <v>1016150.0</v>
      </c>
      <c r="F2014" s="2" t="s">
        <v>15</v>
      </c>
      <c r="G2014" s="2" t="s">
        <v>33</v>
      </c>
      <c r="H2014" s="2" t="s">
        <v>15</v>
      </c>
      <c r="I2014" s="2" t="s">
        <v>15</v>
      </c>
      <c r="J2014" s="2" t="s">
        <v>15</v>
      </c>
    </row>
    <row r="2015" ht="15.75" customHeight="1">
      <c r="A2015" s="1" t="s">
        <v>4092</v>
      </c>
      <c r="B2015" s="1" t="s">
        <v>4093</v>
      </c>
      <c r="C2015" s="1" t="s">
        <v>12</v>
      </c>
      <c r="D2015" s="1" t="s">
        <v>4066</v>
      </c>
      <c r="E2015" s="4">
        <v>1016150.0</v>
      </c>
      <c r="F2015" s="2">
        <v>1.0</v>
      </c>
      <c r="G2015" s="2" t="s">
        <v>1</v>
      </c>
      <c r="H2015" s="2" t="s">
        <v>37</v>
      </c>
      <c r="I2015" s="2" t="s">
        <v>15</v>
      </c>
      <c r="J2015" s="2" t="s">
        <v>15</v>
      </c>
    </row>
    <row r="2016" ht="15.75" customHeight="1">
      <c r="A2016" s="1" t="s">
        <v>4094</v>
      </c>
      <c r="B2016" s="1" t="s">
        <v>4095</v>
      </c>
      <c r="C2016" s="1" t="s">
        <v>12</v>
      </c>
      <c r="D2016" s="1" t="s">
        <v>4066</v>
      </c>
      <c r="E2016" s="4">
        <v>1016150.0</v>
      </c>
      <c r="F2016" s="2">
        <v>2.0</v>
      </c>
      <c r="G2016" s="2" t="s">
        <v>1</v>
      </c>
      <c r="H2016" s="2" t="s">
        <v>37</v>
      </c>
      <c r="I2016" s="2" t="s">
        <v>15</v>
      </c>
      <c r="J2016" s="2" t="s">
        <v>15</v>
      </c>
    </row>
    <row r="2017" ht="15.75" customHeight="1">
      <c r="A2017" s="1" t="s">
        <v>4096</v>
      </c>
      <c r="B2017" s="1" t="s">
        <v>4097</v>
      </c>
      <c r="C2017" s="1" t="s">
        <v>12</v>
      </c>
      <c r="D2017" s="1" t="s">
        <v>4066</v>
      </c>
      <c r="E2017" s="4">
        <v>1016150.0</v>
      </c>
      <c r="F2017" s="2">
        <v>3.0</v>
      </c>
      <c r="G2017" s="2" t="s">
        <v>1</v>
      </c>
      <c r="H2017" s="2" t="s">
        <v>37</v>
      </c>
      <c r="I2017" s="2" t="s">
        <v>15</v>
      </c>
      <c r="J2017" s="2" t="s">
        <v>15</v>
      </c>
    </row>
    <row r="2018" ht="15.75" customHeight="1">
      <c r="A2018" s="1" t="s">
        <v>4098</v>
      </c>
      <c r="B2018" s="1" t="s">
        <v>4099</v>
      </c>
      <c r="C2018" s="1" t="s">
        <v>12</v>
      </c>
      <c r="D2018" s="1" t="s">
        <v>4066</v>
      </c>
      <c r="E2018" s="4">
        <v>1016150.0</v>
      </c>
      <c r="F2018" s="2" t="s">
        <v>30</v>
      </c>
      <c r="G2018" s="2" t="s">
        <v>1</v>
      </c>
      <c r="H2018" s="2" t="s">
        <v>37</v>
      </c>
      <c r="I2018" s="2" t="s">
        <v>15</v>
      </c>
      <c r="J2018" s="2" t="s">
        <v>15</v>
      </c>
    </row>
    <row r="2019" ht="15.75" customHeight="1">
      <c r="A2019" s="1" t="s">
        <v>4100</v>
      </c>
      <c r="B2019" s="1" t="s">
        <v>4101</v>
      </c>
      <c r="C2019" s="1" t="s">
        <v>12</v>
      </c>
      <c r="D2019" s="1" t="s">
        <v>4102</v>
      </c>
      <c r="E2019" s="4">
        <v>1016214.0</v>
      </c>
      <c r="F2019" s="2">
        <v>1.0</v>
      </c>
      <c r="G2019" s="2" t="s">
        <v>1</v>
      </c>
      <c r="H2019" s="2" t="s">
        <v>14</v>
      </c>
      <c r="I2019" s="5" t="str">
        <f>IFERROR(
  MID(
    SUBSTITUTE(B2019, CHAR(10), ""),
    FIND("_Gross ROI=", SUBSTITUTE(B2019, CHAR(10), "")) + LEN("_Gross ROI="),
    FIND("%", SUBSTITUTE(B2019, CHAR(10), ""), FIND("_Gross ROI=", SUBSTITUTE(B2019, CHAR(10), "")))
      - FIND("_Gross ROI=", SUBSTITUTE(B2019, CHAR(10), "")) - LEN("_Gross ROI=") + 1
  ),
  ""
)</f>
        <v>6.13%</v>
      </c>
      <c r="J2019" s="5" t="str">
        <f>IFERROR(
  MID(
    SUBSTITUTE(B2019, CHAR(10), ""),
    FIND("_Median annual rent=", SUBSTITUTE(B2019, CHAR(10), "")) + LEN("_Median annual rent="),
    FIND("K", SUBSTITUTE(B2019, CHAR(10), ""), FIND("_Median annual rent=", SUBSTITUTE(B2019, CHAR(10), "")))
      - FIND("_Median annual rent=", SUBSTITUTE(B2019, CHAR(10), "")) - LEN("_Median annual rent=") + 1
  ),
  "")</f>
        <v>147K</v>
      </c>
    </row>
    <row r="2020" ht="15.75" customHeight="1">
      <c r="A2020" s="1" t="s">
        <v>4103</v>
      </c>
      <c r="B2020" s="1" t="s">
        <v>4104</v>
      </c>
      <c r="C2020" s="1" t="s">
        <v>12</v>
      </c>
      <c r="D2020" s="1" t="s">
        <v>4102</v>
      </c>
      <c r="E2020" s="4">
        <v>1016214.0</v>
      </c>
      <c r="F2020" s="2">
        <v>1.0</v>
      </c>
      <c r="G2020" s="2" t="s">
        <v>1</v>
      </c>
      <c r="H2020" s="2" t="s">
        <v>18</v>
      </c>
      <c r="I2020" s="2" t="s">
        <v>15</v>
      </c>
      <c r="J2020" s="2" t="s">
        <v>15</v>
      </c>
    </row>
    <row r="2021" ht="15.75" customHeight="1">
      <c r="A2021" s="1" t="s">
        <v>4105</v>
      </c>
      <c r="B2021" s="1" t="s">
        <v>4106</v>
      </c>
      <c r="C2021" s="1" t="s">
        <v>12</v>
      </c>
      <c r="D2021" s="1" t="s">
        <v>4102</v>
      </c>
      <c r="E2021" s="4">
        <v>1016214.0</v>
      </c>
      <c r="F2021" s="2">
        <v>1.0</v>
      </c>
      <c r="G2021" s="2" t="s">
        <v>1</v>
      </c>
      <c r="H2021" s="2" t="s">
        <v>53</v>
      </c>
      <c r="I2021" s="2" t="s">
        <v>15</v>
      </c>
      <c r="J2021" s="2" t="s">
        <v>15</v>
      </c>
    </row>
    <row r="2022" ht="15.75" customHeight="1">
      <c r="A2022" s="1" t="s">
        <v>4107</v>
      </c>
      <c r="B2022" s="1" t="s">
        <v>4108</v>
      </c>
      <c r="C2022" s="1" t="s">
        <v>12</v>
      </c>
      <c r="D2022" s="1" t="s">
        <v>4102</v>
      </c>
      <c r="E2022" s="4">
        <v>1016214.0</v>
      </c>
      <c r="F2022" s="2">
        <v>1.0</v>
      </c>
      <c r="G2022" s="2" t="s">
        <v>1</v>
      </c>
      <c r="H2022" s="2" t="s">
        <v>21</v>
      </c>
      <c r="I2022" s="2" t="s">
        <v>15</v>
      </c>
      <c r="J2022" s="2" t="s">
        <v>15</v>
      </c>
    </row>
    <row r="2023" ht="15.75" customHeight="1">
      <c r="A2023" s="1" t="s">
        <v>4109</v>
      </c>
      <c r="B2023" s="1" t="s">
        <v>4110</v>
      </c>
      <c r="C2023" s="1" t="s">
        <v>12</v>
      </c>
      <c r="D2023" s="1" t="s">
        <v>4102</v>
      </c>
      <c r="E2023" s="4">
        <v>1016214.0</v>
      </c>
      <c r="F2023" s="2">
        <v>2.0</v>
      </c>
      <c r="G2023" s="2" t="s">
        <v>1</v>
      </c>
      <c r="H2023" s="2" t="s">
        <v>14</v>
      </c>
      <c r="I2023" s="5" t="str">
        <f>IFERROR(
  MID(
    SUBSTITUTE(B2023, CHAR(10), ""),
    FIND("_Gross ROI=", SUBSTITUTE(B2023, CHAR(10), "")) + LEN("_Gross ROI="),
    FIND("%", SUBSTITUTE(B2023, CHAR(10), ""), FIND("_Gross ROI=", SUBSTITUTE(B2023, CHAR(10), "")))
      - FIND("_Gross ROI=", SUBSTITUTE(B2023, CHAR(10), "")) - LEN("_Gross ROI=") + 1
  ),
  ""
)</f>
        <v>5.99%</v>
      </c>
      <c r="J2023" s="5" t="str">
        <f>IFERROR(
  MID(
    SUBSTITUTE(B2023, CHAR(10), ""),
    FIND("_Median annual rent=", SUBSTITUTE(B2023, CHAR(10), "")) + LEN("_Median annual rent="),
    FIND("K", SUBSTITUTE(B2023, CHAR(10), ""), FIND("_Median annual rent=", SUBSTITUTE(B2023, CHAR(10), "")))
      - FIND("_Median annual rent=", SUBSTITUTE(B2023, CHAR(10), "")) - LEN("_Median annual rent=") + 1
  ),
  "")</f>
        <v>260K</v>
      </c>
    </row>
    <row r="2024" ht="15.75" customHeight="1">
      <c r="A2024" s="1" t="s">
        <v>4111</v>
      </c>
      <c r="B2024" s="1" t="s">
        <v>4112</v>
      </c>
      <c r="C2024" s="1" t="s">
        <v>12</v>
      </c>
      <c r="D2024" s="1" t="s">
        <v>4102</v>
      </c>
      <c r="E2024" s="4">
        <v>1016214.0</v>
      </c>
      <c r="F2024" s="2">
        <v>2.0</v>
      </c>
      <c r="G2024" s="2" t="s">
        <v>1</v>
      </c>
      <c r="H2024" s="2" t="s">
        <v>18</v>
      </c>
      <c r="I2024" s="2" t="s">
        <v>15</v>
      </c>
      <c r="J2024" s="2" t="s">
        <v>15</v>
      </c>
    </row>
    <row r="2025" ht="15.75" customHeight="1">
      <c r="A2025" s="1" t="s">
        <v>4113</v>
      </c>
      <c r="B2025" s="1" t="s">
        <v>4114</v>
      </c>
      <c r="C2025" s="1" t="s">
        <v>12</v>
      </c>
      <c r="D2025" s="1" t="s">
        <v>4102</v>
      </c>
      <c r="E2025" s="4">
        <v>1016214.0</v>
      </c>
      <c r="F2025" s="2">
        <v>2.0</v>
      </c>
      <c r="G2025" s="2" t="s">
        <v>1</v>
      </c>
      <c r="H2025" s="2" t="s">
        <v>53</v>
      </c>
      <c r="I2025" s="2" t="s">
        <v>15</v>
      </c>
      <c r="J2025" s="2" t="s">
        <v>15</v>
      </c>
    </row>
    <row r="2026" ht="15.75" customHeight="1">
      <c r="A2026" s="1" t="s">
        <v>4115</v>
      </c>
      <c r="B2026" s="1" t="s">
        <v>4116</v>
      </c>
      <c r="C2026" s="1" t="s">
        <v>12</v>
      </c>
      <c r="D2026" s="1" t="s">
        <v>4102</v>
      </c>
      <c r="E2026" s="4">
        <v>1016214.0</v>
      </c>
      <c r="F2026" s="2">
        <v>2.0</v>
      </c>
      <c r="G2026" s="2" t="s">
        <v>1</v>
      </c>
      <c r="H2026" s="2" t="s">
        <v>21</v>
      </c>
      <c r="I2026" s="2" t="s">
        <v>15</v>
      </c>
      <c r="J2026" s="2" t="s">
        <v>15</v>
      </c>
    </row>
    <row r="2027" ht="15.75" customHeight="1">
      <c r="A2027" s="1" t="s">
        <v>4117</v>
      </c>
      <c r="B2027" s="1" t="s">
        <v>4118</v>
      </c>
      <c r="C2027" s="1" t="s">
        <v>12</v>
      </c>
      <c r="D2027" s="1" t="s">
        <v>4102</v>
      </c>
      <c r="E2027" s="4">
        <v>1016214.0</v>
      </c>
      <c r="F2027" s="2">
        <v>3.0</v>
      </c>
      <c r="G2027" s="2" t="s">
        <v>1</v>
      </c>
      <c r="H2027" s="2" t="s">
        <v>14</v>
      </c>
      <c r="I2027" s="5" t="str">
        <f>IFERROR(
  MID(
    SUBSTITUTE(B2027, CHAR(10), ""),
    FIND("_Gross ROI=", SUBSTITUTE(B2027, CHAR(10), "")) + LEN("_Gross ROI="),
    FIND("%", SUBSTITUTE(B2027, CHAR(10), ""), FIND("_Gross ROI=", SUBSTITUTE(B2027, CHAR(10), "")))
      - FIND("_Gross ROI=", SUBSTITUTE(B2027, CHAR(10), "")) - LEN("_Gross ROI=") + 1
  ),
  ""
)</f>
        <v>6.25%</v>
      </c>
      <c r="J2027" s="5" t="str">
        <f>IFERROR(
  MID(
    SUBSTITUTE(B2027, CHAR(10), ""),
    FIND("_Median annual rent=", SUBSTITUTE(B2027, CHAR(10), "")) + LEN("_Median annual rent="),
    FIND("K", SUBSTITUTE(B2027, CHAR(10), ""), FIND("_Median annual rent=", SUBSTITUTE(B2027, CHAR(10), "")))
      - FIND("_Median annual rent=", SUBSTITUTE(B2027, CHAR(10), "")) - LEN("_Median annual rent=") + 1
  ),
  "")</f>
        <v>420K</v>
      </c>
    </row>
    <row r="2028" ht="15.75" customHeight="1">
      <c r="A2028" s="1" t="s">
        <v>4119</v>
      </c>
      <c r="B2028" s="1" t="s">
        <v>4120</v>
      </c>
      <c r="C2028" s="1" t="s">
        <v>12</v>
      </c>
      <c r="D2028" s="1" t="s">
        <v>4102</v>
      </c>
      <c r="E2028" s="4">
        <v>1016214.0</v>
      </c>
      <c r="F2028" s="2">
        <v>3.0</v>
      </c>
      <c r="G2028" s="2" t="s">
        <v>1</v>
      </c>
      <c r="H2028" s="2" t="s">
        <v>18</v>
      </c>
      <c r="I2028" s="2" t="s">
        <v>15</v>
      </c>
      <c r="J2028" s="2" t="s">
        <v>15</v>
      </c>
    </row>
    <row r="2029" ht="15.75" customHeight="1">
      <c r="A2029" s="1" t="s">
        <v>4121</v>
      </c>
      <c r="B2029" s="1" t="s">
        <v>4122</v>
      </c>
      <c r="C2029" s="1" t="s">
        <v>12</v>
      </c>
      <c r="D2029" s="1" t="s">
        <v>4102</v>
      </c>
      <c r="E2029" s="4">
        <v>1016214.0</v>
      </c>
      <c r="F2029" s="2">
        <v>3.0</v>
      </c>
      <c r="G2029" s="2" t="s">
        <v>1</v>
      </c>
      <c r="H2029" s="2" t="s">
        <v>53</v>
      </c>
      <c r="I2029" s="2" t="s">
        <v>15</v>
      </c>
      <c r="J2029" s="2" t="s">
        <v>15</v>
      </c>
    </row>
    <row r="2030" ht="15.75" customHeight="1">
      <c r="A2030" s="1" t="s">
        <v>4123</v>
      </c>
      <c r="B2030" s="1" t="s">
        <v>4124</v>
      </c>
      <c r="C2030" s="1" t="s">
        <v>12</v>
      </c>
      <c r="D2030" s="1" t="s">
        <v>4102</v>
      </c>
      <c r="E2030" s="4">
        <v>1016214.0</v>
      </c>
      <c r="F2030" s="2">
        <v>3.0</v>
      </c>
      <c r="G2030" s="2" t="s">
        <v>1</v>
      </c>
      <c r="H2030" s="2" t="s">
        <v>21</v>
      </c>
      <c r="I2030" s="2" t="s">
        <v>15</v>
      </c>
      <c r="J2030" s="2" t="s">
        <v>15</v>
      </c>
    </row>
    <row r="2031" ht="15.75" customHeight="1">
      <c r="A2031" s="1" t="s">
        <v>4125</v>
      </c>
      <c r="B2031" s="1" t="s">
        <v>4126</v>
      </c>
      <c r="C2031" s="1" t="s">
        <v>12</v>
      </c>
      <c r="D2031" s="1" t="s">
        <v>4102</v>
      </c>
      <c r="E2031" s="4">
        <v>1016214.0</v>
      </c>
      <c r="F2031" s="2">
        <v>4.0</v>
      </c>
      <c r="G2031" s="2" t="s">
        <v>1</v>
      </c>
      <c r="H2031" s="2" t="s">
        <v>14</v>
      </c>
      <c r="I2031" s="2" t="s">
        <v>15</v>
      </c>
      <c r="J2031" s="2" t="s">
        <v>15</v>
      </c>
    </row>
    <row r="2032" ht="15.75" customHeight="1">
      <c r="A2032" s="1" t="s">
        <v>4127</v>
      </c>
      <c r="B2032" s="1" t="s">
        <v>4128</v>
      </c>
      <c r="C2032" s="1" t="s">
        <v>12</v>
      </c>
      <c r="D2032" s="1" t="s">
        <v>4102</v>
      </c>
      <c r="E2032" s="4">
        <v>1016214.0</v>
      </c>
      <c r="F2032" s="2">
        <v>4.0</v>
      </c>
      <c r="G2032" s="2" t="s">
        <v>1</v>
      </c>
      <c r="H2032" s="2" t="s">
        <v>18</v>
      </c>
      <c r="I2032" s="2" t="s">
        <v>15</v>
      </c>
      <c r="J2032" s="2" t="s">
        <v>15</v>
      </c>
    </row>
    <row r="2033" ht="15.75" customHeight="1">
      <c r="A2033" s="1" t="s">
        <v>4129</v>
      </c>
      <c r="B2033" s="1" t="s">
        <v>4130</v>
      </c>
      <c r="C2033" s="1" t="s">
        <v>12</v>
      </c>
      <c r="D2033" s="1" t="s">
        <v>4102</v>
      </c>
      <c r="E2033" s="4">
        <v>1016214.0</v>
      </c>
      <c r="F2033" s="2">
        <v>4.0</v>
      </c>
      <c r="G2033" s="2" t="s">
        <v>1</v>
      </c>
      <c r="H2033" s="2" t="s">
        <v>53</v>
      </c>
      <c r="I2033" s="2" t="s">
        <v>15</v>
      </c>
      <c r="J2033" s="2" t="s">
        <v>15</v>
      </c>
    </row>
    <row r="2034" ht="15.75" customHeight="1">
      <c r="A2034" s="1" t="s">
        <v>4131</v>
      </c>
      <c r="B2034" s="1" t="s">
        <v>4132</v>
      </c>
      <c r="C2034" s="1" t="s">
        <v>12</v>
      </c>
      <c r="D2034" s="1" t="s">
        <v>4102</v>
      </c>
      <c r="E2034" s="4">
        <v>1016214.0</v>
      </c>
      <c r="F2034" s="2">
        <v>5.0</v>
      </c>
      <c r="G2034" s="2" t="s">
        <v>1</v>
      </c>
      <c r="H2034" s="2" t="s">
        <v>14</v>
      </c>
      <c r="I2034" s="2" t="s">
        <v>15</v>
      </c>
      <c r="J2034" s="2" t="s">
        <v>15</v>
      </c>
    </row>
    <row r="2035" ht="15.75" customHeight="1">
      <c r="A2035" s="1" t="s">
        <v>4133</v>
      </c>
      <c r="B2035" s="1" t="s">
        <v>4134</v>
      </c>
      <c r="C2035" s="1" t="s">
        <v>12</v>
      </c>
      <c r="D2035" s="1" t="s">
        <v>4102</v>
      </c>
      <c r="E2035" s="4">
        <v>1016214.0</v>
      </c>
      <c r="F2035" s="2">
        <v>5.0</v>
      </c>
      <c r="G2035" s="2" t="s">
        <v>1</v>
      </c>
      <c r="H2035" s="2" t="s">
        <v>18</v>
      </c>
      <c r="I2035" s="2" t="s">
        <v>15</v>
      </c>
      <c r="J2035" s="2" t="s">
        <v>15</v>
      </c>
    </row>
    <row r="2036" ht="15.75" customHeight="1">
      <c r="A2036" s="1" t="s">
        <v>4135</v>
      </c>
      <c r="B2036" s="1" t="s">
        <v>4136</v>
      </c>
      <c r="C2036" s="1" t="s">
        <v>12</v>
      </c>
      <c r="D2036" s="1" t="s">
        <v>4102</v>
      </c>
      <c r="E2036" s="4">
        <v>1016214.0</v>
      </c>
      <c r="F2036" s="2">
        <v>5.0</v>
      </c>
      <c r="G2036" s="2" t="s">
        <v>1</v>
      </c>
      <c r="H2036" s="2" t="s">
        <v>53</v>
      </c>
      <c r="I2036" s="2" t="s">
        <v>15</v>
      </c>
      <c r="J2036" s="2" t="s">
        <v>15</v>
      </c>
    </row>
    <row r="2037" ht="15.75" customHeight="1">
      <c r="A2037" s="1" t="s">
        <v>4137</v>
      </c>
      <c r="B2037" s="1" t="s">
        <v>4138</v>
      </c>
      <c r="C2037" s="1" t="s">
        <v>12</v>
      </c>
      <c r="D2037" s="1" t="s">
        <v>4102</v>
      </c>
      <c r="E2037" s="4">
        <v>1016214.0</v>
      </c>
      <c r="F2037" s="2" t="s">
        <v>30</v>
      </c>
      <c r="G2037" s="2" t="s">
        <v>1</v>
      </c>
      <c r="H2037" s="2" t="s">
        <v>53</v>
      </c>
      <c r="I2037" s="2" t="s">
        <v>15</v>
      </c>
      <c r="J2037" s="2" t="s">
        <v>15</v>
      </c>
    </row>
    <row r="2038" ht="15.75" customHeight="1">
      <c r="A2038" s="1" t="s">
        <v>4139</v>
      </c>
      <c r="B2038" s="1" t="s">
        <v>4140</v>
      </c>
      <c r="C2038" s="1" t="s">
        <v>12</v>
      </c>
      <c r="D2038" s="1" t="s">
        <v>4102</v>
      </c>
      <c r="E2038" s="4">
        <v>1016214.0</v>
      </c>
      <c r="F2038" s="2" t="s">
        <v>30</v>
      </c>
      <c r="G2038" s="2" t="s">
        <v>1</v>
      </c>
      <c r="H2038" s="2" t="s">
        <v>14</v>
      </c>
      <c r="I2038" s="2" t="s">
        <v>15</v>
      </c>
      <c r="J2038" s="2" t="s">
        <v>15</v>
      </c>
    </row>
    <row r="2039" ht="15.75" customHeight="1">
      <c r="A2039" s="1" t="s">
        <v>4141</v>
      </c>
      <c r="B2039" s="1" t="s">
        <v>4142</v>
      </c>
      <c r="C2039" s="1" t="s">
        <v>12</v>
      </c>
      <c r="D2039" s="1" t="s">
        <v>4102</v>
      </c>
      <c r="E2039" s="4">
        <v>1016214.0</v>
      </c>
      <c r="F2039" s="2" t="s">
        <v>15</v>
      </c>
      <c r="G2039" s="2" t="s">
        <v>33</v>
      </c>
      <c r="H2039" s="2" t="s">
        <v>15</v>
      </c>
      <c r="I2039" s="2" t="s">
        <v>15</v>
      </c>
      <c r="J2039" s="2" t="s">
        <v>15</v>
      </c>
    </row>
    <row r="2040" ht="15.75" customHeight="1">
      <c r="A2040" s="1" t="s">
        <v>4143</v>
      </c>
      <c r="B2040" s="1" t="s">
        <v>4144</v>
      </c>
      <c r="C2040" s="1" t="s">
        <v>12</v>
      </c>
      <c r="D2040" s="1" t="s">
        <v>4102</v>
      </c>
      <c r="E2040" s="4">
        <v>1016214.0</v>
      </c>
      <c r="F2040" s="2">
        <v>1.0</v>
      </c>
      <c r="G2040" s="2" t="s">
        <v>1</v>
      </c>
      <c r="H2040" s="2" t="s">
        <v>37</v>
      </c>
      <c r="I2040" s="2" t="s">
        <v>15</v>
      </c>
      <c r="J2040" s="2" t="s">
        <v>15</v>
      </c>
    </row>
    <row r="2041" ht="15.75" customHeight="1">
      <c r="A2041" s="1" t="s">
        <v>4145</v>
      </c>
      <c r="B2041" s="1" t="s">
        <v>4146</v>
      </c>
      <c r="C2041" s="1" t="s">
        <v>12</v>
      </c>
      <c r="D2041" s="1" t="s">
        <v>4102</v>
      </c>
      <c r="E2041" s="4">
        <v>1016214.0</v>
      </c>
      <c r="F2041" s="2">
        <v>2.0</v>
      </c>
      <c r="G2041" s="2" t="s">
        <v>1</v>
      </c>
      <c r="H2041" s="2" t="s">
        <v>37</v>
      </c>
      <c r="I2041" s="2" t="s">
        <v>15</v>
      </c>
      <c r="J2041" s="2" t="s">
        <v>15</v>
      </c>
    </row>
    <row r="2042" ht="15.75" customHeight="1">
      <c r="A2042" s="1" t="s">
        <v>4147</v>
      </c>
      <c r="B2042" s="1" t="s">
        <v>4148</v>
      </c>
      <c r="C2042" s="1" t="s">
        <v>12</v>
      </c>
      <c r="D2042" s="1" t="s">
        <v>4102</v>
      </c>
      <c r="E2042" s="4">
        <v>1016214.0</v>
      </c>
      <c r="F2042" s="2">
        <v>3.0</v>
      </c>
      <c r="G2042" s="2" t="s">
        <v>1</v>
      </c>
      <c r="H2042" s="2" t="s">
        <v>37</v>
      </c>
      <c r="I2042" s="2" t="s">
        <v>15</v>
      </c>
      <c r="J2042" s="2" t="s">
        <v>15</v>
      </c>
    </row>
    <row r="2043" ht="15.75" customHeight="1">
      <c r="A2043" s="1" t="s">
        <v>4149</v>
      </c>
      <c r="B2043" s="1" t="s">
        <v>4150</v>
      </c>
      <c r="C2043" s="1" t="s">
        <v>12</v>
      </c>
      <c r="D2043" s="1" t="s">
        <v>4102</v>
      </c>
      <c r="E2043" s="4">
        <v>1016214.0</v>
      </c>
      <c r="F2043" s="2" t="s">
        <v>30</v>
      </c>
      <c r="G2043" s="2" t="s">
        <v>1</v>
      </c>
      <c r="H2043" s="2" t="s">
        <v>37</v>
      </c>
      <c r="I2043" s="2" t="s">
        <v>15</v>
      </c>
      <c r="J2043" s="2" t="s">
        <v>15</v>
      </c>
    </row>
    <row r="2044" ht="15.75" customHeight="1">
      <c r="A2044" s="1" t="s">
        <v>4151</v>
      </c>
      <c r="B2044" s="1" t="s">
        <v>4152</v>
      </c>
      <c r="C2044" s="1" t="s">
        <v>12</v>
      </c>
      <c r="D2044" s="1" t="s">
        <v>4153</v>
      </c>
      <c r="E2044" s="4">
        <v>1016278.0</v>
      </c>
      <c r="F2044" s="2">
        <v>1.0</v>
      </c>
      <c r="G2044" s="2" t="s">
        <v>1</v>
      </c>
      <c r="H2044" s="2" t="s">
        <v>14</v>
      </c>
      <c r="I2044" s="2" t="s">
        <v>15</v>
      </c>
      <c r="J2044" s="2" t="s">
        <v>15</v>
      </c>
    </row>
    <row r="2045" ht="15.75" customHeight="1">
      <c r="A2045" s="1" t="s">
        <v>4154</v>
      </c>
      <c r="B2045" s="1" t="s">
        <v>4155</v>
      </c>
      <c r="C2045" s="1" t="s">
        <v>12</v>
      </c>
      <c r="D2045" s="1" t="s">
        <v>4153</v>
      </c>
      <c r="E2045" s="4">
        <v>1016278.0</v>
      </c>
      <c r="F2045" s="2">
        <v>1.0</v>
      </c>
      <c r="G2045" s="2" t="s">
        <v>1</v>
      </c>
      <c r="H2045" s="2" t="s">
        <v>18</v>
      </c>
      <c r="I2045" s="2" t="s">
        <v>15</v>
      </c>
      <c r="J2045" s="2" t="s">
        <v>15</v>
      </c>
    </row>
    <row r="2046" ht="15.75" customHeight="1">
      <c r="A2046" s="1" t="s">
        <v>4156</v>
      </c>
      <c r="B2046" s="1" t="s">
        <v>4157</v>
      </c>
      <c r="C2046" s="1" t="s">
        <v>12</v>
      </c>
      <c r="D2046" s="1" t="s">
        <v>4153</v>
      </c>
      <c r="E2046" s="4">
        <v>1016278.0</v>
      </c>
      <c r="F2046" s="2">
        <v>1.0</v>
      </c>
      <c r="G2046" s="2" t="s">
        <v>1</v>
      </c>
      <c r="H2046" s="2" t="s">
        <v>21</v>
      </c>
      <c r="I2046" s="2" t="s">
        <v>15</v>
      </c>
      <c r="J2046" s="2" t="s">
        <v>15</v>
      </c>
    </row>
    <row r="2047" ht="15.75" customHeight="1">
      <c r="A2047" s="1" t="s">
        <v>4158</v>
      </c>
      <c r="B2047" s="1" t="s">
        <v>4159</v>
      </c>
      <c r="C2047" s="1" t="s">
        <v>12</v>
      </c>
      <c r="D2047" s="1" t="s">
        <v>4153</v>
      </c>
      <c r="E2047" s="4">
        <v>1016278.0</v>
      </c>
      <c r="F2047" s="2">
        <v>2.0</v>
      </c>
      <c r="G2047" s="2" t="s">
        <v>1</v>
      </c>
      <c r="H2047" s="2" t="s">
        <v>14</v>
      </c>
      <c r="I2047" s="2" t="s">
        <v>15</v>
      </c>
      <c r="J2047" s="2" t="s">
        <v>15</v>
      </c>
    </row>
    <row r="2048" ht="15.75" customHeight="1">
      <c r="A2048" s="1" t="s">
        <v>4160</v>
      </c>
      <c r="B2048" s="1" t="s">
        <v>4161</v>
      </c>
      <c r="C2048" s="1" t="s">
        <v>12</v>
      </c>
      <c r="D2048" s="1" t="s">
        <v>4153</v>
      </c>
      <c r="E2048" s="4">
        <v>1016278.0</v>
      </c>
      <c r="F2048" s="2">
        <v>2.0</v>
      </c>
      <c r="G2048" s="2" t="s">
        <v>1</v>
      </c>
      <c r="H2048" s="2" t="s">
        <v>18</v>
      </c>
      <c r="I2048" s="2" t="s">
        <v>15</v>
      </c>
      <c r="J2048" s="2" t="s">
        <v>15</v>
      </c>
    </row>
    <row r="2049" ht="15.75" customHeight="1">
      <c r="A2049" s="1" t="s">
        <v>4162</v>
      </c>
      <c r="B2049" s="1" t="s">
        <v>4163</v>
      </c>
      <c r="C2049" s="1" t="s">
        <v>12</v>
      </c>
      <c r="D2049" s="1" t="s">
        <v>4153</v>
      </c>
      <c r="E2049" s="4">
        <v>1016278.0</v>
      </c>
      <c r="F2049" s="2">
        <v>2.0</v>
      </c>
      <c r="G2049" s="2" t="s">
        <v>1</v>
      </c>
      <c r="H2049" s="2" t="s">
        <v>21</v>
      </c>
      <c r="I2049" s="2" t="s">
        <v>15</v>
      </c>
      <c r="J2049" s="2" t="s">
        <v>15</v>
      </c>
    </row>
    <row r="2050" ht="15.75" customHeight="1">
      <c r="A2050" s="1" t="s">
        <v>4164</v>
      </c>
      <c r="B2050" s="1" t="s">
        <v>4165</v>
      </c>
      <c r="C2050" s="1" t="s">
        <v>12</v>
      </c>
      <c r="D2050" s="1" t="s">
        <v>4153</v>
      </c>
      <c r="E2050" s="4">
        <v>1016278.0</v>
      </c>
      <c r="F2050" s="2">
        <v>4.0</v>
      </c>
      <c r="G2050" s="2" t="s">
        <v>1</v>
      </c>
      <c r="H2050" s="2" t="s">
        <v>14</v>
      </c>
      <c r="I2050" s="2" t="s">
        <v>15</v>
      </c>
      <c r="J2050" s="2" t="s">
        <v>15</v>
      </c>
    </row>
    <row r="2051" ht="15.75" customHeight="1">
      <c r="A2051" s="1" t="s">
        <v>4166</v>
      </c>
      <c r="B2051" s="1" t="s">
        <v>4167</v>
      </c>
      <c r="C2051" s="1" t="s">
        <v>12</v>
      </c>
      <c r="D2051" s="1" t="s">
        <v>4153</v>
      </c>
      <c r="E2051" s="4">
        <v>1016278.0</v>
      </c>
      <c r="F2051" s="2">
        <v>4.0</v>
      </c>
      <c r="G2051" s="2" t="s">
        <v>1</v>
      </c>
      <c r="H2051" s="2" t="s">
        <v>18</v>
      </c>
      <c r="I2051" s="2" t="s">
        <v>15</v>
      </c>
      <c r="J2051" s="2" t="s">
        <v>15</v>
      </c>
    </row>
    <row r="2052" ht="15.75" customHeight="1">
      <c r="A2052" s="1" t="s">
        <v>4168</v>
      </c>
      <c r="B2052" s="1" t="s">
        <v>4169</v>
      </c>
      <c r="C2052" s="1" t="s">
        <v>12</v>
      </c>
      <c r="D2052" s="1" t="s">
        <v>4153</v>
      </c>
      <c r="E2052" s="4">
        <v>1016278.0</v>
      </c>
      <c r="F2052" s="2">
        <v>4.0</v>
      </c>
      <c r="G2052" s="2" t="s">
        <v>1</v>
      </c>
      <c r="H2052" s="2" t="s">
        <v>21</v>
      </c>
      <c r="I2052" s="2" t="s">
        <v>15</v>
      </c>
      <c r="J2052" s="2" t="s">
        <v>15</v>
      </c>
    </row>
    <row r="2053" ht="15.75" customHeight="1">
      <c r="A2053" s="1" t="s">
        <v>4170</v>
      </c>
      <c r="B2053" s="1" t="s">
        <v>4171</v>
      </c>
      <c r="C2053" s="1" t="s">
        <v>12</v>
      </c>
      <c r="D2053" s="1" t="s">
        <v>4153</v>
      </c>
      <c r="E2053" s="4">
        <v>1016278.0</v>
      </c>
      <c r="F2053" s="2" t="s">
        <v>30</v>
      </c>
      <c r="G2053" s="2" t="s">
        <v>1</v>
      </c>
      <c r="H2053" s="2" t="s">
        <v>14</v>
      </c>
      <c r="I2053" s="2" t="s">
        <v>15</v>
      </c>
      <c r="J2053" s="2" t="s">
        <v>15</v>
      </c>
    </row>
    <row r="2054" ht="15.75" customHeight="1">
      <c r="A2054" s="1" t="s">
        <v>4172</v>
      </c>
      <c r="B2054" s="1" t="s">
        <v>4173</v>
      </c>
      <c r="C2054" s="1" t="s">
        <v>12</v>
      </c>
      <c r="D2054" s="1" t="s">
        <v>4153</v>
      </c>
      <c r="E2054" s="4">
        <v>1016278.0</v>
      </c>
      <c r="F2054" s="2" t="s">
        <v>15</v>
      </c>
      <c r="G2054" s="2" t="s">
        <v>33</v>
      </c>
      <c r="H2054" s="2" t="s">
        <v>15</v>
      </c>
      <c r="I2054" s="2" t="s">
        <v>15</v>
      </c>
      <c r="J2054" s="2" t="s">
        <v>15</v>
      </c>
    </row>
    <row r="2055" ht="15.75" customHeight="1">
      <c r="A2055" s="1" t="s">
        <v>4174</v>
      </c>
      <c r="B2055" s="1" t="s">
        <v>4175</v>
      </c>
      <c r="C2055" s="1" t="s">
        <v>12</v>
      </c>
      <c r="D2055" s="1" t="s">
        <v>4153</v>
      </c>
      <c r="E2055" s="4">
        <v>1016278.0</v>
      </c>
      <c r="F2055" s="2">
        <v>1.0</v>
      </c>
      <c r="G2055" s="2" t="s">
        <v>1</v>
      </c>
      <c r="H2055" s="2" t="s">
        <v>37</v>
      </c>
      <c r="I2055" s="2" t="s">
        <v>15</v>
      </c>
      <c r="J2055" s="2" t="s">
        <v>15</v>
      </c>
    </row>
    <row r="2056" ht="15.75" customHeight="1">
      <c r="A2056" s="1" t="s">
        <v>4176</v>
      </c>
      <c r="B2056" s="1" t="s">
        <v>4177</v>
      </c>
      <c r="C2056" s="1" t="s">
        <v>12</v>
      </c>
      <c r="D2056" s="1" t="s">
        <v>4153</v>
      </c>
      <c r="E2056" s="4">
        <v>1016278.0</v>
      </c>
      <c r="F2056" s="2">
        <v>2.0</v>
      </c>
      <c r="G2056" s="2" t="s">
        <v>1</v>
      </c>
      <c r="H2056" s="2" t="s">
        <v>37</v>
      </c>
      <c r="I2056" s="2" t="s">
        <v>15</v>
      </c>
      <c r="J2056" s="2" t="s">
        <v>15</v>
      </c>
    </row>
    <row r="2057" ht="15.75" customHeight="1">
      <c r="A2057" s="1" t="s">
        <v>4178</v>
      </c>
      <c r="B2057" s="1" t="s">
        <v>4179</v>
      </c>
      <c r="C2057" s="1" t="s">
        <v>12</v>
      </c>
      <c r="D2057" s="1" t="s">
        <v>4153</v>
      </c>
      <c r="E2057" s="4">
        <v>1016278.0</v>
      </c>
      <c r="F2057" s="2">
        <v>4.0</v>
      </c>
      <c r="G2057" s="2" t="s">
        <v>1</v>
      </c>
      <c r="H2057" s="2" t="s">
        <v>37</v>
      </c>
      <c r="I2057" s="2" t="s">
        <v>15</v>
      </c>
      <c r="J2057" s="2" t="s">
        <v>15</v>
      </c>
    </row>
    <row r="2058" ht="15.75" customHeight="1">
      <c r="A2058" s="1" t="s">
        <v>4180</v>
      </c>
      <c r="B2058" s="1" t="s">
        <v>4181</v>
      </c>
      <c r="C2058" s="1" t="s">
        <v>12</v>
      </c>
      <c r="D2058" s="1" t="s">
        <v>4153</v>
      </c>
      <c r="E2058" s="4">
        <v>1016278.0</v>
      </c>
      <c r="F2058" s="2" t="s">
        <v>30</v>
      </c>
      <c r="G2058" s="2" t="s">
        <v>1</v>
      </c>
      <c r="H2058" s="2" t="s">
        <v>37</v>
      </c>
      <c r="I2058" s="2" t="s">
        <v>15</v>
      </c>
      <c r="J2058" s="2" t="s">
        <v>15</v>
      </c>
    </row>
    <row r="2059" ht="15.75" customHeight="1">
      <c r="A2059" s="1" t="s">
        <v>4182</v>
      </c>
      <c r="B2059" s="1" t="s">
        <v>4183</v>
      </c>
      <c r="C2059" s="1" t="s">
        <v>12</v>
      </c>
      <c r="D2059" s="1" t="s">
        <v>4184</v>
      </c>
      <c r="E2059" s="4">
        <v>1016342.0</v>
      </c>
      <c r="F2059" s="2">
        <v>1.0</v>
      </c>
      <c r="G2059" s="2" t="s">
        <v>1</v>
      </c>
      <c r="H2059" s="2" t="s">
        <v>14</v>
      </c>
      <c r="I2059" s="2" t="s">
        <v>15</v>
      </c>
      <c r="J2059" s="2" t="s">
        <v>15</v>
      </c>
    </row>
    <row r="2060" ht="15.75" customHeight="1">
      <c r="A2060" s="1" t="s">
        <v>4185</v>
      </c>
      <c r="B2060" s="1" t="s">
        <v>4186</v>
      </c>
      <c r="C2060" s="1" t="s">
        <v>12</v>
      </c>
      <c r="D2060" s="1" t="s">
        <v>4184</v>
      </c>
      <c r="E2060" s="4">
        <v>1016342.0</v>
      </c>
      <c r="F2060" s="2">
        <v>1.0</v>
      </c>
      <c r="G2060" s="2" t="s">
        <v>1</v>
      </c>
      <c r="H2060" s="2" t="s">
        <v>18</v>
      </c>
      <c r="I2060" s="2" t="s">
        <v>15</v>
      </c>
      <c r="J2060" s="2" t="s">
        <v>15</v>
      </c>
    </row>
    <row r="2061" ht="15.75" customHeight="1">
      <c r="A2061" s="1" t="s">
        <v>4187</v>
      </c>
      <c r="B2061" s="1" t="s">
        <v>4188</v>
      </c>
      <c r="C2061" s="1" t="s">
        <v>12</v>
      </c>
      <c r="D2061" s="1" t="s">
        <v>4184</v>
      </c>
      <c r="E2061" s="4">
        <v>1016342.0</v>
      </c>
      <c r="F2061" s="2">
        <v>2.0</v>
      </c>
      <c r="G2061" s="2" t="s">
        <v>1</v>
      </c>
      <c r="H2061" s="2" t="s">
        <v>14</v>
      </c>
      <c r="I2061" s="2" t="s">
        <v>15</v>
      </c>
      <c r="J2061" s="2" t="s">
        <v>15</v>
      </c>
    </row>
    <row r="2062" ht="15.75" customHeight="1">
      <c r="A2062" s="1" t="s">
        <v>4189</v>
      </c>
      <c r="B2062" s="1" t="s">
        <v>4190</v>
      </c>
      <c r="C2062" s="1" t="s">
        <v>12</v>
      </c>
      <c r="D2062" s="1" t="s">
        <v>4184</v>
      </c>
      <c r="E2062" s="4">
        <v>1016342.0</v>
      </c>
      <c r="F2062" s="2">
        <v>2.0</v>
      </c>
      <c r="G2062" s="2" t="s">
        <v>1</v>
      </c>
      <c r="H2062" s="2" t="s">
        <v>18</v>
      </c>
      <c r="I2062" s="2" t="s">
        <v>15</v>
      </c>
      <c r="J2062" s="2" t="s">
        <v>15</v>
      </c>
    </row>
    <row r="2063" ht="15.75" customHeight="1">
      <c r="A2063" s="1" t="s">
        <v>4191</v>
      </c>
      <c r="B2063" s="1" t="s">
        <v>4192</v>
      </c>
      <c r="C2063" s="1" t="s">
        <v>12</v>
      </c>
      <c r="D2063" s="1" t="s">
        <v>4184</v>
      </c>
      <c r="E2063" s="4">
        <v>1016342.0</v>
      </c>
      <c r="F2063" s="2">
        <v>3.0</v>
      </c>
      <c r="G2063" s="2" t="s">
        <v>1</v>
      </c>
      <c r="H2063" s="2" t="s">
        <v>14</v>
      </c>
      <c r="I2063" s="2" t="s">
        <v>15</v>
      </c>
      <c r="J2063" s="2" t="s">
        <v>15</v>
      </c>
    </row>
    <row r="2064" ht="15.75" customHeight="1">
      <c r="A2064" s="1" t="s">
        <v>4193</v>
      </c>
      <c r="B2064" s="1" t="s">
        <v>4194</v>
      </c>
      <c r="C2064" s="1" t="s">
        <v>12</v>
      </c>
      <c r="D2064" s="1" t="s">
        <v>4184</v>
      </c>
      <c r="E2064" s="4">
        <v>1016342.0</v>
      </c>
      <c r="F2064" s="2">
        <v>3.0</v>
      </c>
      <c r="G2064" s="2" t="s">
        <v>1</v>
      </c>
      <c r="H2064" s="2" t="s">
        <v>18</v>
      </c>
      <c r="I2064" s="2" t="s">
        <v>15</v>
      </c>
      <c r="J2064" s="2" t="s">
        <v>15</v>
      </c>
    </row>
    <row r="2065" ht="15.75" customHeight="1">
      <c r="A2065" s="1" t="s">
        <v>4195</v>
      </c>
      <c r="B2065" s="1" t="s">
        <v>4196</v>
      </c>
      <c r="C2065" s="1" t="s">
        <v>12</v>
      </c>
      <c r="D2065" s="1" t="s">
        <v>4184</v>
      </c>
      <c r="E2065" s="4">
        <v>1016342.0</v>
      </c>
      <c r="F2065" s="2" t="s">
        <v>30</v>
      </c>
      <c r="G2065" s="2" t="s">
        <v>1</v>
      </c>
      <c r="H2065" s="2" t="s">
        <v>14</v>
      </c>
      <c r="I2065" s="2" t="s">
        <v>15</v>
      </c>
      <c r="J2065" s="2" t="s">
        <v>15</v>
      </c>
    </row>
    <row r="2066" ht="15.75" customHeight="1">
      <c r="A2066" s="1" t="s">
        <v>4197</v>
      </c>
      <c r="B2066" s="1" t="s">
        <v>4198</v>
      </c>
      <c r="C2066" s="1" t="s">
        <v>12</v>
      </c>
      <c r="D2066" s="1" t="s">
        <v>4184</v>
      </c>
      <c r="E2066" s="4">
        <v>1016342.0</v>
      </c>
      <c r="F2066" s="2" t="s">
        <v>15</v>
      </c>
      <c r="G2066" s="2" t="s">
        <v>33</v>
      </c>
      <c r="H2066" s="2" t="s">
        <v>15</v>
      </c>
      <c r="I2066" s="2" t="s">
        <v>15</v>
      </c>
      <c r="J2066" s="2" t="s">
        <v>15</v>
      </c>
    </row>
    <row r="2067" ht="15.75" customHeight="1">
      <c r="A2067" s="1" t="s">
        <v>4199</v>
      </c>
      <c r="B2067" s="1" t="s">
        <v>4200</v>
      </c>
      <c r="C2067" s="1" t="s">
        <v>12</v>
      </c>
      <c r="D2067" s="1" t="s">
        <v>4201</v>
      </c>
      <c r="E2067" s="4">
        <v>1016406.0</v>
      </c>
      <c r="F2067" s="2">
        <v>1.0</v>
      </c>
      <c r="G2067" s="2" t="s">
        <v>1</v>
      </c>
      <c r="H2067" s="2" t="s">
        <v>14</v>
      </c>
      <c r="I2067" s="2" t="s">
        <v>15</v>
      </c>
      <c r="J2067" s="2" t="s">
        <v>15</v>
      </c>
    </row>
    <row r="2068" ht="15.75" customHeight="1">
      <c r="A2068" s="1" t="s">
        <v>4202</v>
      </c>
      <c r="B2068" s="1" t="s">
        <v>4203</v>
      </c>
      <c r="C2068" s="1" t="s">
        <v>12</v>
      </c>
      <c r="D2068" s="1" t="s">
        <v>4201</v>
      </c>
      <c r="E2068" s="4">
        <v>1016406.0</v>
      </c>
      <c r="F2068" s="2">
        <v>1.0</v>
      </c>
      <c r="G2068" s="2" t="s">
        <v>1</v>
      </c>
      <c r="H2068" s="2" t="s">
        <v>18</v>
      </c>
      <c r="I2068" s="2" t="s">
        <v>15</v>
      </c>
      <c r="J2068" s="2" t="s">
        <v>15</v>
      </c>
    </row>
    <row r="2069" ht="15.75" customHeight="1">
      <c r="A2069" s="1" t="s">
        <v>4204</v>
      </c>
      <c r="B2069" s="1" t="s">
        <v>4205</v>
      </c>
      <c r="C2069" s="1" t="s">
        <v>12</v>
      </c>
      <c r="D2069" s="1" t="s">
        <v>4201</v>
      </c>
      <c r="E2069" s="4">
        <v>1016406.0</v>
      </c>
      <c r="F2069" s="2">
        <v>2.0</v>
      </c>
      <c r="G2069" s="2" t="s">
        <v>1</v>
      </c>
      <c r="H2069" s="2" t="s">
        <v>14</v>
      </c>
      <c r="I2069" s="2" t="s">
        <v>15</v>
      </c>
      <c r="J2069" s="2" t="s">
        <v>15</v>
      </c>
    </row>
    <row r="2070" ht="15.75" customHeight="1">
      <c r="A2070" s="1" t="s">
        <v>4206</v>
      </c>
      <c r="B2070" s="1" t="s">
        <v>4207</v>
      </c>
      <c r="C2070" s="1" t="s">
        <v>12</v>
      </c>
      <c r="D2070" s="1" t="s">
        <v>4201</v>
      </c>
      <c r="E2070" s="4">
        <v>1016406.0</v>
      </c>
      <c r="F2070" s="2">
        <v>2.0</v>
      </c>
      <c r="G2070" s="2" t="s">
        <v>1</v>
      </c>
      <c r="H2070" s="2" t="s">
        <v>18</v>
      </c>
      <c r="I2070" s="2" t="s">
        <v>15</v>
      </c>
      <c r="J2070" s="2" t="s">
        <v>15</v>
      </c>
    </row>
    <row r="2071" ht="15.75" customHeight="1">
      <c r="A2071" s="1" t="s">
        <v>4208</v>
      </c>
      <c r="B2071" s="1" t="s">
        <v>4209</v>
      </c>
      <c r="C2071" s="1" t="s">
        <v>12</v>
      </c>
      <c r="D2071" s="1" t="s">
        <v>4201</v>
      </c>
      <c r="E2071" s="4">
        <v>1016406.0</v>
      </c>
      <c r="F2071" s="2" t="s">
        <v>30</v>
      </c>
      <c r="G2071" s="2" t="s">
        <v>1</v>
      </c>
      <c r="H2071" s="2" t="s">
        <v>14</v>
      </c>
      <c r="I2071" s="2" t="s">
        <v>15</v>
      </c>
      <c r="J2071" s="2" t="s">
        <v>15</v>
      </c>
    </row>
    <row r="2072" ht="15.75" customHeight="1">
      <c r="A2072" s="1" t="s">
        <v>4210</v>
      </c>
      <c r="B2072" s="1" t="s">
        <v>4211</v>
      </c>
      <c r="C2072" s="1" t="s">
        <v>12</v>
      </c>
      <c r="D2072" s="1" t="s">
        <v>4201</v>
      </c>
      <c r="E2072" s="4">
        <v>1016406.0</v>
      </c>
      <c r="F2072" s="2" t="s">
        <v>15</v>
      </c>
      <c r="G2072" s="2" t="s">
        <v>33</v>
      </c>
      <c r="H2072" s="2" t="s">
        <v>15</v>
      </c>
      <c r="I2072" s="2" t="s">
        <v>15</v>
      </c>
      <c r="J2072" s="2" t="s">
        <v>15</v>
      </c>
    </row>
    <row r="2073" ht="15.75" customHeight="1">
      <c r="A2073" s="1" t="s">
        <v>4212</v>
      </c>
      <c r="B2073" s="1" t="s">
        <v>4213</v>
      </c>
      <c r="C2073" s="1" t="s">
        <v>12</v>
      </c>
      <c r="D2073" s="1" t="s">
        <v>4214</v>
      </c>
      <c r="E2073" s="4">
        <v>1016470.0</v>
      </c>
      <c r="F2073" s="2">
        <v>1.0</v>
      </c>
      <c r="G2073" s="2" t="s">
        <v>1</v>
      </c>
      <c r="H2073" s="2" t="s">
        <v>14</v>
      </c>
      <c r="I2073" s="2" t="s">
        <v>15</v>
      </c>
      <c r="J2073" s="2" t="s">
        <v>15</v>
      </c>
    </row>
    <row r="2074" ht="15.75" customHeight="1">
      <c r="A2074" s="1" t="s">
        <v>4215</v>
      </c>
      <c r="B2074" s="1" t="s">
        <v>4216</v>
      </c>
      <c r="C2074" s="1" t="s">
        <v>12</v>
      </c>
      <c r="D2074" s="1" t="s">
        <v>4214</v>
      </c>
      <c r="E2074" s="4">
        <v>1016470.0</v>
      </c>
      <c r="F2074" s="2">
        <v>1.0</v>
      </c>
      <c r="G2074" s="2" t="s">
        <v>1</v>
      </c>
      <c r="H2074" s="2" t="s">
        <v>18</v>
      </c>
      <c r="I2074" s="2" t="s">
        <v>15</v>
      </c>
      <c r="J2074" s="2" t="s">
        <v>15</v>
      </c>
    </row>
    <row r="2075" ht="15.75" customHeight="1">
      <c r="A2075" s="1" t="s">
        <v>4217</v>
      </c>
      <c r="B2075" s="1" t="s">
        <v>4218</v>
      </c>
      <c r="C2075" s="1" t="s">
        <v>12</v>
      </c>
      <c r="D2075" s="1" t="s">
        <v>4214</v>
      </c>
      <c r="E2075" s="4">
        <v>1016470.0</v>
      </c>
      <c r="F2075" s="2">
        <v>2.0</v>
      </c>
      <c r="G2075" s="2" t="s">
        <v>1</v>
      </c>
      <c r="H2075" s="2" t="s">
        <v>14</v>
      </c>
      <c r="I2075" s="2" t="s">
        <v>15</v>
      </c>
      <c r="J2075" s="2" t="s">
        <v>15</v>
      </c>
    </row>
    <row r="2076" ht="15.75" customHeight="1">
      <c r="A2076" s="1" t="s">
        <v>4219</v>
      </c>
      <c r="B2076" s="1" t="s">
        <v>4220</v>
      </c>
      <c r="C2076" s="1" t="s">
        <v>12</v>
      </c>
      <c r="D2076" s="1" t="s">
        <v>4214</v>
      </c>
      <c r="E2076" s="4">
        <v>1016470.0</v>
      </c>
      <c r="F2076" s="2">
        <v>2.0</v>
      </c>
      <c r="G2076" s="2" t="s">
        <v>1</v>
      </c>
      <c r="H2076" s="2" t="s">
        <v>18</v>
      </c>
      <c r="I2076" s="2" t="s">
        <v>15</v>
      </c>
      <c r="J2076" s="2" t="s">
        <v>15</v>
      </c>
    </row>
    <row r="2077" ht="15.75" customHeight="1">
      <c r="A2077" s="1" t="s">
        <v>4221</v>
      </c>
      <c r="B2077" s="1" t="s">
        <v>4222</v>
      </c>
      <c r="C2077" s="1" t="s">
        <v>12</v>
      </c>
      <c r="D2077" s="1" t="s">
        <v>4214</v>
      </c>
      <c r="E2077" s="4">
        <v>1016470.0</v>
      </c>
      <c r="F2077" s="2" t="s">
        <v>30</v>
      </c>
      <c r="G2077" s="2" t="s">
        <v>1</v>
      </c>
      <c r="H2077" s="2" t="s">
        <v>14</v>
      </c>
      <c r="I2077" s="2" t="s">
        <v>15</v>
      </c>
      <c r="J2077" s="2" t="s">
        <v>15</v>
      </c>
    </row>
    <row r="2078" ht="15.75" customHeight="1">
      <c r="A2078" s="1" t="s">
        <v>4223</v>
      </c>
      <c r="B2078" s="1" t="s">
        <v>4224</v>
      </c>
      <c r="C2078" s="1" t="s">
        <v>12</v>
      </c>
      <c r="D2078" s="1" t="s">
        <v>4214</v>
      </c>
      <c r="E2078" s="4">
        <v>1016470.0</v>
      </c>
      <c r="F2078" s="2" t="s">
        <v>15</v>
      </c>
      <c r="G2078" s="2" t="s">
        <v>33</v>
      </c>
      <c r="H2078" s="2" t="s">
        <v>15</v>
      </c>
      <c r="I2078" s="2" t="s">
        <v>15</v>
      </c>
      <c r="J2078" s="2" t="s">
        <v>15</v>
      </c>
    </row>
    <row r="2079" ht="15.75" customHeight="1">
      <c r="A2079" s="1" t="s">
        <v>4225</v>
      </c>
      <c r="B2079" s="1" t="s">
        <v>4226</v>
      </c>
      <c r="C2079" s="1" t="s">
        <v>12</v>
      </c>
      <c r="D2079" s="1" t="s">
        <v>4227</v>
      </c>
      <c r="E2079" s="4">
        <v>1016534.0</v>
      </c>
      <c r="F2079" s="2">
        <v>1.0</v>
      </c>
      <c r="G2079" s="2" t="s">
        <v>1</v>
      </c>
      <c r="H2079" s="2" t="s">
        <v>14</v>
      </c>
      <c r="I2079" s="2" t="s">
        <v>15</v>
      </c>
      <c r="J2079" s="2" t="s">
        <v>15</v>
      </c>
    </row>
    <row r="2080" ht="15.75" customHeight="1">
      <c r="A2080" s="1" t="s">
        <v>4228</v>
      </c>
      <c r="B2080" s="1" t="s">
        <v>4229</v>
      </c>
      <c r="C2080" s="1" t="s">
        <v>12</v>
      </c>
      <c r="D2080" s="1" t="s">
        <v>4227</v>
      </c>
      <c r="E2080" s="4">
        <v>1016534.0</v>
      </c>
      <c r="F2080" s="2">
        <v>1.0</v>
      </c>
      <c r="G2080" s="2" t="s">
        <v>1</v>
      </c>
      <c r="H2080" s="2" t="s">
        <v>18</v>
      </c>
      <c r="I2080" s="2" t="s">
        <v>15</v>
      </c>
      <c r="J2080" s="2" t="s">
        <v>15</v>
      </c>
    </row>
    <row r="2081" ht="15.75" customHeight="1">
      <c r="A2081" s="1" t="s">
        <v>4230</v>
      </c>
      <c r="B2081" s="1" t="s">
        <v>4231</v>
      </c>
      <c r="C2081" s="1" t="s">
        <v>12</v>
      </c>
      <c r="D2081" s="1" t="s">
        <v>4227</v>
      </c>
      <c r="E2081" s="4">
        <v>1016534.0</v>
      </c>
      <c r="F2081" s="2">
        <v>2.0</v>
      </c>
      <c r="G2081" s="2" t="s">
        <v>1</v>
      </c>
      <c r="H2081" s="2" t="s">
        <v>14</v>
      </c>
      <c r="I2081" s="2" t="s">
        <v>15</v>
      </c>
      <c r="J2081" s="2" t="s">
        <v>15</v>
      </c>
    </row>
    <row r="2082" ht="15.75" customHeight="1">
      <c r="A2082" s="1" t="s">
        <v>4232</v>
      </c>
      <c r="B2082" s="1" t="s">
        <v>4233</v>
      </c>
      <c r="C2082" s="1" t="s">
        <v>12</v>
      </c>
      <c r="D2082" s="1" t="s">
        <v>4227</v>
      </c>
      <c r="E2082" s="4">
        <v>1016534.0</v>
      </c>
      <c r="F2082" s="2">
        <v>2.0</v>
      </c>
      <c r="G2082" s="2" t="s">
        <v>1</v>
      </c>
      <c r="H2082" s="2" t="s">
        <v>18</v>
      </c>
      <c r="I2082" s="2" t="s">
        <v>15</v>
      </c>
      <c r="J2082" s="2" t="s">
        <v>15</v>
      </c>
    </row>
    <row r="2083" ht="15.75" customHeight="1">
      <c r="A2083" s="1" t="s">
        <v>4234</v>
      </c>
      <c r="B2083" s="1" t="s">
        <v>4235</v>
      </c>
      <c r="C2083" s="1" t="s">
        <v>12</v>
      </c>
      <c r="D2083" s="1" t="s">
        <v>4227</v>
      </c>
      <c r="E2083" s="4">
        <v>1016534.0</v>
      </c>
      <c r="F2083" s="2">
        <v>3.0</v>
      </c>
      <c r="G2083" s="2" t="s">
        <v>1</v>
      </c>
      <c r="H2083" s="2" t="s">
        <v>14</v>
      </c>
      <c r="I2083" s="2" t="s">
        <v>15</v>
      </c>
      <c r="J2083" s="2" t="s">
        <v>15</v>
      </c>
    </row>
    <row r="2084" ht="15.75" customHeight="1">
      <c r="A2084" s="1" t="s">
        <v>4236</v>
      </c>
      <c r="B2084" s="1" t="s">
        <v>4237</v>
      </c>
      <c r="C2084" s="1" t="s">
        <v>12</v>
      </c>
      <c r="D2084" s="1" t="s">
        <v>4227</v>
      </c>
      <c r="E2084" s="4">
        <v>1016534.0</v>
      </c>
      <c r="F2084" s="2">
        <v>3.0</v>
      </c>
      <c r="G2084" s="2" t="s">
        <v>1</v>
      </c>
      <c r="H2084" s="2" t="s">
        <v>18</v>
      </c>
      <c r="I2084" s="2" t="s">
        <v>15</v>
      </c>
      <c r="J2084" s="2" t="s">
        <v>15</v>
      </c>
    </row>
    <row r="2085" ht="15.75" customHeight="1">
      <c r="A2085" s="1" t="s">
        <v>4238</v>
      </c>
      <c r="B2085" s="1" t="s">
        <v>4239</v>
      </c>
      <c r="C2085" s="1" t="s">
        <v>12</v>
      </c>
      <c r="D2085" s="1" t="s">
        <v>4227</v>
      </c>
      <c r="E2085" s="4">
        <v>1016534.0</v>
      </c>
      <c r="F2085" s="2" t="s">
        <v>30</v>
      </c>
      <c r="G2085" s="2" t="s">
        <v>1</v>
      </c>
      <c r="H2085" s="2" t="s">
        <v>14</v>
      </c>
      <c r="I2085" s="2" t="s">
        <v>15</v>
      </c>
      <c r="J2085" s="2" t="s">
        <v>15</v>
      </c>
    </row>
    <row r="2086" ht="15.75" customHeight="1">
      <c r="A2086" s="1" t="s">
        <v>4240</v>
      </c>
      <c r="B2086" s="1" t="s">
        <v>4241</v>
      </c>
      <c r="C2086" s="1" t="s">
        <v>12</v>
      </c>
      <c r="D2086" s="1" t="s">
        <v>4227</v>
      </c>
      <c r="E2086" s="4">
        <v>1016534.0</v>
      </c>
      <c r="F2086" s="2" t="s">
        <v>15</v>
      </c>
      <c r="G2086" s="2" t="s">
        <v>33</v>
      </c>
      <c r="H2086" s="2" t="s">
        <v>15</v>
      </c>
      <c r="I2086" s="2" t="s">
        <v>15</v>
      </c>
      <c r="J2086" s="2" t="s">
        <v>15</v>
      </c>
    </row>
    <row r="2087" ht="15.75" customHeight="1">
      <c r="A2087" s="1" t="s">
        <v>4242</v>
      </c>
      <c r="B2087" s="1" t="s">
        <v>4243</v>
      </c>
      <c r="C2087" s="1" t="s">
        <v>12</v>
      </c>
      <c r="D2087" s="1" t="s">
        <v>4244</v>
      </c>
      <c r="E2087" s="4">
        <v>1016598.0</v>
      </c>
      <c r="F2087" s="2">
        <v>1.0</v>
      </c>
      <c r="G2087" s="2" t="s">
        <v>1</v>
      </c>
      <c r="H2087" s="2" t="s">
        <v>14</v>
      </c>
      <c r="I2087" s="2" t="s">
        <v>15</v>
      </c>
      <c r="J2087" s="2" t="s">
        <v>15</v>
      </c>
    </row>
    <row r="2088" ht="15.75" customHeight="1">
      <c r="A2088" s="1" t="s">
        <v>4245</v>
      </c>
      <c r="B2088" s="1" t="s">
        <v>4246</v>
      </c>
      <c r="C2088" s="1" t="s">
        <v>12</v>
      </c>
      <c r="D2088" s="1" t="s">
        <v>4244</v>
      </c>
      <c r="E2088" s="4">
        <v>1016598.0</v>
      </c>
      <c r="F2088" s="2">
        <v>1.0</v>
      </c>
      <c r="G2088" s="2" t="s">
        <v>1</v>
      </c>
      <c r="H2088" s="2" t="s">
        <v>18</v>
      </c>
      <c r="I2088" s="2" t="s">
        <v>15</v>
      </c>
      <c r="J2088" s="2" t="s">
        <v>15</v>
      </c>
    </row>
    <row r="2089" ht="15.75" customHeight="1">
      <c r="A2089" s="1" t="s">
        <v>4247</v>
      </c>
      <c r="B2089" s="1" t="s">
        <v>4248</v>
      </c>
      <c r="C2089" s="1" t="s">
        <v>12</v>
      </c>
      <c r="D2089" s="1" t="s">
        <v>4244</v>
      </c>
      <c r="E2089" s="4">
        <v>1016598.0</v>
      </c>
      <c r="F2089" s="2">
        <v>2.0</v>
      </c>
      <c r="G2089" s="2" t="s">
        <v>1</v>
      </c>
      <c r="H2089" s="2" t="s">
        <v>14</v>
      </c>
      <c r="I2089" s="2" t="s">
        <v>15</v>
      </c>
      <c r="J2089" s="2" t="s">
        <v>15</v>
      </c>
    </row>
    <row r="2090" ht="15.75" customHeight="1">
      <c r="A2090" s="1" t="s">
        <v>4249</v>
      </c>
      <c r="B2090" s="1" t="s">
        <v>4250</v>
      </c>
      <c r="C2090" s="1" t="s">
        <v>12</v>
      </c>
      <c r="D2090" s="1" t="s">
        <v>4244</v>
      </c>
      <c r="E2090" s="4">
        <v>1016598.0</v>
      </c>
      <c r="F2090" s="2">
        <v>2.0</v>
      </c>
      <c r="G2090" s="2" t="s">
        <v>1</v>
      </c>
      <c r="H2090" s="2" t="s">
        <v>18</v>
      </c>
      <c r="I2090" s="2" t="s">
        <v>15</v>
      </c>
      <c r="J2090" s="2" t="s">
        <v>15</v>
      </c>
    </row>
    <row r="2091" ht="15.75" customHeight="1">
      <c r="A2091" s="1" t="s">
        <v>4251</v>
      </c>
      <c r="B2091" s="1" t="s">
        <v>4252</v>
      </c>
      <c r="C2091" s="1" t="s">
        <v>12</v>
      </c>
      <c r="D2091" s="1" t="s">
        <v>4244</v>
      </c>
      <c r="E2091" s="4">
        <v>1016598.0</v>
      </c>
      <c r="F2091" s="2">
        <v>2.0</v>
      </c>
      <c r="G2091" s="2" t="s">
        <v>1</v>
      </c>
      <c r="H2091" s="2" t="s">
        <v>21</v>
      </c>
      <c r="I2091" s="2" t="s">
        <v>15</v>
      </c>
      <c r="J2091" s="2" t="s">
        <v>15</v>
      </c>
    </row>
    <row r="2092" ht="15.75" customHeight="1">
      <c r="A2092" s="1" t="s">
        <v>4253</v>
      </c>
      <c r="B2092" s="1" t="s">
        <v>4254</v>
      </c>
      <c r="C2092" s="1" t="s">
        <v>12</v>
      </c>
      <c r="D2092" s="1" t="s">
        <v>4244</v>
      </c>
      <c r="E2092" s="4">
        <v>1016598.0</v>
      </c>
      <c r="F2092" s="2">
        <v>3.0</v>
      </c>
      <c r="G2092" s="2" t="s">
        <v>1</v>
      </c>
      <c r="H2092" s="2" t="s">
        <v>14</v>
      </c>
      <c r="I2092" s="2" t="s">
        <v>15</v>
      </c>
      <c r="J2092" s="2" t="s">
        <v>15</v>
      </c>
    </row>
    <row r="2093" ht="15.75" customHeight="1">
      <c r="A2093" s="1" t="s">
        <v>4255</v>
      </c>
      <c r="B2093" s="1" t="s">
        <v>4256</v>
      </c>
      <c r="C2093" s="1" t="s">
        <v>12</v>
      </c>
      <c r="D2093" s="1" t="s">
        <v>4244</v>
      </c>
      <c r="E2093" s="4">
        <v>1016598.0</v>
      </c>
      <c r="F2093" s="2">
        <v>3.0</v>
      </c>
      <c r="G2093" s="2" t="s">
        <v>1</v>
      </c>
      <c r="H2093" s="2" t="s">
        <v>18</v>
      </c>
      <c r="I2093" s="2" t="s">
        <v>15</v>
      </c>
      <c r="J2093" s="2" t="s">
        <v>15</v>
      </c>
    </row>
    <row r="2094" ht="15.75" customHeight="1">
      <c r="A2094" s="1" t="s">
        <v>4257</v>
      </c>
      <c r="B2094" s="1" t="s">
        <v>4258</v>
      </c>
      <c r="C2094" s="1" t="s">
        <v>12</v>
      </c>
      <c r="D2094" s="1" t="s">
        <v>4244</v>
      </c>
      <c r="E2094" s="4">
        <v>1016598.0</v>
      </c>
      <c r="F2094" s="2" t="s">
        <v>30</v>
      </c>
      <c r="G2094" s="2" t="s">
        <v>1</v>
      </c>
      <c r="H2094" s="2" t="s">
        <v>14</v>
      </c>
      <c r="I2094" s="2" t="s">
        <v>15</v>
      </c>
      <c r="J2094" s="2" t="s">
        <v>15</v>
      </c>
    </row>
    <row r="2095" ht="15.75" customHeight="1">
      <c r="A2095" s="1" t="s">
        <v>4259</v>
      </c>
      <c r="B2095" s="1" t="s">
        <v>4260</v>
      </c>
      <c r="C2095" s="1" t="s">
        <v>12</v>
      </c>
      <c r="D2095" s="1" t="s">
        <v>4244</v>
      </c>
      <c r="E2095" s="4">
        <v>1016598.0</v>
      </c>
      <c r="F2095" s="2" t="s">
        <v>15</v>
      </c>
      <c r="G2095" s="2" t="s">
        <v>33</v>
      </c>
      <c r="H2095" s="2" t="s">
        <v>15</v>
      </c>
      <c r="I2095" s="2" t="s">
        <v>15</v>
      </c>
      <c r="J2095" s="2" t="s">
        <v>15</v>
      </c>
    </row>
    <row r="2096" ht="15.75" customHeight="1">
      <c r="A2096" s="1" t="s">
        <v>4261</v>
      </c>
      <c r="B2096" s="1" t="s">
        <v>4262</v>
      </c>
      <c r="C2096" s="1" t="s">
        <v>12</v>
      </c>
      <c r="D2096" s="1" t="s">
        <v>4244</v>
      </c>
      <c r="E2096" s="4">
        <v>1016598.0</v>
      </c>
      <c r="F2096" s="2">
        <v>2.0</v>
      </c>
      <c r="G2096" s="2" t="s">
        <v>1</v>
      </c>
      <c r="H2096" s="2" t="s">
        <v>37</v>
      </c>
      <c r="I2096" s="2" t="s">
        <v>15</v>
      </c>
      <c r="J2096" s="2" t="s">
        <v>15</v>
      </c>
    </row>
    <row r="2097" ht="15.75" customHeight="1">
      <c r="A2097" s="1" t="s">
        <v>4263</v>
      </c>
      <c r="B2097" s="1" t="s">
        <v>4264</v>
      </c>
      <c r="C2097" s="1" t="s">
        <v>12</v>
      </c>
      <c r="D2097" s="1" t="s">
        <v>4244</v>
      </c>
      <c r="E2097" s="4">
        <v>1016598.0</v>
      </c>
      <c r="F2097" s="2" t="s">
        <v>30</v>
      </c>
      <c r="G2097" s="2" t="s">
        <v>1</v>
      </c>
      <c r="H2097" s="2" t="s">
        <v>37</v>
      </c>
      <c r="I2097" s="2" t="s">
        <v>15</v>
      </c>
      <c r="J2097" s="2" t="s">
        <v>15</v>
      </c>
    </row>
    <row r="2098" ht="15.75" customHeight="1">
      <c r="A2098" s="1" t="s">
        <v>4265</v>
      </c>
      <c r="B2098" s="1" t="s">
        <v>4266</v>
      </c>
      <c r="C2098" s="1" t="s">
        <v>12</v>
      </c>
      <c r="D2098" s="1" t="s">
        <v>4267</v>
      </c>
      <c r="E2098" s="4">
        <v>1016662.0</v>
      </c>
      <c r="F2098" s="2">
        <v>1.0</v>
      </c>
      <c r="G2098" s="2" t="s">
        <v>1</v>
      </c>
      <c r="H2098" s="2" t="s">
        <v>14</v>
      </c>
      <c r="I2098" s="2" t="s">
        <v>15</v>
      </c>
      <c r="J2098" s="2" t="s">
        <v>15</v>
      </c>
    </row>
    <row r="2099" ht="15.75" customHeight="1">
      <c r="A2099" s="1" t="s">
        <v>4268</v>
      </c>
      <c r="B2099" s="1" t="s">
        <v>4269</v>
      </c>
      <c r="C2099" s="1" t="s">
        <v>12</v>
      </c>
      <c r="D2099" s="1" t="s">
        <v>4267</v>
      </c>
      <c r="E2099" s="4">
        <v>1016662.0</v>
      </c>
      <c r="F2099" s="2">
        <v>1.0</v>
      </c>
      <c r="G2099" s="2" t="s">
        <v>1</v>
      </c>
      <c r="H2099" s="2" t="s">
        <v>18</v>
      </c>
      <c r="I2099" s="2" t="s">
        <v>15</v>
      </c>
      <c r="J2099" s="2" t="s">
        <v>15</v>
      </c>
    </row>
    <row r="2100" ht="15.75" customHeight="1">
      <c r="A2100" s="1" t="s">
        <v>4270</v>
      </c>
      <c r="B2100" s="1" t="s">
        <v>4271</v>
      </c>
      <c r="C2100" s="1" t="s">
        <v>12</v>
      </c>
      <c r="D2100" s="1" t="s">
        <v>4267</v>
      </c>
      <c r="E2100" s="4">
        <v>1016662.0</v>
      </c>
      <c r="F2100" s="2">
        <v>2.0</v>
      </c>
      <c r="G2100" s="2" t="s">
        <v>1</v>
      </c>
      <c r="H2100" s="2" t="s">
        <v>14</v>
      </c>
      <c r="I2100" s="2" t="s">
        <v>15</v>
      </c>
      <c r="J2100" s="2" t="s">
        <v>15</v>
      </c>
    </row>
    <row r="2101" ht="15.75" customHeight="1">
      <c r="A2101" s="1" t="s">
        <v>4272</v>
      </c>
      <c r="B2101" s="1" t="s">
        <v>4273</v>
      </c>
      <c r="C2101" s="1" t="s">
        <v>12</v>
      </c>
      <c r="D2101" s="1" t="s">
        <v>4267</v>
      </c>
      <c r="E2101" s="4">
        <v>1016662.0</v>
      </c>
      <c r="F2101" s="2">
        <v>2.0</v>
      </c>
      <c r="G2101" s="2" t="s">
        <v>1</v>
      </c>
      <c r="H2101" s="2" t="s">
        <v>18</v>
      </c>
      <c r="I2101" s="2" t="s">
        <v>15</v>
      </c>
      <c r="J2101" s="2" t="s">
        <v>15</v>
      </c>
    </row>
    <row r="2102" ht="15.75" customHeight="1">
      <c r="A2102" s="1" t="s">
        <v>4274</v>
      </c>
      <c r="B2102" s="1" t="s">
        <v>4275</v>
      </c>
      <c r="C2102" s="1" t="s">
        <v>12</v>
      </c>
      <c r="D2102" s="1" t="s">
        <v>4267</v>
      </c>
      <c r="E2102" s="4">
        <v>1016662.0</v>
      </c>
      <c r="F2102" s="2">
        <v>3.0</v>
      </c>
      <c r="G2102" s="2" t="s">
        <v>1</v>
      </c>
      <c r="H2102" s="2" t="s">
        <v>14</v>
      </c>
      <c r="I2102" s="2" t="s">
        <v>15</v>
      </c>
      <c r="J2102" s="2" t="s">
        <v>15</v>
      </c>
    </row>
    <row r="2103" ht="15.75" customHeight="1">
      <c r="A2103" s="1" t="s">
        <v>4276</v>
      </c>
      <c r="B2103" s="1" t="s">
        <v>4277</v>
      </c>
      <c r="C2103" s="1" t="s">
        <v>12</v>
      </c>
      <c r="D2103" s="1" t="s">
        <v>4267</v>
      </c>
      <c r="E2103" s="4">
        <v>1016662.0</v>
      </c>
      <c r="F2103" s="2">
        <v>3.0</v>
      </c>
      <c r="G2103" s="2" t="s">
        <v>1</v>
      </c>
      <c r="H2103" s="2" t="s">
        <v>18</v>
      </c>
      <c r="I2103" s="2" t="s">
        <v>15</v>
      </c>
      <c r="J2103" s="2" t="s">
        <v>15</v>
      </c>
    </row>
    <row r="2104" ht="15.75" customHeight="1">
      <c r="A2104" s="1" t="s">
        <v>4278</v>
      </c>
      <c r="B2104" s="1" t="s">
        <v>4279</v>
      </c>
      <c r="C2104" s="1" t="s">
        <v>12</v>
      </c>
      <c r="D2104" s="1" t="s">
        <v>4267</v>
      </c>
      <c r="E2104" s="4">
        <v>1016662.0</v>
      </c>
      <c r="F2104" s="2" t="s">
        <v>30</v>
      </c>
      <c r="G2104" s="2" t="s">
        <v>1</v>
      </c>
      <c r="H2104" s="2" t="s">
        <v>14</v>
      </c>
      <c r="I2104" s="2" t="s">
        <v>15</v>
      </c>
      <c r="J2104" s="2" t="s">
        <v>15</v>
      </c>
    </row>
    <row r="2105" ht="15.75" customHeight="1">
      <c r="A2105" s="1" t="s">
        <v>4280</v>
      </c>
      <c r="B2105" s="1" t="s">
        <v>4281</v>
      </c>
      <c r="C2105" s="1" t="s">
        <v>12</v>
      </c>
      <c r="D2105" s="1" t="s">
        <v>4267</v>
      </c>
      <c r="E2105" s="4">
        <v>1016662.0</v>
      </c>
      <c r="F2105" s="2" t="s">
        <v>15</v>
      </c>
      <c r="G2105" s="2" t="s">
        <v>33</v>
      </c>
      <c r="H2105" s="2" t="s">
        <v>15</v>
      </c>
      <c r="I2105" s="2" t="s">
        <v>15</v>
      </c>
      <c r="J2105" s="2" t="s">
        <v>15</v>
      </c>
    </row>
    <row r="2106" ht="15.75" customHeight="1">
      <c r="A2106" s="1" t="s">
        <v>4282</v>
      </c>
      <c r="B2106" s="1" t="s">
        <v>4283</v>
      </c>
      <c r="C2106" s="1" t="s">
        <v>12</v>
      </c>
      <c r="D2106" s="1" t="s">
        <v>4284</v>
      </c>
      <c r="E2106" s="4">
        <v>1016726.0</v>
      </c>
      <c r="F2106" s="2">
        <v>1.0</v>
      </c>
      <c r="G2106" s="2" t="s">
        <v>1</v>
      </c>
      <c r="H2106" s="2" t="s">
        <v>14</v>
      </c>
      <c r="I2106" s="2" t="s">
        <v>15</v>
      </c>
      <c r="J2106" s="2" t="s">
        <v>15</v>
      </c>
    </row>
    <row r="2107" ht="15.75" customHeight="1">
      <c r="A2107" s="1" t="s">
        <v>4285</v>
      </c>
      <c r="B2107" s="1" t="s">
        <v>4286</v>
      </c>
      <c r="C2107" s="1" t="s">
        <v>12</v>
      </c>
      <c r="D2107" s="1" t="s">
        <v>4284</v>
      </c>
      <c r="E2107" s="4">
        <v>1016726.0</v>
      </c>
      <c r="F2107" s="2">
        <v>1.0</v>
      </c>
      <c r="G2107" s="2" t="s">
        <v>1</v>
      </c>
      <c r="H2107" s="2" t="s">
        <v>18</v>
      </c>
      <c r="I2107" s="2" t="s">
        <v>15</v>
      </c>
      <c r="J2107" s="2" t="s">
        <v>15</v>
      </c>
    </row>
    <row r="2108" ht="15.75" customHeight="1">
      <c r="A2108" s="1" t="s">
        <v>4287</v>
      </c>
      <c r="B2108" s="1" t="s">
        <v>4288</v>
      </c>
      <c r="C2108" s="1" t="s">
        <v>12</v>
      </c>
      <c r="D2108" s="1" t="s">
        <v>4284</v>
      </c>
      <c r="E2108" s="4">
        <v>1016726.0</v>
      </c>
      <c r="F2108" s="2">
        <v>2.0</v>
      </c>
      <c r="G2108" s="2" t="s">
        <v>1</v>
      </c>
      <c r="H2108" s="2" t="s">
        <v>14</v>
      </c>
      <c r="I2108" s="2" t="s">
        <v>15</v>
      </c>
      <c r="J2108" s="2" t="s">
        <v>15</v>
      </c>
    </row>
    <row r="2109" ht="15.75" customHeight="1">
      <c r="A2109" s="1" t="s">
        <v>4289</v>
      </c>
      <c r="B2109" s="1" t="s">
        <v>4290</v>
      </c>
      <c r="C2109" s="1" t="s">
        <v>12</v>
      </c>
      <c r="D2109" s="1" t="s">
        <v>4284</v>
      </c>
      <c r="E2109" s="4">
        <v>1016726.0</v>
      </c>
      <c r="F2109" s="2">
        <v>2.0</v>
      </c>
      <c r="G2109" s="2" t="s">
        <v>1</v>
      </c>
      <c r="H2109" s="2" t="s">
        <v>18</v>
      </c>
      <c r="I2109" s="2" t="s">
        <v>15</v>
      </c>
      <c r="J2109" s="2" t="s">
        <v>15</v>
      </c>
    </row>
    <row r="2110" ht="15.75" customHeight="1">
      <c r="A2110" s="1" t="s">
        <v>4291</v>
      </c>
      <c r="B2110" s="1" t="s">
        <v>4292</v>
      </c>
      <c r="C2110" s="1" t="s">
        <v>12</v>
      </c>
      <c r="D2110" s="1" t="s">
        <v>4284</v>
      </c>
      <c r="E2110" s="4">
        <v>1016726.0</v>
      </c>
      <c r="F2110" s="2">
        <v>3.0</v>
      </c>
      <c r="G2110" s="2" t="s">
        <v>1</v>
      </c>
      <c r="H2110" s="2" t="s">
        <v>14</v>
      </c>
      <c r="I2110" s="2" t="s">
        <v>15</v>
      </c>
      <c r="J2110" s="2" t="s">
        <v>15</v>
      </c>
    </row>
    <row r="2111" ht="15.75" customHeight="1">
      <c r="A2111" s="1" t="s">
        <v>4293</v>
      </c>
      <c r="B2111" s="1" t="s">
        <v>4294</v>
      </c>
      <c r="C2111" s="1" t="s">
        <v>12</v>
      </c>
      <c r="D2111" s="1" t="s">
        <v>4284</v>
      </c>
      <c r="E2111" s="4">
        <v>1016726.0</v>
      </c>
      <c r="F2111" s="2">
        <v>3.0</v>
      </c>
      <c r="G2111" s="2" t="s">
        <v>1</v>
      </c>
      <c r="H2111" s="2" t="s">
        <v>18</v>
      </c>
      <c r="I2111" s="2" t="s">
        <v>15</v>
      </c>
      <c r="J2111" s="2" t="s">
        <v>15</v>
      </c>
    </row>
    <row r="2112" ht="15.75" customHeight="1">
      <c r="A2112" s="1" t="s">
        <v>4295</v>
      </c>
      <c r="B2112" s="1" t="s">
        <v>4296</v>
      </c>
      <c r="C2112" s="1" t="s">
        <v>12</v>
      </c>
      <c r="D2112" s="1" t="s">
        <v>4284</v>
      </c>
      <c r="E2112" s="4">
        <v>1016726.0</v>
      </c>
      <c r="F2112" s="2" t="s">
        <v>30</v>
      </c>
      <c r="G2112" s="2" t="s">
        <v>1</v>
      </c>
      <c r="H2112" s="2" t="s">
        <v>14</v>
      </c>
      <c r="I2112" s="2" t="s">
        <v>15</v>
      </c>
      <c r="J2112" s="2" t="s">
        <v>15</v>
      </c>
    </row>
    <row r="2113" ht="15.75" customHeight="1">
      <c r="A2113" s="1" t="s">
        <v>4297</v>
      </c>
      <c r="B2113" s="1" t="s">
        <v>4298</v>
      </c>
      <c r="C2113" s="1" t="s">
        <v>12</v>
      </c>
      <c r="D2113" s="1" t="s">
        <v>4284</v>
      </c>
      <c r="E2113" s="4">
        <v>1016726.0</v>
      </c>
      <c r="F2113" s="2" t="s">
        <v>15</v>
      </c>
      <c r="G2113" s="2" t="s">
        <v>33</v>
      </c>
      <c r="H2113" s="2" t="s">
        <v>15</v>
      </c>
      <c r="I2113" s="2" t="s">
        <v>15</v>
      </c>
      <c r="J2113" s="2" t="s">
        <v>15</v>
      </c>
    </row>
    <row r="2114" ht="15.75" customHeight="1">
      <c r="A2114" s="1" t="s">
        <v>4299</v>
      </c>
      <c r="B2114" s="1" t="s">
        <v>4300</v>
      </c>
      <c r="C2114" s="1" t="s">
        <v>12</v>
      </c>
      <c r="D2114" s="1" t="s">
        <v>4301</v>
      </c>
      <c r="E2114" s="4">
        <v>1016790.0</v>
      </c>
      <c r="F2114" s="2">
        <v>1.0</v>
      </c>
      <c r="G2114" s="2" t="s">
        <v>1</v>
      </c>
      <c r="H2114" s="2" t="s">
        <v>14</v>
      </c>
      <c r="I2114" s="2" t="s">
        <v>15</v>
      </c>
      <c r="J2114" s="2" t="s">
        <v>15</v>
      </c>
    </row>
    <row r="2115" ht="15.75" customHeight="1">
      <c r="A2115" s="1" t="s">
        <v>4302</v>
      </c>
      <c r="B2115" s="1" t="s">
        <v>4303</v>
      </c>
      <c r="C2115" s="1" t="s">
        <v>12</v>
      </c>
      <c r="D2115" s="1" t="s">
        <v>4301</v>
      </c>
      <c r="E2115" s="4">
        <v>1016790.0</v>
      </c>
      <c r="F2115" s="2">
        <v>1.0</v>
      </c>
      <c r="G2115" s="2" t="s">
        <v>1</v>
      </c>
      <c r="H2115" s="2" t="s">
        <v>18</v>
      </c>
      <c r="I2115" s="2" t="s">
        <v>15</v>
      </c>
      <c r="J2115" s="2" t="s">
        <v>15</v>
      </c>
    </row>
    <row r="2116" ht="15.75" customHeight="1">
      <c r="A2116" s="1" t="s">
        <v>4304</v>
      </c>
      <c r="B2116" s="1" t="s">
        <v>4305</v>
      </c>
      <c r="C2116" s="1" t="s">
        <v>12</v>
      </c>
      <c r="D2116" s="1" t="s">
        <v>4301</v>
      </c>
      <c r="E2116" s="4">
        <v>1016790.0</v>
      </c>
      <c r="F2116" s="2">
        <v>2.0</v>
      </c>
      <c r="G2116" s="2" t="s">
        <v>1</v>
      </c>
      <c r="H2116" s="2" t="s">
        <v>14</v>
      </c>
      <c r="I2116" s="2" t="s">
        <v>15</v>
      </c>
      <c r="J2116" s="2" t="s">
        <v>15</v>
      </c>
    </row>
    <row r="2117" ht="15.75" customHeight="1">
      <c r="A2117" s="1" t="s">
        <v>4306</v>
      </c>
      <c r="B2117" s="1" t="s">
        <v>4307</v>
      </c>
      <c r="C2117" s="1" t="s">
        <v>12</v>
      </c>
      <c r="D2117" s="1" t="s">
        <v>4301</v>
      </c>
      <c r="E2117" s="4">
        <v>1016790.0</v>
      </c>
      <c r="F2117" s="2">
        <v>2.0</v>
      </c>
      <c r="G2117" s="2" t="s">
        <v>1</v>
      </c>
      <c r="H2117" s="2" t="s">
        <v>18</v>
      </c>
      <c r="I2117" s="2" t="s">
        <v>15</v>
      </c>
      <c r="J2117" s="2" t="s">
        <v>15</v>
      </c>
    </row>
    <row r="2118" ht="15.75" customHeight="1">
      <c r="A2118" s="1" t="s">
        <v>4308</v>
      </c>
      <c r="B2118" s="1" t="s">
        <v>4309</v>
      </c>
      <c r="C2118" s="1" t="s">
        <v>12</v>
      </c>
      <c r="D2118" s="1" t="s">
        <v>4301</v>
      </c>
      <c r="E2118" s="4">
        <v>1016790.0</v>
      </c>
      <c r="F2118" s="2">
        <v>3.0</v>
      </c>
      <c r="G2118" s="2" t="s">
        <v>1</v>
      </c>
      <c r="H2118" s="2" t="s">
        <v>14</v>
      </c>
      <c r="I2118" s="2" t="s">
        <v>15</v>
      </c>
      <c r="J2118" s="2" t="s">
        <v>15</v>
      </c>
    </row>
    <row r="2119" ht="15.75" customHeight="1">
      <c r="A2119" s="1" t="s">
        <v>4310</v>
      </c>
      <c r="B2119" s="1" t="s">
        <v>4311</v>
      </c>
      <c r="C2119" s="1" t="s">
        <v>12</v>
      </c>
      <c r="D2119" s="1" t="s">
        <v>4301</v>
      </c>
      <c r="E2119" s="4">
        <v>1016790.0</v>
      </c>
      <c r="F2119" s="2">
        <v>3.0</v>
      </c>
      <c r="G2119" s="2" t="s">
        <v>1</v>
      </c>
      <c r="H2119" s="2" t="s">
        <v>18</v>
      </c>
      <c r="I2119" s="2" t="s">
        <v>15</v>
      </c>
      <c r="J2119" s="2" t="s">
        <v>15</v>
      </c>
    </row>
    <row r="2120" ht="15.75" customHeight="1">
      <c r="A2120" s="1" t="s">
        <v>4312</v>
      </c>
      <c r="B2120" s="1" t="s">
        <v>4313</v>
      </c>
      <c r="C2120" s="1" t="s">
        <v>12</v>
      </c>
      <c r="D2120" s="1" t="s">
        <v>4301</v>
      </c>
      <c r="E2120" s="4">
        <v>1016790.0</v>
      </c>
      <c r="F2120" s="2" t="s">
        <v>30</v>
      </c>
      <c r="G2120" s="2" t="s">
        <v>1</v>
      </c>
      <c r="H2120" s="2" t="s">
        <v>14</v>
      </c>
      <c r="I2120" s="2" t="s">
        <v>15</v>
      </c>
      <c r="J2120" s="2" t="s">
        <v>15</v>
      </c>
    </row>
    <row r="2121" ht="15.75" customHeight="1">
      <c r="A2121" s="1" t="s">
        <v>4314</v>
      </c>
      <c r="B2121" s="1" t="s">
        <v>4315</v>
      </c>
      <c r="C2121" s="1" t="s">
        <v>12</v>
      </c>
      <c r="D2121" s="1" t="s">
        <v>4301</v>
      </c>
      <c r="E2121" s="4">
        <v>1016790.0</v>
      </c>
      <c r="F2121" s="2" t="s">
        <v>15</v>
      </c>
      <c r="G2121" s="2" t="s">
        <v>33</v>
      </c>
      <c r="H2121" s="2" t="s">
        <v>15</v>
      </c>
      <c r="I2121" s="2" t="s">
        <v>15</v>
      </c>
      <c r="J2121" s="2" t="s">
        <v>15</v>
      </c>
    </row>
    <row r="2122" ht="15.75" customHeight="1">
      <c r="A2122" s="1" t="s">
        <v>4316</v>
      </c>
      <c r="B2122" s="1" t="s">
        <v>4317</v>
      </c>
      <c r="C2122" s="1" t="s">
        <v>12</v>
      </c>
      <c r="D2122" s="1" t="s">
        <v>4318</v>
      </c>
      <c r="E2122" s="4">
        <v>1016854.0</v>
      </c>
      <c r="F2122" s="2">
        <v>1.0</v>
      </c>
      <c r="G2122" s="2" t="s">
        <v>1</v>
      </c>
      <c r="H2122" s="2" t="s">
        <v>14</v>
      </c>
      <c r="I2122" s="2" t="s">
        <v>15</v>
      </c>
      <c r="J2122" s="2" t="s">
        <v>15</v>
      </c>
    </row>
    <row r="2123" ht="15.75" customHeight="1">
      <c r="A2123" s="1" t="s">
        <v>4319</v>
      </c>
      <c r="B2123" s="1" t="s">
        <v>4320</v>
      </c>
      <c r="C2123" s="1" t="s">
        <v>12</v>
      </c>
      <c r="D2123" s="1" t="s">
        <v>4318</v>
      </c>
      <c r="E2123" s="4">
        <v>1016854.0</v>
      </c>
      <c r="F2123" s="2">
        <v>1.0</v>
      </c>
      <c r="G2123" s="2" t="s">
        <v>1</v>
      </c>
      <c r="H2123" s="2" t="s">
        <v>18</v>
      </c>
      <c r="I2123" s="2" t="s">
        <v>15</v>
      </c>
      <c r="J2123" s="2" t="s">
        <v>15</v>
      </c>
    </row>
    <row r="2124" ht="15.75" customHeight="1">
      <c r="A2124" s="1" t="s">
        <v>4321</v>
      </c>
      <c r="B2124" s="1" t="s">
        <v>4322</v>
      </c>
      <c r="C2124" s="1" t="s">
        <v>12</v>
      </c>
      <c r="D2124" s="1" t="s">
        <v>4318</v>
      </c>
      <c r="E2124" s="4">
        <v>1016854.0</v>
      </c>
      <c r="F2124" s="2" t="s">
        <v>399</v>
      </c>
      <c r="G2124" s="2" t="s">
        <v>1</v>
      </c>
      <c r="H2124" s="2" t="s">
        <v>14</v>
      </c>
      <c r="I2124" s="2" t="s">
        <v>15</v>
      </c>
      <c r="J2124" s="2" t="s">
        <v>15</v>
      </c>
    </row>
    <row r="2125" ht="15.75" customHeight="1">
      <c r="A2125" s="1" t="s">
        <v>4323</v>
      </c>
      <c r="B2125" s="1" t="s">
        <v>4324</v>
      </c>
      <c r="C2125" s="1" t="s">
        <v>12</v>
      </c>
      <c r="D2125" s="1" t="s">
        <v>4318</v>
      </c>
      <c r="E2125" s="4">
        <v>1016854.0</v>
      </c>
      <c r="F2125" s="2" t="s">
        <v>399</v>
      </c>
      <c r="G2125" s="2" t="s">
        <v>1</v>
      </c>
      <c r="H2125" s="2" t="s">
        <v>18</v>
      </c>
      <c r="I2125" s="2" t="s">
        <v>15</v>
      </c>
      <c r="J2125" s="2" t="s">
        <v>15</v>
      </c>
    </row>
    <row r="2126" ht="15.75" customHeight="1">
      <c r="A2126" s="1" t="s">
        <v>4325</v>
      </c>
      <c r="B2126" s="1" t="s">
        <v>4326</v>
      </c>
      <c r="C2126" s="1" t="s">
        <v>12</v>
      </c>
      <c r="D2126" s="1" t="s">
        <v>4318</v>
      </c>
      <c r="E2126" s="4">
        <v>1016854.0</v>
      </c>
      <c r="F2126" s="2" t="s">
        <v>30</v>
      </c>
      <c r="G2126" s="2" t="s">
        <v>1</v>
      </c>
      <c r="H2126" s="2" t="s">
        <v>14</v>
      </c>
      <c r="I2126" s="2" t="s">
        <v>15</v>
      </c>
      <c r="J2126" s="2" t="s">
        <v>15</v>
      </c>
    </row>
    <row r="2127" ht="15.75" customHeight="1">
      <c r="A2127" s="1" t="s">
        <v>4327</v>
      </c>
      <c r="B2127" s="1" t="s">
        <v>4328</v>
      </c>
      <c r="C2127" s="1" t="s">
        <v>12</v>
      </c>
      <c r="D2127" s="1" t="s">
        <v>4318</v>
      </c>
      <c r="E2127" s="4">
        <v>1016854.0</v>
      </c>
      <c r="F2127" s="2" t="s">
        <v>15</v>
      </c>
      <c r="G2127" s="2" t="s">
        <v>33</v>
      </c>
      <c r="H2127" s="2" t="s">
        <v>15</v>
      </c>
      <c r="I2127" s="2" t="s">
        <v>15</v>
      </c>
      <c r="J2127" s="2" t="s">
        <v>15</v>
      </c>
    </row>
    <row r="2128" ht="15.75" customHeight="1">
      <c r="A2128" s="1" t="s">
        <v>4329</v>
      </c>
      <c r="B2128" s="1" t="s">
        <v>4330</v>
      </c>
      <c r="C2128" s="1" t="s">
        <v>12</v>
      </c>
      <c r="D2128" s="1" t="s">
        <v>4331</v>
      </c>
      <c r="E2128" s="4">
        <v>1016918.0</v>
      </c>
      <c r="F2128" s="2">
        <v>1.0</v>
      </c>
      <c r="G2128" s="2" t="s">
        <v>1</v>
      </c>
      <c r="H2128" s="2" t="s">
        <v>14</v>
      </c>
      <c r="I2128" s="2" t="s">
        <v>15</v>
      </c>
      <c r="J2128" s="2" t="s">
        <v>15</v>
      </c>
    </row>
    <row r="2129" ht="15.75" customHeight="1">
      <c r="A2129" s="1" t="s">
        <v>4332</v>
      </c>
      <c r="B2129" s="1" t="s">
        <v>4333</v>
      </c>
      <c r="C2129" s="1" t="s">
        <v>12</v>
      </c>
      <c r="D2129" s="1" t="s">
        <v>4331</v>
      </c>
      <c r="E2129" s="4">
        <v>1016918.0</v>
      </c>
      <c r="F2129" s="2">
        <v>1.0</v>
      </c>
      <c r="G2129" s="2" t="s">
        <v>1</v>
      </c>
      <c r="H2129" s="2" t="s">
        <v>18</v>
      </c>
      <c r="I2129" s="2" t="s">
        <v>15</v>
      </c>
      <c r="J2129" s="2" t="s">
        <v>15</v>
      </c>
    </row>
    <row r="2130" ht="15.75" customHeight="1">
      <c r="A2130" s="1" t="s">
        <v>4334</v>
      </c>
      <c r="B2130" s="1" t="s">
        <v>4335</v>
      </c>
      <c r="C2130" s="1" t="s">
        <v>12</v>
      </c>
      <c r="D2130" s="1" t="s">
        <v>4331</v>
      </c>
      <c r="E2130" s="4">
        <v>1016918.0</v>
      </c>
      <c r="F2130" s="2">
        <v>2.0</v>
      </c>
      <c r="G2130" s="2" t="s">
        <v>1</v>
      </c>
      <c r="H2130" s="2" t="s">
        <v>14</v>
      </c>
      <c r="I2130" s="2" t="s">
        <v>15</v>
      </c>
      <c r="J2130" s="2" t="s">
        <v>15</v>
      </c>
    </row>
    <row r="2131" ht="15.75" customHeight="1">
      <c r="A2131" s="1" t="s">
        <v>4336</v>
      </c>
      <c r="B2131" s="1" t="s">
        <v>4337</v>
      </c>
      <c r="C2131" s="1" t="s">
        <v>12</v>
      </c>
      <c r="D2131" s="1" t="s">
        <v>4331</v>
      </c>
      <c r="E2131" s="4">
        <v>1016918.0</v>
      </c>
      <c r="F2131" s="2">
        <v>2.0</v>
      </c>
      <c r="G2131" s="2" t="s">
        <v>1</v>
      </c>
      <c r="H2131" s="2" t="s">
        <v>18</v>
      </c>
      <c r="I2131" s="2" t="s">
        <v>15</v>
      </c>
      <c r="J2131" s="2" t="s">
        <v>15</v>
      </c>
    </row>
    <row r="2132" ht="15.75" customHeight="1">
      <c r="A2132" s="1" t="s">
        <v>4338</v>
      </c>
      <c r="B2132" s="1" t="s">
        <v>4339</v>
      </c>
      <c r="C2132" s="1" t="s">
        <v>12</v>
      </c>
      <c r="D2132" s="1" t="s">
        <v>4331</v>
      </c>
      <c r="E2132" s="4">
        <v>1016918.0</v>
      </c>
      <c r="F2132" s="2">
        <v>2.0</v>
      </c>
      <c r="G2132" s="2" t="s">
        <v>1</v>
      </c>
      <c r="H2132" s="2" t="s">
        <v>21</v>
      </c>
      <c r="I2132" s="2" t="s">
        <v>15</v>
      </c>
      <c r="J2132" s="2" t="s">
        <v>15</v>
      </c>
    </row>
    <row r="2133" ht="15.75" customHeight="1">
      <c r="A2133" s="1" t="s">
        <v>4340</v>
      </c>
      <c r="B2133" s="1" t="s">
        <v>4341</v>
      </c>
      <c r="C2133" s="1" t="s">
        <v>12</v>
      </c>
      <c r="D2133" s="1" t="s">
        <v>4331</v>
      </c>
      <c r="E2133" s="4">
        <v>1016918.0</v>
      </c>
      <c r="F2133" s="2">
        <v>3.0</v>
      </c>
      <c r="G2133" s="2" t="s">
        <v>1</v>
      </c>
      <c r="H2133" s="2" t="s">
        <v>14</v>
      </c>
      <c r="I2133" s="2" t="s">
        <v>15</v>
      </c>
      <c r="J2133" s="2" t="s">
        <v>15</v>
      </c>
    </row>
    <row r="2134" ht="15.75" customHeight="1">
      <c r="A2134" s="1" t="s">
        <v>4342</v>
      </c>
      <c r="B2134" s="1" t="s">
        <v>4343</v>
      </c>
      <c r="C2134" s="1" t="s">
        <v>12</v>
      </c>
      <c r="D2134" s="1" t="s">
        <v>4331</v>
      </c>
      <c r="E2134" s="4">
        <v>1016918.0</v>
      </c>
      <c r="F2134" s="2">
        <v>3.0</v>
      </c>
      <c r="G2134" s="2" t="s">
        <v>1</v>
      </c>
      <c r="H2134" s="2" t="s">
        <v>18</v>
      </c>
      <c r="I2134" s="2" t="s">
        <v>15</v>
      </c>
      <c r="J2134" s="2" t="s">
        <v>15</v>
      </c>
    </row>
    <row r="2135" ht="15.75" customHeight="1">
      <c r="A2135" s="1" t="s">
        <v>4344</v>
      </c>
      <c r="B2135" s="1" t="s">
        <v>4345</v>
      </c>
      <c r="C2135" s="1" t="s">
        <v>12</v>
      </c>
      <c r="D2135" s="1" t="s">
        <v>4331</v>
      </c>
      <c r="E2135" s="4">
        <v>1016918.0</v>
      </c>
      <c r="F2135" s="2" t="s">
        <v>399</v>
      </c>
      <c r="G2135" s="2" t="s">
        <v>1</v>
      </c>
      <c r="H2135" s="2" t="s">
        <v>14</v>
      </c>
      <c r="I2135" s="2" t="s">
        <v>15</v>
      </c>
      <c r="J2135" s="2" t="s">
        <v>15</v>
      </c>
    </row>
    <row r="2136" ht="15.75" customHeight="1">
      <c r="A2136" s="1" t="s">
        <v>4346</v>
      </c>
      <c r="B2136" s="1" t="s">
        <v>4347</v>
      </c>
      <c r="C2136" s="1" t="s">
        <v>12</v>
      </c>
      <c r="D2136" s="1" t="s">
        <v>4331</v>
      </c>
      <c r="E2136" s="4">
        <v>1016918.0</v>
      </c>
      <c r="F2136" s="2" t="s">
        <v>399</v>
      </c>
      <c r="G2136" s="2" t="s">
        <v>1</v>
      </c>
      <c r="H2136" s="2" t="s">
        <v>18</v>
      </c>
      <c r="I2136" s="2" t="s">
        <v>15</v>
      </c>
      <c r="J2136" s="2" t="s">
        <v>15</v>
      </c>
    </row>
    <row r="2137" ht="15.75" customHeight="1">
      <c r="A2137" s="1" t="s">
        <v>4348</v>
      </c>
      <c r="B2137" s="1" t="s">
        <v>4349</v>
      </c>
      <c r="C2137" s="1" t="s">
        <v>12</v>
      </c>
      <c r="D2137" s="1" t="s">
        <v>4331</v>
      </c>
      <c r="E2137" s="4">
        <v>1016918.0</v>
      </c>
      <c r="F2137" s="2" t="s">
        <v>30</v>
      </c>
      <c r="G2137" s="2" t="s">
        <v>1</v>
      </c>
      <c r="H2137" s="2" t="s">
        <v>14</v>
      </c>
      <c r="I2137" s="2" t="s">
        <v>15</v>
      </c>
      <c r="J2137" s="2" t="s">
        <v>15</v>
      </c>
    </row>
    <row r="2138" ht="15.75" customHeight="1">
      <c r="A2138" s="1" t="s">
        <v>4350</v>
      </c>
      <c r="B2138" s="1" t="s">
        <v>4351</v>
      </c>
      <c r="C2138" s="1" t="s">
        <v>12</v>
      </c>
      <c r="D2138" s="1" t="s">
        <v>4331</v>
      </c>
      <c r="E2138" s="4">
        <v>1016918.0</v>
      </c>
      <c r="F2138" s="2" t="s">
        <v>15</v>
      </c>
      <c r="G2138" s="2" t="s">
        <v>33</v>
      </c>
      <c r="H2138" s="2" t="s">
        <v>15</v>
      </c>
      <c r="I2138" s="2" t="s">
        <v>15</v>
      </c>
      <c r="J2138" s="2" t="s">
        <v>15</v>
      </c>
    </row>
    <row r="2139" ht="15.75" customHeight="1">
      <c r="A2139" s="1" t="s">
        <v>4352</v>
      </c>
      <c r="B2139" s="1" t="s">
        <v>4353</v>
      </c>
      <c r="C2139" s="1" t="s">
        <v>12</v>
      </c>
      <c r="D2139" s="1" t="s">
        <v>4331</v>
      </c>
      <c r="E2139" s="4">
        <v>1016918.0</v>
      </c>
      <c r="F2139" s="2">
        <v>2.0</v>
      </c>
      <c r="G2139" s="2" t="s">
        <v>1</v>
      </c>
      <c r="H2139" s="2" t="s">
        <v>37</v>
      </c>
      <c r="I2139" s="2" t="s">
        <v>15</v>
      </c>
      <c r="J2139" s="2" t="s">
        <v>15</v>
      </c>
    </row>
    <row r="2140" ht="15.75" customHeight="1">
      <c r="A2140" s="1" t="s">
        <v>4354</v>
      </c>
      <c r="B2140" s="1" t="s">
        <v>4355</v>
      </c>
      <c r="C2140" s="1" t="s">
        <v>12</v>
      </c>
      <c r="D2140" s="1" t="s">
        <v>4331</v>
      </c>
      <c r="E2140" s="4">
        <v>1016918.0</v>
      </c>
      <c r="F2140" s="2" t="s">
        <v>30</v>
      </c>
      <c r="G2140" s="2" t="s">
        <v>1</v>
      </c>
      <c r="H2140" s="2" t="s">
        <v>37</v>
      </c>
      <c r="I2140" s="2" t="s">
        <v>15</v>
      </c>
      <c r="J2140" s="2" t="s">
        <v>15</v>
      </c>
    </row>
    <row r="2141" ht="15.75" customHeight="1">
      <c r="A2141" s="1" t="s">
        <v>4356</v>
      </c>
      <c r="B2141" s="1" t="s">
        <v>4357</v>
      </c>
      <c r="C2141" s="1" t="s">
        <v>12</v>
      </c>
      <c r="D2141" s="1" t="s">
        <v>4358</v>
      </c>
      <c r="E2141" s="4">
        <v>1016982.0</v>
      </c>
      <c r="F2141" s="2">
        <v>1.0</v>
      </c>
      <c r="G2141" s="2" t="s">
        <v>1</v>
      </c>
      <c r="H2141" s="2" t="s">
        <v>14</v>
      </c>
      <c r="I2141" s="2" t="s">
        <v>15</v>
      </c>
      <c r="J2141" s="2" t="s">
        <v>15</v>
      </c>
    </row>
    <row r="2142" ht="15.75" customHeight="1">
      <c r="A2142" s="1" t="s">
        <v>4359</v>
      </c>
      <c r="B2142" s="1" t="s">
        <v>4360</v>
      </c>
      <c r="C2142" s="1" t="s">
        <v>12</v>
      </c>
      <c r="D2142" s="1" t="s">
        <v>4358</v>
      </c>
      <c r="E2142" s="4">
        <v>1016982.0</v>
      </c>
      <c r="F2142" s="2">
        <v>1.0</v>
      </c>
      <c r="G2142" s="2" t="s">
        <v>1</v>
      </c>
      <c r="H2142" s="2" t="s">
        <v>18</v>
      </c>
      <c r="I2142" s="2" t="s">
        <v>15</v>
      </c>
      <c r="J2142" s="2" t="s">
        <v>15</v>
      </c>
    </row>
    <row r="2143" ht="15.75" customHeight="1">
      <c r="A2143" s="1" t="s">
        <v>4361</v>
      </c>
      <c r="B2143" s="1" t="s">
        <v>4362</v>
      </c>
      <c r="C2143" s="1" t="s">
        <v>12</v>
      </c>
      <c r="D2143" s="1" t="s">
        <v>4358</v>
      </c>
      <c r="E2143" s="4">
        <v>1016982.0</v>
      </c>
      <c r="F2143" s="2">
        <v>2.0</v>
      </c>
      <c r="G2143" s="2" t="s">
        <v>1</v>
      </c>
      <c r="H2143" s="2" t="s">
        <v>14</v>
      </c>
      <c r="I2143" s="2" t="s">
        <v>15</v>
      </c>
      <c r="J2143" s="2" t="s">
        <v>15</v>
      </c>
    </row>
    <row r="2144" ht="15.75" customHeight="1">
      <c r="A2144" s="1" t="s">
        <v>4363</v>
      </c>
      <c r="B2144" s="1" t="s">
        <v>4364</v>
      </c>
      <c r="C2144" s="1" t="s">
        <v>12</v>
      </c>
      <c r="D2144" s="1" t="s">
        <v>4358</v>
      </c>
      <c r="E2144" s="4">
        <v>1016982.0</v>
      </c>
      <c r="F2144" s="2">
        <v>2.0</v>
      </c>
      <c r="G2144" s="2" t="s">
        <v>1</v>
      </c>
      <c r="H2144" s="2" t="s">
        <v>18</v>
      </c>
      <c r="I2144" s="2" t="s">
        <v>15</v>
      </c>
      <c r="J2144" s="2" t="s">
        <v>15</v>
      </c>
    </row>
    <row r="2145" ht="15.75" customHeight="1">
      <c r="A2145" s="1" t="s">
        <v>4365</v>
      </c>
      <c r="B2145" s="1" t="s">
        <v>4366</v>
      </c>
      <c r="C2145" s="1" t="s">
        <v>12</v>
      </c>
      <c r="D2145" s="1" t="s">
        <v>4358</v>
      </c>
      <c r="E2145" s="4">
        <v>1016982.0</v>
      </c>
      <c r="F2145" s="2">
        <v>3.0</v>
      </c>
      <c r="G2145" s="2" t="s">
        <v>1</v>
      </c>
      <c r="H2145" s="2" t="s">
        <v>14</v>
      </c>
      <c r="I2145" s="2" t="s">
        <v>15</v>
      </c>
      <c r="J2145" s="2" t="s">
        <v>15</v>
      </c>
    </row>
    <row r="2146" ht="15.75" customHeight="1">
      <c r="A2146" s="1" t="s">
        <v>4367</v>
      </c>
      <c r="B2146" s="1" t="s">
        <v>4368</v>
      </c>
      <c r="C2146" s="1" t="s">
        <v>12</v>
      </c>
      <c r="D2146" s="1" t="s">
        <v>4358</v>
      </c>
      <c r="E2146" s="4">
        <v>1016982.0</v>
      </c>
      <c r="F2146" s="2">
        <v>3.0</v>
      </c>
      <c r="G2146" s="2" t="s">
        <v>1</v>
      </c>
      <c r="H2146" s="2" t="s">
        <v>18</v>
      </c>
      <c r="I2146" s="2" t="s">
        <v>15</v>
      </c>
      <c r="J2146" s="2" t="s">
        <v>15</v>
      </c>
    </row>
    <row r="2147" ht="15.75" customHeight="1">
      <c r="A2147" s="1" t="s">
        <v>4369</v>
      </c>
      <c r="B2147" s="1" t="s">
        <v>4370</v>
      </c>
      <c r="C2147" s="1" t="s">
        <v>12</v>
      </c>
      <c r="D2147" s="1" t="s">
        <v>4358</v>
      </c>
      <c r="E2147" s="4">
        <v>1016982.0</v>
      </c>
      <c r="F2147" s="2" t="s">
        <v>30</v>
      </c>
      <c r="G2147" s="2" t="s">
        <v>1</v>
      </c>
      <c r="H2147" s="2" t="s">
        <v>14</v>
      </c>
      <c r="I2147" s="2" t="s">
        <v>15</v>
      </c>
      <c r="J2147" s="2" t="s">
        <v>15</v>
      </c>
    </row>
    <row r="2148" ht="15.75" customHeight="1">
      <c r="A2148" s="1" t="s">
        <v>4371</v>
      </c>
      <c r="B2148" s="1" t="s">
        <v>4372</v>
      </c>
      <c r="C2148" s="1" t="s">
        <v>12</v>
      </c>
      <c r="D2148" s="1" t="s">
        <v>4358</v>
      </c>
      <c r="E2148" s="4">
        <v>1016982.0</v>
      </c>
      <c r="F2148" s="2" t="s">
        <v>15</v>
      </c>
      <c r="G2148" s="2" t="s">
        <v>33</v>
      </c>
      <c r="H2148" s="2" t="s">
        <v>15</v>
      </c>
      <c r="I2148" s="2" t="s">
        <v>15</v>
      </c>
      <c r="J2148" s="2" t="s">
        <v>15</v>
      </c>
    </row>
    <row r="2149" ht="15.75" customHeight="1">
      <c r="A2149" s="1" t="s">
        <v>4373</v>
      </c>
      <c r="B2149" s="1" t="s">
        <v>4374</v>
      </c>
      <c r="C2149" s="1" t="s">
        <v>12</v>
      </c>
      <c r="D2149" s="1" t="s">
        <v>4375</v>
      </c>
      <c r="E2149" s="4">
        <v>1017046.0</v>
      </c>
      <c r="F2149" s="2">
        <v>1.0</v>
      </c>
      <c r="G2149" s="2" t="s">
        <v>1</v>
      </c>
      <c r="H2149" s="2" t="s">
        <v>14</v>
      </c>
      <c r="I2149" s="2" t="s">
        <v>15</v>
      </c>
      <c r="J2149" s="2" t="s">
        <v>15</v>
      </c>
    </row>
    <row r="2150" ht="15.75" customHeight="1">
      <c r="A2150" s="1" t="s">
        <v>4376</v>
      </c>
      <c r="B2150" s="1" t="s">
        <v>4377</v>
      </c>
      <c r="C2150" s="1" t="s">
        <v>12</v>
      </c>
      <c r="D2150" s="1" t="s">
        <v>4375</v>
      </c>
      <c r="E2150" s="4">
        <v>1017046.0</v>
      </c>
      <c r="F2150" s="2">
        <v>1.0</v>
      </c>
      <c r="G2150" s="2" t="s">
        <v>1</v>
      </c>
      <c r="H2150" s="2" t="s">
        <v>18</v>
      </c>
      <c r="I2150" s="2" t="s">
        <v>15</v>
      </c>
      <c r="J2150" s="2" t="s">
        <v>15</v>
      </c>
    </row>
    <row r="2151" ht="15.75" customHeight="1">
      <c r="A2151" s="1" t="s">
        <v>4378</v>
      </c>
      <c r="B2151" s="1" t="s">
        <v>4379</v>
      </c>
      <c r="C2151" s="1" t="s">
        <v>12</v>
      </c>
      <c r="D2151" s="1" t="s">
        <v>4375</v>
      </c>
      <c r="E2151" s="4">
        <v>1017046.0</v>
      </c>
      <c r="F2151" s="2">
        <v>2.0</v>
      </c>
      <c r="G2151" s="2" t="s">
        <v>1</v>
      </c>
      <c r="H2151" s="2" t="s">
        <v>14</v>
      </c>
      <c r="I2151" s="2" t="s">
        <v>15</v>
      </c>
      <c r="J2151" s="2" t="s">
        <v>15</v>
      </c>
    </row>
    <row r="2152" ht="15.75" customHeight="1">
      <c r="A2152" s="1" t="s">
        <v>4380</v>
      </c>
      <c r="B2152" s="1" t="s">
        <v>4381</v>
      </c>
      <c r="C2152" s="1" t="s">
        <v>12</v>
      </c>
      <c r="D2152" s="1" t="s">
        <v>4375</v>
      </c>
      <c r="E2152" s="4">
        <v>1017046.0</v>
      </c>
      <c r="F2152" s="2">
        <v>2.0</v>
      </c>
      <c r="G2152" s="2" t="s">
        <v>1</v>
      </c>
      <c r="H2152" s="2" t="s">
        <v>18</v>
      </c>
      <c r="I2152" s="2" t="s">
        <v>15</v>
      </c>
      <c r="J2152" s="2" t="s">
        <v>15</v>
      </c>
    </row>
    <row r="2153" ht="15.75" customHeight="1">
      <c r="A2153" s="1" t="s">
        <v>4382</v>
      </c>
      <c r="B2153" s="1" t="s">
        <v>4383</v>
      </c>
      <c r="C2153" s="1" t="s">
        <v>12</v>
      </c>
      <c r="D2153" s="1" t="s">
        <v>4375</v>
      </c>
      <c r="E2153" s="4">
        <v>1017046.0</v>
      </c>
      <c r="F2153" s="2" t="s">
        <v>30</v>
      </c>
      <c r="G2153" s="2" t="s">
        <v>1</v>
      </c>
      <c r="H2153" s="2" t="s">
        <v>14</v>
      </c>
      <c r="I2153" s="2" t="s">
        <v>15</v>
      </c>
      <c r="J2153" s="2" t="s">
        <v>15</v>
      </c>
    </row>
    <row r="2154" ht="15.75" customHeight="1">
      <c r="A2154" s="1" t="s">
        <v>4384</v>
      </c>
      <c r="B2154" s="1" t="s">
        <v>4385</v>
      </c>
      <c r="C2154" s="1" t="s">
        <v>12</v>
      </c>
      <c r="D2154" s="1" t="s">
        <v>4375</v>
      </c>
      <c r="E2154" s="4">
        <v>1017046.0</v>
      </c>
      <c r="F2154" s="2" t="s">
        <v>15</v>
      </c>
      <c r="G2154" s="2" t="s">
        <v>33</v>
      </c>
      <c r="H2154" s="2" t="s">
        <v>15</v>
      </c>
      <c r="I2154" s="2" t="s">
        <v>15</v>
      </c>
      <c r="J2154" s="2" t="s">
        <v>15</v>
      </c>
    </row>
    <row r="2155" ht="15.75" customHeight="1">
      <c r="A2155" s="1" t="s">
        <v>4386</v>
      </c>
      <c r="B2155" s="1" t="s">
        <v>4387</v>
      </c>
      <c r="C2155" s="1" t="s">
        <v>12</v>
      </c>
      <c r="D2155" s="1" t="s">
        <v>4388</v>
      </c>
      <c r="E2155" s="4">
        <v>1017110.0</v>
      </c>
      <c r="F2155" s="2">
        <v>1.0</v>
      </c>
      <c r="G2155" s="2" t="s">
        <v>1</v>
      </c>
      <c r="H2155" s="2" t="s">
        <v>14</v>
      </c>
      <c r="I2155" s="2" t="s">
        <v>15</v>
      </c>
      <c r="J2155" s="2" t="s">
        <v>15</v>
      </c>
    </row>
    <row r="2156" ht="15.75" customHeight="1">
      <c r="A2156" s="1" t="s">
        <v>4389</v>
      </c>
      <c r="B2156" s="1" t="s">
        <v>4390</v>
      </c>
      <c r="C2156" s="1" t="s">
        <v>12</v>
      </c>
      <c r="D2156" s="1" t="s">
        <v>4388</v>
      </c>
      <c r="E2156" s="4">
        <v>1017110.0</v>
      </c>
      <c r="F2156" s="2">
        <v>1.0</v>
      </c>
      <c r="G2156" s="2" t="s">
        <v>1</v>
      </c>
      <c r="H2156" s="2" t="s">
        <v>18</v>
      </c>
      <c r="I2156" s="2" t="s">
        <v>15</v>
      </c>
      <c r="J2156" s="2" t="s">
        <v>15</v>
      </c>
    </row>
    <row r="2157" ht="15.75" customHeight="1">
      <c r="A2157" s="1" t="s">
        <v>4391</v>
      </c>
      <c r="B2157" s="1" t="s">
        <v>4392</v>
      </c>
      <c r="C2157" s="1" t="s">
        <v>12</v>
      </c>
      <c r="D2157" s="1" t="s">
        <v>4388</v>
      </c>
      <c r="E2157" s="4">
        <v>1017110.0</v>
      </c>
      <c r="F2157" s="2">
        <v>2.0</v>
      </c>
      <c r="G2157" s="2" t="s">
        <v>1</v>
      </c>
      <c r="H2157" s="2" t="s">
        <v>14</v>
      </c>
      <c r="I2157" s="2" t="s">
        <v>15</v>
      </c>
      <c r="J2157" s="2" t="s">
        <v>15</v>
      </c>
    </row>
    <row r="2158" ht="15.75" customHeight="1">
      <c r="A2158" s="1" t="s">
        <v>4393</v>
      </c>
      <c r="B2158" s="1" t="s">
        <v>4394</v>
      </c>
      <c r="C2158" s="1" t="s">
        <v>12</v>
      </c>
      <c r="D2158" s="1" t="s">
        <v>4388</v>
      </c>
      <c r="E2158" s="4">
        <v>1017110.0</v>
      </c>
      <c r="F2158" s="2">
        <v>2.0</v>
      </c>
      <c r="G2158" s="2" t="s">
        <v>1</v>
      </c>
      <c r="H2158" s="2" t="s">
        <v>18</v>
      </c>
      <c r="I2158" s="2" t="s">
        <v>15</v>
      </c>
      <c r="J2158" s="2" t="s">
        <v>15</v>
      </c>
    </row>
    <row r="2159" ht="15.75" customHeight="1">
      <c r="A2159" s="1" t="s">
        <v>4395</v>
      </c>
      <c r="B2159" s="1" t="s">
        <v>4396</v>
      </c>
      <c r="C2159" s="1" t="s">
        <v>12</v>
      </c>
      <c r="D2159" s="1" t="s">
        <v>4388</v>
      </c>
      <c r="E2159" s="4">
        <v>1017110.0</v>
      </c>
      <c r="F2159" s="2" t="s">
        <v>30</v>
      </c>
      <c r="G2159" s="2" t="s">
        <v>1</v>
      </c>
      <c r="H2159" s="2" t="s">
        <v>14</v>
      </c>
      <c r="I2159" s="2" t="s">
        <v>15</v>
      </c>
      <c r="J2159" s="2" t="s">
        <v>15</v>
      </c>
    </row>
    <row r="2160" ht="15.75" customHeight="1">
      <c r="A2160" s="1" t="s">
        <v>4397</v>
      </c>
      <c r="B2160" s="1" t="s">
        <v>4398</v>
      </c>
      <c r="C2160" s="1" t="s">
        <v>12</v>
      </c>
      <c r="D2160" s="1" t="s">
        <v>4388</v>
      </c>
      <c r="E2160" s="4">
        <v>1017110.0</v>
      </c>
      <c r="F2160" s="2" t="s">
        <v>15</v>
      </c>
      <c r="G2160" s="2" t="s">
        <v>33</v>
      </c>
      <c r="H2160" s="2" t="s">
        <v>15</v>
      </c>
      <c r="I2160" s="2" t="s">
        <v>15</v>
      </c>
      <c r="J2160" s="2" t="s">
        <v>15</v>
      </c>
    </row>
    <row r="2161" ht="15.75" customHeight="1">
      <c r="A2161" s="1" t="s">
        <v>4399</v>
      </c>
      <c r="B2161" s="1" t="s">
        <v>4400</v>
      </c>
      <c r="C2161" s="1" t="s">
        <v>12</v>
      </c>
      <c r="D2161" s="1" t="s">
        <v>4401</v>
      </c>
      <c r="E2161" s="4">
        <v>1017174.0</v>
      </c>
      <c r="F2161" s="2">
        <v>1.0</v>
      </c>
      <c r="G2161" s="2" t="s">
        <v>1</v>
      </c>
      <c r="H2161" s="2" t="s">
        <v>14</v>
      </c>
      <c r="I2161" s="2" t="s">
        <v>15</v>
      </c>
      <c r="J2161" s="2" t="s">
        <v>15</v>
      </c>
    </row>
    <row r="2162" ht="15.75" customHeight="1">
      <c r="A2162" s="1" t="s">
        <v>4402</v>
      </c>
      <c r="B2162" s="1" t="s">
        <v>4403</v>
      </c>
      <c r="C2162" s="1" t="s">
        <v>12</v>
      </c>
      <c r="D2162" s="1" t="s">
        <v>4401</v>
      </c>
      <c r="E2162" s="4">
        <v>1017174.0</v>
      </c>
      <c r="F2162" s="2">
        <v>1.0</v>
      </c>
      <c r="G2162" s="2" t="s">
        <v>1</v>
      </c>
      <c r="H2162" s="2" t="s">
        <v>18</v>
      </c>
      <c r="I2162" s="2" t="s">
        <v>15</v>
      </c>
      <c r="J2162" s="2" t="s">
        <v>15</v>
      </c>
    </row>
    <row r="2163" ht="15.75" customHeight="1">
      <c r="A2163" s="1" t="s">
        <v>4404</v>
      </c>
      <c r="B2163" s="1" t="s">
        <v>4405</v>
      </c>
      <c r="C2163" s="1" t="s">
        <v>12</v>
      </c>
      <c r="D2163" s="1" t="s">
        <v>4401</v>
      </c>
      <c r="E2163" s="4">
        <v>1017174.0</v>
      </c>
      <c r="F2163" s="2">
        <v>2.0</v>
      </c>
      <c r="G2163" s="2" t="s">
        <v>1</v>
      </c>
      <c r="H2163" s="2" t="s">
        <v>14</v>
      </c>
      <c r="I2163" s="2" t="s">
        <v>15</v>
      </c>
      <c r="J2163" s="2" t="s">
        <v>15</v>
      </c>
    </row>
    <row r="2164" ht="15.75" customHeight="1">
      <c r="A2164" s="1" t="s">
        <v>4406</v>
      </c>
      <c r="B2164" s="1" t="s">
        <v>4407</v>
      </c>
      <c r="C2164" s="1" t="s">
        <v>12</v>
      </c>
      <c r="D2164" s="1" t="s">
        <v>4401</v>
      </c>
      <c r="E2164" s="4">
        <v>1017174.0</v>
      </c>
      <c r="F2164" s="2">
        <v>2.0</v>
      </c>
      <c r="G2164" s="2" t="s">
        <v>1</v>
      </c>
      <c r="H2164" s="2" t="s">
        <v>18</v>
      </c>
      <c r="I2164" s="2" t="s">
        <v>15</v>
      </c>
      <c r="J2164" s="2" t="s">
        <v>15</v>
      </c>
    </row>
    <row r="2165" ht="15.75" customHeight="1">
      <c r="A2165" s="1" t="s">
        <v>4408</v>
      </c>
      <c r="B2165" s="1" t="s">
        <v>4409</v>
      </c>
      <c r="C2165" s="1" t="s">
        <v>12</v>
      </c>
      <c r="D2165" s="1" t="s">
        <v>4401</v>
      </c>
      <c r="E2165" s="4">
        <v>1017174.0</v>
      </c>
      <c r="F2165" s="2" t="s">
        <v>30</v>
      </c>
      <c r="G2165" s="2" t="s">
        <v>1</v>
      </c>
      <c r="H2165" s="2" t="s">
        <v>14</v>
      </c>
      <c r="I2165" s="2" t="s">
        <v>15</v>
      </c>
      <c r="J2165" s="2" t="s">
        <v>15</v>
      </c>
    </row>
    <row r="2166" ht="15.75" customHeight="1">
      <c r="A2166" s="1" t="s">
        <v>4410</v>
      </c>
      <c r="B2166" s="1" t="s">
        <v>4411</v>
      </c>
      <c r="C2166" s="1" t="s">
        <v>12</v>
      </c>
      <c r="D2166" s="1" t="s">
        <v>4401</v>
      </c>
      <c r="E2166" s="4">
        <v>1017174.0</v>
      </c>
      <c r="F2166" s="2" t="s">
        <v>15</v>
      </c>
      <c r="G2166" s="2" t="s">
        <v>33</v>
      </c>
      <c r="H2166" s="2" t="s">
        <v>15</v>
      </c>
      <c r="I2166" s="2" t="s">
        <v>15</v>
      </c>
      <c r="J2166" s="2" t="s">
        <v>15</v>
      </c>
    </row>
    <row r="2167" ht="15.75" customHeight="1">
      <c r="A2167" s="1" t="s">
        <v>4412</v>
      </c>
      <c r="B2167" s="1" t="s">
        <v>4413</v>
      </c>
      <c r="C2167" s="1" t="s">
        <v>12</v>
      </c>
      <c r="D2167" s="1" t="s">
        <v>4414</v>
      </c>
      <c r="E2167" s="4">
        <v>1017238.0</v>
      </c>
      <c r="F2167" s="2">
        <v>1.0</v>
      </c>
      <c r="G2167" s="2" t="s">
        <v>1</v>
      </c>
      <c r="H2167" s="2" t="s">
        <v>14</v>
      </c>
      <c r="I2167" s="2" t="s">
        <v>15</v>
      </c>
      <c r="J2167" s="2" t="s">
        <v>15</v>
      </c>
    </row>
    <row r="2168" ht="15.75" customHeight="1">
      <c r="A2168" s="1" t="s">
        <v>4415</v>
      </c>
      <c r="B2168" s="1" t="s">
        <v>4416</v>
      </c>
      <c r="C2168" s="1" t="s">
        <v>12</v>
      </c>
      <c r="D2168" s="1" t="s">
        <v>4414</v>
      </c>
      <c r="E2168" s="4">
        <v>1017238.0</v>
      </c>
      <c r="F2168" s="2">
        <v>1.0</v>
      </c>
      <c r="G2168" s="2" t="s">
        <v>1</v>
      </c>
      <c r="H2168" s="2" t="s">
        <v>18</v>
      </c>
      <c r="I2168" s="2" t="s">
        <v>15</v>
      </c>
      <c r="J2168" s="2" t="s">
        <v>15</v>
      </c>
    </row>
    <row r="2169" ht="15.75" customHeight="1">
      <c r="A2169" s="1" t="s">
        <v>4417</v>
      </c>
      <c r="B2169" s="1" t="s">
        <v>4418</v>
      </c>
      <c r="C2169" s="1" t="s">
        <v>12</v>
      </c>
      <c r="D2169" s="1" t="s">
        <v>4414</v>
      </c>
      <c r="E2169" s="4">
        <v>1017238.0</v>
      </c>
      <c r="F2169" s="2">
        <v>2.0</v>
      </c>
      <c r="G2169" s="2" t="s">
        <v>1</v>
      </c>
      <c r="H2169" s="2" t="s">
        <v>14</v>
      </c>
      <c r="I2169" s="2" t="s">
        <v>15</v>
      </c>
      <c r="J2169" s="2" t="s">
        <v>15</v>
      </c>
    </row>
    <row r="2170" ht="15.75" customHeight="1">
      <c r="A2170" s="1" t="s">
        <v>4419</v>
      </c>
      <c r="B2170" s="1" t="s">
        <v>4420</v>
      </c>
      <c r="C2170" s="1" t="s">
        <v>12</v>
      </c>
      <c r="D2170" s="1" t="s">
        <v>4414</v>
      </c>
      <c r="E2170" s="4">
        <v>1017238.0</v>
      </c>
      <c r="F2170" s="2">
        <v>2.0</v>
      </c>
      <c r="G2170" s="2" t="s">
        <v>1</v>
      </c>
      <c r="H2170" s="2" t="s">
        <v>18</v>
      </c>
      <c r="I2170" s="2" t="s">
        <v>15</v>
      </c>
      <c r="J2170" s="2" t="s">
        <v>15</v>
      </c>
    </row>
    <row r="2171" ht="15.75" customHeight="1">
      <c r="A2171" s="1" t="s">
        <v>4421</v>
      </c>
      <c r="B2171" s="1" t="s">
        <v>4422</v>
      </c>
      <c r="C2171" s="1" t="s">
        <v>12</v>
      </c>
      <c r="D2171" s="1" t="s">
        <v>4414</v>
      </c>
      <c r="E2171" s="4">
        <v>1017238.0</v>
      </c>
      <c r="F2171" s="2">
        <v>3.0</v>
      </c>
      <c r="G2171" s="2" t="s">
        <v>1</v>
      </c>
      <c r="H2171" s="2" t="s">
        <v>14</v>
      </c>
      <c r="I2171" s="2" t="s">
        <v>15</v>
      </c>
      <c r="J2171" s="2" t="s">
        <v>15</v>
      </c>
    </row>
    <row r="2172" ht="15.75" customHeight="1">
      <c r="A2172" s="1" t="s">
        <v>4423</v>
      </c>
      <c r="B2172" s="1" t="s">
        <v>4424</v>
      </c>
      <c r="C2172" s="1" t="s">
        <v>12</v>
      </c>
      <c r="D2172" s="1" t="s">
        <v>4414</v>
      </c>
      <c r="E2172" s="4">
        <v>1017238.0</v>
      </c>
      <c r="F2172" s="2">
        <v>3.0</v>
      </c>
      <c r="G2172" s="2" t="s">
        <v>1</v>
      </c>
      <c r="H2172" s="2" t="s">
        <v>18</v>
      </c>
      <c r="I2172" s="2" t="s">
        <v>15</v>
      </c>
      <c r="J2172" s="2" t="s">
        <v>15</v>
      </c>
    </row>
    <row r="2173" ht="15.75" customHeight="1">
      <c r="A2173" s="1" t="s">
        <v>4425</v>
      </c>
      <c r="B2173" s="1" t="s">
        <v>4426</v>
      </c>
      <c r="C2173" s="1" t="s">
        <v>12</v>
      </c>
      <c r="D2173" s="1" t="s">
        <v>4414</v>
      </c>
      <c r="E2173" s="4">
        <v>1017238.0</v>
      </c>
      <c r="F2173" s="2" t="s">
        <v>30</v>
      </c>
      <c r="G2173" s="2" t="s">
        <v>1</v>
      </c>
      <c r="H2173" s="2" t="s">
        <v>14</v>
      </c>
      <c r="I2173" s="2" t="s">
        <v>15</v>
      </c>
      <c r="J2173" s="2" t="s">
        <v>15</v>
      </c>
    </row>
    <row r="2174" ht="15.75" customHeight="1">
      <c r="A2174" s="1" t="s">
        <v>4427</v>
      </c>
      <c r="B2174" s="1" t="s">
        <v>4428</v>
      </c>
      <c r="C2174" s="1" t="s">
        <v>12</v>
      </c>
      <c r="D2174" s="1" t="s">
        <v>4414</v>
      </c>
      <c r="E2174" s="4">
        <v>1017238.0</v>
      </c>
      <c r="F2174" s="2" t="s">
        <v>15</v>
      </c>
      <c r="G2174" s="2" t="s">
        <v>33</v>
      </c>
      <c r="H2174" s="2" t="s">
        <v>15</v>
      </c>
      <c r="I2174" s="2" t="s">
        <v>15</v>
      </c>
      <c r="J2174" s="2" t="s">
        <v>15</v>
      </c>
    </row>
    <row r="2175" ht="15.75" customHeight="1">
      <c r="A2175" s="1" t="s">
        <v>4429</v>
      </c>
      <c r="B2175" s="1" t="s">
        <v>4430</v>
      </c>
      <c r="C2175" s="1" t="s">
        <v>12</v>
      </c>
      <c r="D2175" s="1" t="s">
        <v>4431</v>
      </c>
      <c r="E2175" s="4">
        <v>1017302.0</v>
      </c>
      <c r="F2175" s="2">
        <v>1.0</v>
      </c>
      <c r="G2175" s="2" t="s">
        <v>1</v>
      </c>
      <c r="H2175" s="2" t="s">
        <v>14</v>
      </c>
      <c r="I2175" s="2" t="s">
        <v>15</v>
      </c>
      <c r="J2175" s="2" t="s">
        <v>15</v>
      </c>
    </row>
    <row r="2176" ht="15.75" customHeight="1">
      <c r="A2176" s="1" t="s">
        <v>4432</v>
      </c>
      <c r="B2176" s="1" t="s">
        <v>4433</v>
      </c>
      <c r="C2176" s="1" t="s">
        <v>12</v>
      </c>
      <c r="D2176" s="1" t="s">
        <v>4431</v>
      </c>
      <c r="E2176" s="4">
        <v>1017302.0</v>
      </c>
      <c r="F2176" s="2">
        <v>1.0</v>
      </c>
      <c r="G2176" s="2" t="s">
        <v>1</v>
      </c>
      <c r="H2176" s="2" t="s">
        <v>18</v>
      </c>
      <c r="I2176" s="2" t="s">
        <v>15</v>
      </c>
      <c r="J2176" s="2" t="s">
        <v>15</v>
      </c>
    </row>
    <row r="2177" ht="15.75" customHeight="1">
      <c r="A2177" s="1" t="s">
        <v>4434</v>
      </c>
      <c r="B2177" s="1" t="s">
        <v>4435</v>
      </c>
      <c r="C2177" s="1" t="s">
        <v>12</v>
      </c>
      <c r="D2177" s="1" t="s">
        <v>4431</v>
      </c>
      <c r="E2177" s="4">
        <v>1017302.0</v>
      </c>
      <c r="F2177" s="2">
        <v>2.0</v>
      </c>
      <c r="G2177" s="2" t="s">
        <v>1</v>
      </c>
      <c r="H2177" s="2" t="s">
        <v>14</v>
      </c>
      <c r="I2177" s="2" t="s">
        <v>15</v>
      </c>
      <c r="J2177" s="2" t="s">
        <v>15</v>
      </c>
    </row>
    <row r="2178" ht="15.75" customHeight="1">
      <c r="A2178" s="1" t="s">
        <v>4436</v>
      </c>
      <c r="B2178" s="1" t="s">
        <v>4437</v>
      </c>
      <c r="C2178" s="1" t="s">
        <v>12</v>
      </c>
      <c r="D2178" s="1" t="s">
        <v>4431</v>
      </c>
      <c r="E2178" s="4">
        <v>1017302.0</v>
      </c>
      <c r="F2178" s="2">
        <v>2.0</v>
      </c>
      <c r="G2178" s="2" t="s">
        <v>1</v>
      </c>
      <c r="H2178" s="2" t="s">
        <v>18</v>
      </c>
      <c r="I2178" s="2" t="s">
        <v>15</v>
      </c>
      <c r="J2178" s="2" t="s">
        <v>15</v>
      </c>
    </row>
    <row r="2179" ht="15.75" customHeight="1">
      <c r="A2179" s="1" t="s">
        <v>4438</v>
      </c>
      <c r="B2179" s="1" t="s">
        <v>4439</v>
      </c>
      <c r="C2179" s="1" t="s">
        <v>12</v>
      </c>
      <c r="D2179" s="1" t="s">
        <v>4431</v>
      </c>
      <c r="E2179" s="4">
        <v>1017302.0</v>
      </c>
      <c r="F2179" s="2" t="s">
        <v>30</v>
      </c>
      <c r="G2179" s="2" t="s">
        <v>1</v>
      </c>
      <c r="H2179" s="2" t="s">
        <v>14</v>
      </c>
      <c r="I2179" s="2" t="s">
        <v>15</v>
      </c>
      <c r="J2179" s="2" t="s">
        <v>15</v>
      </c>
    </row>
    <row r="2180" ht="15.75" customHeight="1">
      <c r="A2180" s="1" t="s">
        <v>4440</v>
      </c>
      <c r="B2180" s="1" t="s">
        <v>4441</v>
      </c>
      <c r="C2180" s="1" t="s">
        <v>12</v>
      </c>
      <c r="D2180" s="1" t="s">
        <v>4431</v>
      </c>
      <c r="E2180" s="4">
        <v>1017302.0</v>
      </c>
      <c r="F2180" s="2" t="s">
        <v>15</v>
      </c>
      <c r="G2180" s="2" t="s">
        <v>33</v>
      </c>
      <c r="H2180" s="2" t="s">
        <v>15</v>
      </c>
      <c r="I2180" s="2" t="s">
        <v>15</v>
      </c>
      <c r="J2180" s="2" t="s">
        <v>15</v>
      </c>
    </row>
    <row r="2181" ht="15.75" customHeight="1">
      <c r="A2181" s="1" t="s">
        <v>4442</v>
      </c>
      <c r="B2181" s="1" t="s">
        <v>4443</v>
      </c>
      <c r="C2181" s="1" t="s">
        <v>12</v>
      </c>
      <c r="D2181" s="1" t="s">
        <v>4444</v>
      </c>
      <c r="E2181" s="4">
        <v>1017366.0</v>
      </c>
      <c r="F2181" s="2">
        <v>1.0</v>
      </c>
      <c r="G2181" s="2" t="s">
        <v>1</v>
      </c>
      <c r="H2181" s="2" t="s">
        <v>14</v>
      </c>
      <c r="I2181" s="2" t="s">
        <v>15</v>
      </c>
      <c r="J2181" s="2" t="s">
        <v>15</v>
      </c>
    </row>
    <row r="2182" ht="15.75" customHeight="1">
      <c r="A2182" s="1" t="s">
        <v>4445</v>
      </c>
      <c r="B2182" s="1" t="s">
        <v>4446</v>
      </c>
      <c r="C2182" s="1" t="s">
        <v>12</v>
      </c>
      <c r="D2182" s="1" t="s">
        <v>4444</v>
      </c>
      <c r="E2182" s="4">
        <v>1017366.0</v>
      </c>
      <c r="F2182" s="2">
        <v>1.0</v>
      </c>
      <c r="G2182" s="2" t="s">
        <v>1</v>
      </c>
      <c r="H2182" s="2" t="s">
        <v>18</v>
      </c>
      <c r="I2182" s="2" t="s">
        <v>15</v>
      </c>
      <c r="J2182" s="2" t="s">
        <v>15</v>
      </c>
    </row>
    <row r="2183" ht="15.75" customHeight="1">
      <c r="A2183" s="1" t="s">
        <v>4447</v>
      </c>
      <c r="B2183" s="1" t="s">
        <v>4448</v>
      </c>
      <c r="C2183" s="1" t="s">
        <v>12</v>
      </c>
      <c r="D2183" s="1" t="s">
        <v>4444</v>
      </c>
      <c r="E2183" s="4">
        <v>1017366.0</v>
      </c>
      <c r="F2183" s="2">
        <v>2.0</v>
      </c>
      <c r="G2183" s="2" t="s">
        <v>1</v>
      </c>
      <c r="H2183" s="2" t="s">
        <v>14</v>
      </c>
      <c r="I2183" s="2" t="s">
        <v>15</v>
      </c>
      <c r="J2183" s="2" t="s">
        <v>15</v>
      </c>
    </row>
    <row r="2184" ht="15.75" customHeight="1">
      <c r="A2184" s="1" t="s">
        <v>4449</v>
      </c>
      <c r="B2184" s="1" t="s">
        <v>4450</v>
      </c>
      <c r="C2184" s="1" t="s">
        <v>12</v>
      </c>
      <c r="D2184" s="1" t="s">
        <v>4444</v>
      </c>
      <c r="E2184" s="4">
        <v>1017366.0</v>
      </c>
      <c r="F2184" s="2">
        <v>2.0</v>
      </c>
      <c r="G2184" s="2" t="s">
        <v>1</v>
      </c>
      <c r="H2184" s="2" t="s">
        <v>18</v>
      </c>
      <c r="I2184" s="2" t="s">
        <v>15</v>
      </c>
      <c r="J2184" s="2" t="s">
        <v>15</v>
      </c>
    </row>
    <row r="2185" ht="15.75" customHeight="1">
      <c r="A2185" s="1" t="s">
        <v>4451</v>
      </c>
      <c r="B2185" s="1" t="s">
        <v>4452</v>
      </c>
      <c r="C2185" s="1" t="s">
        <v>12</v>
      </c>
      <c r="D2185" s="1" t="s">
        <v>4444</v>
      </c>
      <c r="E2185" s="4">
        <v>1017366.0</v>
      </c>
      <c r="F2185" s="2" t="s">
        <v>30</v>
      </c>
      <c r="G2185" s="2" t="s">
        <v>1</v>
      </c>
      <c r="H2185" s="2" t="s">
        <v>14</v>
      </c>
      <c r="I2185" s="2" t="s">
        <v>15</v>
      </c>
      <c r="J2185" s="2" t="s">
        <v>15</v>
      </c>
    </row>
    <row r="2186" ht="15.75" customHeight="1">
      <c r="A2186" s="1" t="s">
        <v>4453</v>
      </c>
      <c r="B2186" s="1" t="s">
        <v>4454</v>
      </c>
      <c r="C2186" s="1" t="s">
        <v>12</v>
      </c>
      <c r="D2186" s="1" t="s">
        <v>4444</v>
      </c>
      <c r="E2186" s="4">
        <v>1017366.0</v>
      </c>
      <c r="F2186" s="2" t="s">
        <v>15</v>
      </c>
      <c r="G2186" s="2" t="s">
        <v>33</v>
      </c>
      <c r="H2186" s="2" t="s">
        <v>15</v>
      </c>
      <c r="I2186" s="2" t="s">
        <v>15</v>
      </c>
      <c r="J2186" s="2" t="s">
        <v>15</v>
      </c>
    </row>
    <row r="2187" ht="15.75" customHeight="1">
      <c r="A2187" s="1" t="s">
        <v>4455</v>
      </c>
      <c r="B2187" s="1" t="s">
        <v>4456</v>
      </c>
      <c r="C2187" s="1" t="s">
        <v>12</v>
      </c>
      <c r="D2187" s="1" t="s">
        <v>4457</v>
      </c>
      <c r="E2187" s="4">
        <v>1017430.0</v>
      </c>
      <c r="F2187" s="2">
        <v>1.0</v>
      </c>
      <c r="G2187" s="2" t="s">
        <v>1</v>
      </c>
      <c r="H2187" s="2" t="s">
        <v>14</v>
      </c>
      <c r="I2187" s="2" t="s">
        <v>15</v>
      </c>
      <c r="J2187" s="2" t="s">
        <v>15</v>
      </c>
    </row>
    <row r="2188" ht="15.75" customHeight="1">
      <c r="A2188" s="1" t="s">
        <v>4458</v>
      </c>
      <c r="B2188" s="1" t="s">
        <v>4459</v>
      </c>
      <c r="C2188" s="1" t="s">
        <v>12</v>
      </c>
      <c r="D2188" s="1" t="s">
        <v>4457</v>
      </c>
      <c r="E2188" s="4">
        <v>1017430.0</v>
      </c>
      <c r="F2188" s="2">
        <v>1.0</v>
      </c>
      <c r="G2188" s="2" t="s">
        <v>1</v>
      </c>
      <c r="H2188" s="2" t="s">
        <v>18</v>
      </c>
      <c r="I2188" s="2" t="s">
        <v>15</v>
      </c>
      <c r="J2188" s="2" t="s">
        <v>15</v>
      </c>
    </row>
    <row r="2189" ht="15.75" customHeight="1">
      <c r="A2189" s="1" t="s">
        <v>4460</v>
      </c>
      <c r="B2189" s="1" t="s">
        <v>4461</v>
      </c>
      <c r="C2189" s="1" t="s">
        <v>12</v>
      </c>
      <c r="D2189" s="1" t="s">
        <v>4457</v>
      </c>
      <c r="E2189" s="4">
        <v>1017430.0</v>
      </c>
      <c r="F2189" s="2">
        <v>2.0</v>
      </c>
      <c r="G2189" s="2" t="s">
        <v>1</v>
      </c>
      <c r="H2189" s="2" t="s">
        <v>14</v>
      </c>
      <c r="I2189" s="2" t="s">
        <v>15</v>
      </c>
      <c r="J2189" s="2" t="s">
        <v>15</v>
      </c>
    </row>
    <row r="2190" ht="15.75" customHeight="1">
      <c r="A2190" s="1" t="s">
        <v>4462</v>
      </c>
      <c r="B2190" s="1" t="s">
        <v>4463</v>
      </c>
      <c r="C2190" s="1" t="s">
        <v>12</v>
      </c>
      <c r="D2190" s="1" t="s">
        <v>4457</v>
      </c>
      <c r="E2190" s="4">
        <v>1017430.0</v>
      </c>
      <c r="F2190" s="2">
        <v>2.0</v>
      </c>
      <c r="G2190" s="2" t="s">
        <v>1</v>
      </c>
      <c r="H2190" s="2" t="s">
        <v>18</v>
      </c>
      <c r="I2190" s="2" t="s">
        <v>15</v>
      </c>
      <c r="J2190" s="2" t="s">
        <v>15</v>
      </c>
    </row>
    <row r="2191" ht="15.75" customHeight="1">
      <c r="A2191" s="1" t="s">
        <v>4464</v>
      </c>
      <c r="B2191" s="1" t="s">
        <v>4465</v>
      </c>
      <c r="C2191" s="1" t="s">
        <v>12</v>
      </c>
      <c r="D2191" s="1" t="s">
        <v>4457</v>
      </c>
      <c r="E2191" s="4">
        <v>1017430.0</v>
      </c>
      <c r="F2191" s="2">
        <v>2.0</v>
      </c>
      <c r="G2191" s="2" t="s">
        <v>1</v>
      </c>
      <c r="H2191" s="2" t="s">
        <v>21</v>
      </c>
      <c r="I2191" s="2" t="s">
        <v>15</v>
      </c>
      <c r="J2191" s="2" t="s">
        <v>15</v>
      </c>
    </row>
    <row r="2192" ht="15.75" customHeight="1">
      <c r="A2192" s="1" t="s">
        <v>4466</v>
      </c>
      <c r="B2192" s="1" t="s">
        <v>4467</v>
      </c>
      <c r="C2192" s="1" t="s">
        <v>12</v>
      </c>
      <c r="D2192" s="1" t="s">
        <v>4457</v>
      </c>
      <c r="E2192" s="4">
        <v>1017430.0</v>
      </c>
      <c r="F2192" s="2" t="s">
        <v>30</v>
      </c>
      <c r="G2192" s="2" t="s">
        <v>1</v>
      </c>
      <c r="H2192" s="2" t="s">
        <v>14</v>
      </c>
      <c r="I2192" s="2" t="s">
        <v>15</v>
      </c>
      <c r="J2192" s="2" t="s">
        <v>15</v>
      </c>
    </row>
    <row r="2193" ht="15.75" customHeight="1">
      <c r="A2193" s="1" t="s">
        <v>4468</v>
      </c>
      <c r="B2193" s="1" t="s">
        <v>4469</v>
      </c>
      <c r="C2193" s="1" t="s">
        <v>12</v>
      </c>
      <c r="D2193" s="1" t="s">
        <v>4457</v>
      </c>
      <c r="E2193" s="4">
        <v>1017430.0</v>
      </c>
      <c r="F2193" s="2" t="s">
        <v>15</v>
      </c>
      <c r="G2193" s="2" t="s">
        <v>33</v>
      </c>
      <c r="H2193" s="2" t="s">
        <v>15</v>
      </c>
      <c r="I2193" s="2" t="s">
        <v>15</v>
      </c>
      <c r="J2193" s="2" t="s">
        <v>15</v>
      </c>
    </row>
    <row r="2194" ht="15.75" customHeight="1">
      <c r="A2194" s="1" t="s">
        <v>4470</v>
      </c>
      <c r="B2194" s="1" t="s">
        <v>4471</v>
      </c>
      <c r="C2194" s="1" t="s">
        <v>12</v>
      </c>
      <c r="D2194" s="1" t="s">
        <v>4457</v>
      </c>
      <c r="E2194" s="4">
        <v>1017430.0</v>
      </c>
      <c r="F2194" s="2">
        <v>2.0</v>
      </c>
      <c r="G2194" s="2" t="s">
        <v>1</v>
      </c>
      <c r="H2194" s="2" t="s">
        <v>37</v>
      </c>
      <c r="I2194" s="2" t="s">
        <v>15</v>
      </c>
      <c r="J2194" s="2" t="s">
        <v>15</v>
      </c>
    </row>
    <row r="2195" ht="15.75" customHeight="1">
      <c r="A2195" s="1" t="s">
        <v>4472</v>
      </c>
      <c r="B2195" s="1" t="s">
        <v>4473</v>
      </c>
      <c r="C2195" s="1" t="s">
        <v>12</v>
      </c>
      <c r="D2195" s="1" t="s">
        <v>4457</v>
      </c>
      <c r="E2195" s="4">
        <v>1017430.0</v>
      </c>
      <c r="F2195" s="2" t="s">
        <v>30</v>
      </c>
      <c r="G2195" s="2" t="s">
        <v>1</v>
      </c>
      <c r="H2195" s="2" t="s">
        <v>37</v>
      </c>
      <c r="I2195" s="2" t="s">
        <v>15</v>
      </c>
      <c r="J2195" s="2" t="s">
        <v>15</v>
      </c>
    </row>
    <row r="2196" ht="15.75" customHeight="1">
      <c r="A2196" s="1" t="s">
        <v>4474</v>
      </c>
      <c r="B2196" s="1" t="s">
        <v>4475</v>
      </c>
      <c r="C2196" s="1" t="s">
        <v>12</v>
      </c>
      <c r="D2196" s="1" t="s">
        <v>4476</v>
      </c>
      <c r="E2196" s="4">
        <v>1017494.0</v>
      </c>
      <c r="F2196" s="2">
        <v>1.0</v>
      </c>
      <c r="G2196" s="2" t="s">
        <v>1</v>
      </c>
      <c r="H2196" s="2" t="s">
        <v>14</v>
      </c>
      <c r="I2196" s="2" t="s">
        <v>15</v>
      </c>
      <c r="J2196" s="2" t="s">
        <v>15</v>
      </c>
    </row>
    <row r="2197" ht="15.75" customHeight="1">
      <c r="A2197" s="1" t="s">
        <v>4477</v>
      </c>
      <c r="B2197" s="1" t="s">
        <v>4478</v>
      </c>
      <c r="C2197" s="1" t="s">
        <v>12</v>
      </c>
      <c r="D2197" s="1" t="s">
        <v>4476</v>
      </c>
      <c r="E2197" s="4">
        <v>1017494.0</v>
      </c>
      <c r="F2197" s="2">
        <v>1.0</v>
      </c>
      <c r="G2197" s="2" t="s">
        <v>1</v>
      </c>
      <c r="H2197" s="2" t="s">
        <v>18</v>
      </c>
      <c r="I2197" s="2" t="s">
        <v>15</v>
      </c>
      <c r="J2197" s="2" t="s">
        <v>15</v>
      </c>
    </row>
    <row r="2198" ht="15.75" customHeight="1">
      <c r="A2198" s="1" t="s">
        <v>4479</v>
      </c>
      <c r="B2198" s="1" t="s">
        <v>4480</v>
      </c>
      <c r="C2198" s="1" t="s">
        <v>12</v>
      </c>
      <c r="D2198" s="1" t="s">
        <v>4476</v>
      </c>
      <c r="E2198" s="4">
        <v>1017494.0</v>
      </c>
      <c r="F2198" s="2">
        <v>2.0</v>
      </c>
      <c r="G2198" s="2" t="s">
        <v>1</v>
      </c>
      <c r="H2198" s="2" t="s">
        <v>14</v>
      </c>
      <c r="I2198" s="2" t="s">
        <v>15</v>
      </c>
      <c r="J2198" s="2" t="s">
        <v>15</v>
      </c>
    </row>
    <row r="2199" ht="15.75" customHeight="1">
      <c r="A2199" s="1" t="s">
        <v>4481</v>
      </c>
      <c r="B2199" s="1" t="s">
        <v>4482</v>
      </c>
      <c r="C2199" s="1" t="s">
        <v>12</v>
      </c>
      <c r="D2199" s="1" t="s">
        <v>4476</v>
      </c>
      <c r="E2199" s="4">
        <v>1017494.0</v>
      </c>
      <c r="F2199" s="2">
        <v>2.0</v>
      </c>
      <c r="G2199" s="2" t="s">
        <v>1</v>
      </c>
      <c r="H2199" s="2" t="s">
        <v>18</v>
      </c>
      <c r="I2199" s="2" t="s">
        <v>15</v>
      </c>
      <c r="J2199" s="2" t="s">
        <v>15</v>
      </c>
    </row>
    <row r="2200" ht="15.75" customHeight="1">
      <c r="A2200" s="1" t="s">
        <v>4483</v>
      </c>
      <c r="B2200" s="1" t="s">
        <v>4484</v>
      </c>
      <c r="C2200" s="1" t="s">
        <v>12</v>
      </c>
      <c r="D2200" s="1" t="s">
        <v>4476</v>
      </c>
      <c r="E2200" s="4">
        <v>1017494.0</v>
      </c>
      <c r="F2200" s="2">
        <v>3.0</v>
      </c>
      <c r="G2200" s="2" t="s">
        <v>1</v>
      </c>
      <c r="H2200" s="2" t="s">
        <v>14</v>
      </c>
      <c r="I2200" s="2" t="s">
        <v>15</v>
      </c>
      <c r="J2200" s="2" t="s">
        <v>15</v>
      </c>
    </row>
    <row r="2201" ht="15.75" customHeight="1">
      <c r="A2201" s="1" t="s">
        <v>4485</v>
      </c>
      <c r="B2201" s="1" t="s">
        <v>4486</v>
      </c>
      <c r="C2201" s="1" t="s">
        <v>12</v>
      </c>
      <c r="D2201" s="1" t="s">
        <v>4476</v>
      </c>
      <c r="E2201" s="4">
        <v>1017494.0</v>
      </c>
      <c r="F2201" s="2">
        <v>3.0</v>
      </c>
      <c r="G2201" s="2" t="s">
        <v>1</v>
      </c>
      <c r="H2201" s="2" t="s">
        <v>18</v>
      </c>
      <c r="I2201" s="2" t="s">
        <v>15</v>
      </c>
      <c r="J2201" s="2" t="s">
        <v>15</v>
      </c>
    </row>
    <row r="2202" ht="15.75" customHeight="1">
      <c r="A2202" s="1" t="s">
        <v>4487</v>
      </c>
      <c r="B2202" s="1" t="s">
        <v>4488</v>
      </c>
      <c r="C2202" s="1" t="s">
        <v>12</v>
      </c>
      <c r="D2202" s="1" t="s">
        <v>4476</v>
      </c>
      <c r="E2202" s="4">
        <v>1017494.0</v>
      </c>
      <c r="F2202" s="2">
        <v>4.0</v>
      </c>
      <c r="G2202" s="2" t="s">
        <v>1</v>
      </c>
      <c r="H2202" s="2" t="s">
        <v>14</v>
      </c>
      <c r="I2202" s="2" t="s">
        <v>15</v>
      </c>
      <c r="J2202" s="2" t="s">
        <v>15</v>
      </c>
    </row>
    <row r="2203" ht="15.75" customHeight="1">
      <c r="A2203" s="1" t="s">
        <v>4489</v>
      </c>
      <c r="B2203" s="1" t="s">
        <v>4490</v>
      </c>
      <c r="C2203" s="1" t="s">
        <v>12</v>
      </c>
      <c r="D2203" s="1" t="s">
        <v>4476</v>
      </c>
      <c r="E2203" s="4">
        <v>1017494.0</v>
      </c>
      <c r="F2203" s="2">
        <v>4.0</v>
      </c>
      <c r="G2203" s="2" t="s">
        <v>1</v>
      </c>
      <c r="H2203" s="2" t="s">
        <v>18</v>
      </c>
      <c r="I2203" s="2" t="s">
        <v>15</v>
      </c>
      <c r="J2203" s="2" t="s">
        <v>15</v>
      </c>
    </row>
    <row r="2204" ht="15.75" customHeight="1">
      <c r="A2204" s="1" t="s">
        <v>4491</v>
      </c>
      <c r="B2204" s="1" t="s">
        <v>4492</v>
      </c>
      <c r="C2204" s="1" t="s">
        <v>12</v>
      </c>
      <c r="D2204" s="1" t="s">
        <v>4476</v>
      </c>
      <c r="E2204" s="4">
        <v>1017494.0</v>
      </c>
      <c r="F2204" s="2" t="s">
        <v>30</v>
      </c>
      <c r="G2204" s="2" t="s">
        <v>1</v>
      </c>
      <c r="H2204" s="2" t="s">
        <v>14</v>
      </c>
      <c r="I2204" s="2" t="s">
        <v>15</v>
      </c>
      <c r="J2204" s="2" t="s">
        <v>15</v>
      </c>
    </row>
    <row r="2205" ht="15.75" customHeight="1">
      <c r="A2205" s="1" t="s">
        <v>4493</v>
      </c>
      <c r="B2205" s="1" t="s">
        <v>4494</v>
      </c>
      <c r="C2205" s="1" t="s">
        <v>12</v>
      </c>
      <c r="D2205" s="1" t="s">
        <v>4476</v>
      </c>
      <c r="E2205" s="4">
        <v>1017494.0</v>
      </c>
      <c r="F2205" s="2" t="s">
        <v>15</v>
      </c>
      <c r="G2205" s="2" t="s">
        <v>33</v>
      </c>
      <c r="H2205" s="2" t="s">
        <v>15</v>
      </c>
      <c r="I2205" s="2" t="s">
        <v>15</v>
      </c>
      <c r="J2205" s="2" t="s">
        <v>15</v>
      </c>
    </row>
    <row r="2206" ht="15.75" customHeight="1">
      <c r="A2206" s="1" t="s">
        <v>4495</v>
      </c>
      <c r="B2206" s="1" t="s">
        <v>4496</v>
      </c>
      <c r="C2206" s="1" t="s">
        <v>12</v>
      </c>
      <c r="D2206" s="1" t="s">
        <v>4497</v>
      </c>
      <c r="E2206" s="4">
        <v>1017558.0</v>
      </c>
      <c r="F2206" s="2">
        <v>1.0</v>
      </c>
      <c r="G2206" s="2" t="s">
        <v>1</v>
      </c>
      <c r="H2206" s="2" t="s">
        <v>14</v>
      </c>
      <c r="I2206" s="2" t="s">
        <v>15</v>
      </c>
      <c r="J2206" s="2" t="s">
        <v>15</v>
      </c>
    </row>
    <row r="2207" ht="15.75" customHeight="1">
      <c r="A2207" s="1" t="s">
        <v>4498</v>
      </c>
      <c r="B2207" s="1" t="s">
        <v>4499</v>
      </c>
      <c r="C2207" s="1" t="s">
        <v>12</v>
      </c>
      <c r="D2207" s="1" t="s">
        <v>4497</v>
      </c>
      <c r="E2207" s="4">
        <v>1017558.0</v>
      </c>
      <c r="F2207" s="2">
        <v>1.0</v>
      </c>
      <c r="G2207" s="2" t="s">
        <v>1</v>
      </c>
      <c r="H2207" s="2" t="s">
        <v>18</v>
      </c>
      <c r="I2207" s="2" t="s">
        <v>15</v>
      </c>
      <c r="J2207" s="2" t="s">
        <v>15</v>
      </c>
    </row>
    <row r="2208" ht="15.75" customHeight="1">
      <c r="A2208" s="1" t="s">
        <v>4500</v>
      </c>
      <c r="B2208" s="1" t="s">
        <v>4501</v>
      </c>
      <c r="C2208" s="1" t="s">
        <v>12</v>
      </c>
      <c r="D2208" s="1" t="s">
        <v>4497</v>
      </c>
      <c r="E2208" s="4">
        <v>1017558.0</v>
      </c>
      <c r="F2208" s="2">
        <v>2.0</v>
      </c>
      <c r="G2208" s="2" t="s">
        <v>1</v>
      </c>
      <c r="H2208" s="2" t="s">
        <v>14</v>
      </c>
      <c r="I2208" s="2" t="s">
        <v>15</v>
      </c>
      <c r="J2208" s="2" t="s">
        <v>15</v>
      </c>
    </row>
    <row r="2209" ht="15.75" customHeight="1">
      <c r="A2209" s="1" t="s">
        <v>4502</v>
      </c>
      <c r="B2209" s="1" t="s">
        <v>4503</v>
      </c>
      <c r="C2209" s="1" t="s">
        <v>12</v>
      </c>
      <c r="D2209" s="1" t="s">
        <v>4497</v>
      </c>
      <c r="E2209" s="4">
        <v>1017558.0</v>
      </c>
      <c r="F2209" s="2">
        <v>2.0</v>
      </c>
      <c r="G2209" s="2" t="s">
        <v>1</v>
      </c>
      <c r="H2209" s="2" t="s">
        <v>18</v>
      </c>
      <c r="I2209" s="2" t="s">
        <v>15</v>
      </c>
      <c r="J2209" s="2" t="s">
        <v>15</v>
      </c>
    </row>
    <row r="2210" ht="15.75" customHeight="1">
      <c r="A2210" s="1" t="s">
        <v>4504</v>
      </c>
      <c r="B2210" s="1" t="s">
        <v>4505</v>
      </c>
      <c r="C2210" s="1" t="s">
        <v>12</v>
      </c>
      <c r="D2210" s="1" t="s">
        <v>4497</v>
      </c>
      <c r="E2210" s="4">
        <v>1017558.0</v>
      </c>
      <c r="F2210" s="2">
        <v>2.0</v>
      </c>
      <c r="G2210" s="2" t="s">
        <v>1</v>
      </c>
      <c r="H2210" s="2" t="s">
        <v>21</v>
      </c>
      <c r="I2210" s="2" t="s">
        <v>15</v>
      </c>
      <c r="J2210" s="2" t="s">
        <v>15</v>
      </c>
    </row>
    <row r="2211" ht="15.75" customHeight="1">
      <c r="A2211" s="1" t="s">
        <v>4506</v>
      </c>
      <c r="B2211" s="1" t="s">
        <v>4507</v>
      </c>
      <c r="C2211" s="1" t="s">
        <v>12</v>
      </c>
      <c r="D2211" s="1" t="s">
        <v>4497</v>
      </c>
      <c r="E2211" s="4">
        <v>1017558.0</v>
      </c>
      <c r="F2211" s="2">
        <v>3.0</v>
      </c>
      <c r="G2211" s="2" t="s">
        <v>1</v>
      </c>
      <c r="H2211" s="2" t="s">
        <v>14</v>
      </c>
      <c r="I2211" s="2" t="s">
        <v>15</v>
      </c>
      <c r="J2211" s="2" t="s">
        <v>15</v>
      </c>
    </row>
    <row r="2212" ht="15.75" customHeight="1">
      <c r="A2212" s="1" t="s">
        <v>4508</v>
      </c>
      <c r="B2212" s="1" t="s">
        <v>4509</v>
      </c>
      <c r="C2212" s="1" t="s">
        <v>12</v>
      </c>
      <c r="D2212" s="1" t="s">
        <v>4497</v>
      </c>
      <c r="E2212" s="4">
        <v>1017558.0</v>
      </c>
      <c r="F2212" s="2">
        <v>3.0</v>
      </c>
      <c r="G2212" s="2" t="s">
        <v>1</v>
      </c>
      <c r="H2212" s="2" t="s">
        <v>18</v>
      </c>
      <c r="I2212" s="2" t="s">
        <v>15</v>
      </c>
      <c r="J2212" s="2" t="s">
        <v>15</v>
      </c>
    </row>
    <row r="2213" ht="15.75" customHeight="1">
      <c r="A2213" s="1" t="s">
        <v>4510</v>
      </c>
      <c r="B2213" s="1" t="s">
        <v>4511</v>
      </c>
      <c r="C2213" s="1" t="s">
        <v>12</v>
      </c>
      <c r="D2213" s="1" t="s">
        <v>4497</v>
      </c>
      <c r="E2213" s="4">
        <v>1017558.0</v>
      </c>
      <c r="F2213" s="2">
        <v>4.0</v>
      </c>
      <c r="G2213" s="2" t="s">
        <v>1</v>
      </c>
      <c r="H2213" s="2" t="s">
        <v>14</v>
      </c>
      <c r="I2213" s="2" t="s">
        <v>15</v>
      </c>
      <c r="J2213" s="2" t="s">
        <v>15</v>
      </c>
    </row>
    <row r="2214" ht="15.75" customHeight="1">
      <c r="A2214" s="1" t="s">
        <v>4512</v>
      </c>
      <c r="B2214" s="1" t="s">
        <v>4513</v>
      </c>
      <c r="C2214" s="1" t="s">
        <v>12</v>
      </c>
      <c r="D2214" s="1" t="s">
        <v>4497</v>
      </c>
      <c r="E2214" s="4">
        <v>1017558.0</v>
      </c>
      <c r="F2214" s="2">
        <v>4.0</v>
      </c>
      <c r="G2214" s="2" t="s">
        <v>1</v>
      </c>
      <c r="H2214" s="2" t="s">
        <v>18</v>
      </c>
      <c r="I2214" s="2" t="s">
        <v>15</v>
      </c>
      <c r="J2214" s="2" t="s">
        <v>15</v>
      </c>
    </row>
    <row r="2215" ht="15.75" customHeight="1">
      <c r="A2215" s="1" t="s">
        <v>4514</v>
      </c>
      <c r="B2215" s="1" t="s">
        <v>4515</v>
      </c>
      <c r="C2215" s="1" t="s">
        <v>12</v>
      </c>
      <c r="D2215" s="1" t="s">
        <v>4497</v>
      </c>
      <c r="E2215" s="4">
        <v>1017558.0</v>
      </c>
      <c r="F2215" s="2" t="s">
        <v>30</v>
      </c>
      <c r="G2215" s="2" t="s">
        <v>1</v>
      </c>
      <c r="H2215" s="2" t="s">
        <v>14</v>
      </c>
      <c r="I2215" s="2" t="s">
        <v>15</v>
      </c>
      <c r="J2215" s="2" t="s">
        <v>15</v>
      </c>
    </row>
    <row r="2216" ht="15.75" customHeight="1">
      <c r="A2216" s="1" t="s">
        <v>4516</v>
      </c>
      <c r="B2216" s="1" t="s">
        <v>4517</v>
      </c>
      <c r="C2216" s="1" t="s">
        <v>12</v>
      </c>
      <c r="D2216" s="1" t="s">
        <v>4497</v>
      </c>
      <c r="E2216" s="4">
        <v>1017558.0</v>
      </c>
      <c r="F2216" s="2" t="s">
        <v>15</v>
      </c>
      <c r="G2216" s="2" t="s">
        <v>33</v>
      </c>
      <c r="H2216" s="2" t="s">
        <v>15</v>
      </c>
      <c r="I2216" s="2" t="s">
        <v>15</v>
      </c>
      <c r="J2216" s="2" t="s">
        <v>15</v>
      </c>
    </row>
    <row r="2217" ht="15.75" customHeight="1">
      <c r="A2217" s="1" t="s">
        <v>4518</v>
      </c>
      <c r="B2217" s="1" t="s">
        <v>4519</v>
      </c>
      <c r="C2217" s="1" t="s">
        <v>12</v>
      </c>
      <c r="D2217" s="1" t="s">
        <v>4497</v>
      </c>
      <c r="E2217" s="4">
        <v>1017558.0</v>
      </c>
      <c r="F2217" s="2">
        <v>2.0</v>
      </c>
      <c r="G2217" s="2" t="s">
        <v>1</v>
      </c>
      <c r="H2217" s="2" t="s">
        <v>37</v>
      </c>
      <c r="I2217" s="2" t="s">
        <v>15</v>
      </c>
      <c r="J2217" s="2" t="s">
        <v>15</v>
      </c>
    </row>
    <row r="2218" ht="15.75" customHeight="1">
      <c r="A2218" s="1" t="s">
        <v>4520</v>
      </c>
      <c r="B2218" s="1" t="s">
        <v>4521</v>
      </c>
      <c r="C2218" s="1" t="s">
        <v>12</v>
      </c>
      <c r="D2218" s="1" t="s">
        <v>4497</v>
      </c>
      <c r="E2218" s="4">
        <v>1017558.0</v>
      </c>
      <c r="F2218" s="2" t="s">
        <v>30</v>
      </c>
      <c r="G2218" s="2" t="s">
        <v>1</v>
      </c>
      <c r="H2218" s="2" t="s">
        <v>37</v>
      </c>
      <c r="I2218" s="2" t="s">
        <v>15</v>
      </c>
      <c r="J2218" s="2" t="s">
        <v>15</v>
      </c>
    </row>
  </sheetData>
  <hyperlinks>
    <hyperlink r:id="rId1" ref="B2"/>
    <hyperlink r:id="rId2" ref="B3"/>
    <hyperlink r:id="rId3" ref="B7"/>
    <hyperlink r:id="rId4" ref="B8"/>
    <hyperlink r:id="rId5" ref="B10"/>
    <hyperlink r:id="rId6" ref="B15"/>
    <hyperlink r:id="rId7" ref="B18"/>
    <hyperlink r:id="rId8" ref="B21"/>
    <hyperlink r:id="rId9" ref="B24"/>
    <hyperlink r:id="rId10" ref="B27"/>
    <hyperlink r:id="rId11" ref="B83"/>
    <hyperlink r:id="rId12" ref="B91"/>
    <hyperlink r:id="rId13" ref="B177"/>
    <hyperlink r:id="rId14" ref="B258"/>
    <hyperlink r:id="rId15" ref="B262"/>
    <hyperlink r:id="rId16" ref="B266"/>
    <hyperlink r:id="rId17" ref="B279"/>
    <hyperlink r:id="rId18" ref="B282"/>
    <hyperlink r:id="rId19" ref="B357"/>
    <hyperlink r:id="rId20" ref="B358"/>
    <hyperlink r:id="rId21" ref="B361"/>
    <hyperlink r:id="rId22" ref="B511"/>
    <hyperlink r:id="rId23" ref="B512"/>
    <hyperlink r:id="rId24" ref="B515"/>
    <hyperlink r:id="rId25" ref="B519"/>
    <hyperlink r:id="rId26" ref="B538"/>
    <hyperlink r:id="rId27" ref="B673"/>
    <hyperlink r:id="rId28" ref="B676"/>
    <hyperlink r:id="rId29" ref="B731"/>
    <hyperlink r:id="rId30" ref="B755"/>
    <hyperlink r:id="rId31" ref="B796"/>
    <hyperlink r:id="rId32" ref="B799"/>
    <hyperlink r:id="rId33" ref="B812"/>
    <hyperlink r:id="rId34" ref="B815"/>
    <hyperlink r:id="rId35" ref="B818"/>
    <hyperlink r:id="rId36" ref="B832"/>
    <hyperlink r:id="rId37" ref="B835"/>
    <hyperlink r:id="rId38" ref="B917"/>
    <hyperlink r:id="rId39" ref="B918"/>
    <hyperlink r:id="rId40" ref="B919"/>
    <hyperlink r:id="rId41" ref="B920"/>
    <hyperlink r:id="rId42" ref="B942"/>
    <hyperlink r:id="rId43" ref="B946"/>
    <hyperlink r:id="rId44" ref="B967"/>
    <hyperlink r:id="rId45" ref="B1016"/>
    <hyperlink r:id="rId46" ref="B1031"/>
    <hyperlink r:id="rId47" ref="B1100"/>
    <hyperlink r:id="rId48" ref="B1118"/>
    <hyperlink r:id="rId49" ref="B1126"/>
    <hyperlink r:id="rId50" ref="B1174"/>
    <hyperlink r:id="rId51" ref="B1208"/>
    <hyperlink r:id="rId52" ref="B1212"/>
    <hyperlink r:id="rId53" ref="B1216"/>
    <hyperlink r:id="rId54" ref="B1235"/>
    <hyperlink r:id="rId55" ref="B1329"/>
    <hyperlink r:id="rId56" ref="B1332"/>
    <hyperlink r:id="rId57" ref="B1339"/>
    <hyperlink r:id="rId58" ref="B1448"/>
    <hyperlink r:id="rId59" ref="B1480"/>
    <hyperlink r:id="rId60" ref="B1557"/>
    <hyperlink r:id="rId61" ref="B1559"/>
    <hyperlink r:id="rId62" ref="B1560"/>
    <hyperlink r:id="rId63" ref="B1561"/>
    <hyperlink r:id="rId64" ref="B1562"/>
    <hyperlink r:id="rId65" ref="B1563"/>
    <hyperlink r:id="rId66" ref="B1574"/>
    <hyperlink r:id="rId67" ref="B1592"/>
    <hyperlink r:id="rId68" ref="B1678"/>
    <hyperlink r:id="rId69" ref="B1683"/>
    <hyperlink r:id="rId70" ref="B1702"/>
    <hyperlink r:id="rId71" ref="B1704"/>
  </hyperlinks>
  <drawing r:id="rId72"/>
</worksheet>
</file>